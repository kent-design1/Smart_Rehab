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waasamoa/Desktop/Python/smart_rehab_cleaning/finalTest/"/>
    </mc:Choice>
  </mc:AlternateContent>
  <xr:revisionPtr revIDLastSave="0" documentId="13_ncr:1_{4DDE1AF9-9C4E-6646-BB21-95F55CAB08E8}" xr6:coauthVersionLast="47" xr6:coauthVersionMax="47" xr10:uidLastSave="{00000000-0000-0000-0000-000000000000}"/>
  <bookViews>
    <workbookView xWindow="68640" yWindow="-6020" windowWidth="38400" windowHeight="24000" xr2:uid="{00000000-000D-0000-FFFF-FFFF00000000}"/>
  </bookViews>
  <sheets>
    <sheet name="Sheet1" sheetId="1" r:id="rId1"/>
  </sheets>
  <definedNames>
    <definedName name="_xlnm._FilterDatabase" localSheetId="0" hidden="1">Sheet1!$AF$1:$AF$5000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819" i="1" l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2" i="1"/>
  <c r="X817" i="1"/>
  <c r="X818" i="1"/>
  <c r="X819" i="1"/>
  <c r="E813" i="1" l="1"/>
  <c r="E802" i="1"/>
  <c r="E791" i="1"/>
  <c r="E780" i="1"/>
  <c r="E769" i="1"/>
  <c r="E758" i="1"/>
  <c r="E747" i="1"/>
  <c r="E736" i="1"/>
  <c r="E725" i="1"/>
  <c r="E714" i="1"/>
  <c r="E703" i="1"/>
  <c r="E692" i="1"/>
  <c r="E681" i="1"/>
  <c r="E670" i="1"/>
  <c r="E659" i="1"/>
  <c r="E648" i="1"/>
  <c r="E637" i="1"/>
  <c r="E626" i="1"/>
  <c r="E615" i="1"/>
  <c r="E604" i="1"/>
  <c r="E593" i="1"/>
  <c r="E582" i="1"/>
  <c r="E571" i="1"/>
  <c r="E560" i="1"/>
  <c r="E549" i="1"/>
  <c r="E538" i="1"/>
  <c r="E527" i="1"/>
  <c r="E516" i="1"/>
  <c r="E505" i="1"/>
  <c r="E494" i="1"/>
  <c r="E483" i="1"/>
  <c r="E472" i="1"/>
  <c r="E461" i="1"/>
  <c r="E450" i="1"/>
  <c r="E439" i="1"/>
  <c r="E428" i="1"/>
  <c r="E417" i="1"/>
  <c r="E406" i="1"/>
  <c r="E395" i="1"/>
  <c r="E384" i="1"/>
  <c r="E373" i="1"/>
  <c r="E362" i="1"/>
  <c r="E351" i="1"/>
  <c r="E340" i="1"/>
  <c r="E329" i="1"/>
  <c r="E318" i="1"/>
  <c r="E307" i="1"/>
  <c r="E296" i="1"/>
  <c r="E285" i="1"/>
  <c r="E274" i="1"/>
  <c r="E263" i="1"/>
  <c r="E252" i="1"/>
  <c r="E241" i="1"/>
  <c r="E230" i="1"/>
  <c r="E219" i="1"/>
  <c r="E208" i="1"/>
  <c r="E197" i="1"/>
  <c r="E186" i="1"/>
  <c r="E175" i="1"/>
  <c r="E164" i="1"/>
  <c r="E153" i="1"/>
  <c r="E142" i="1"/>
  <c r="E131" i="1"/>
  <c r="E120" i="1"/>
  <c r="E109" i="1"/>
  <c r="E98" i="1"/>
  <c r="E87" i="1"/>
  <c r="E76" i="1"/>
  <c r="E65" i="1"/>
  <c r="E54" i="1"/>
  <c r="E43" i="1"/>
  <c r="E32" i="1"/>
  <c r="E21" i="1"/>
  <c r="E10" i="1"/>
  <c r="E719" i="1"/>
  <c r="E554" i="1"/>
  <c r="K169" i="1"/>
  <c r="K4" i="1"/>
  <c r="R815" i="1"/>
  <c r="R771" i="1"/>
  <c r="R738" i="1"/>
  <c r="R705" i="1"/>
  <c r="R694" i="1"/>
  <c r="R650" i="1"/>
  <c r="R617" i="1"/>
  <c r="R584" i="1"/>
  <c r="R573" i="1"/>
  <c r="R529" i="1"/>
  <c r="R463" i="1"/>
  <c r="R452" i="1"/>
  <c r="R408" i="1"/>
  <c r="R342" i="1"/>
  <c r="R331" i="1"/>
  <c r="R287" i="1"/>
  <c r="R100" i="1"/>
  <c r="R807" i="1"/>
  <c r="R774" i="1"/>
  <c r="R741" i="1"/>
  <c r="R609" i="1"/>
  <c r="R499" i="1"/>
  <c r="R378" i="1"/>
  <c r="R367" i="1"/>
  <c r="R323" i="1"/>
  <c r="R202" i="1"/>
  <c r="E671" i="1"/>
  <c r="E660" i="1"/>
  <c r="E649" i="1"/>
  <c r="E638" i="1"/>
  <c r="E627" i="1"/>
  <c r="E616" i="1"/>
  <c r="E605" i="1"/>
  <c r="E594" i="1"/>
  <c r="E583" i="1"/>
  <c r="E572" i="1"/>
  <c r="E561" i="1"/>
  <c r="E550" i="1"/>
  <c r="E539" i="1"/>
  <c r="E528" i="1"/>
  <c r="E517" i="1"/>
  <c r="E506" i="1"/>
  <c r="E495" i="1"/>
  <c r="E484" i="1"/>
  <c r="E473" i="1"/>
  <c r="E462" i="1"/>
  <c r="E451" i="1"/>
  <c r="E440" i="1"/>
  <c r="E429" i="1"/>
  <c r="E418" i="1"/>
  <c r="E435" i="1"/>
  <c r="E259" i="1"/>
  <c r="K782" i="1"/>
  <c r="K408" i="1"/>
  <c r="K276" i="1"/>
  <c r="R347" i="1"/>
  <c r="R281" i="1"/>
  <c r="R94" i="1"/>
  <c r="R72" i="1"/>
  <c r="E711" i="1"/>
  <c r="E590" i="1"/>
  <c r="E546" i="1"/>
  <c r="E381" i="1"/>
  <c r="E106" i="1"/>
  <c r="E113" i="1"/>
  <c r="K472" i="1"/>
  <c r="K21" i="1"/>
  <c r="K663" i="1"/>
  <c r="R402" i="1"/>
  <c r="R791" i="1"/>
  <c r="R769" i="1"/>
  <c r="R736" i="1"/>
  <c r="R714" i="1"/>
  <c r="R681" i="1"/>
  <c r="R637" i="1"/>
  <c r="R538" i="1"/>
  <c r="R116" i="1"/>
  <c r="E2" i="1"/>
  <c r="E811" i="1"/>
  <c r="R814" i="1"/>
  <c r="R803" i="1"/>
  <c r="R792" i="1"/>
  <c r="R781" i="1"/>
  <c r="R770" i="1"/>
  <c r="R759" i="1"/>
  <c r="R748" i="1"/>
  <c r="R737" i="1"/>
  <c r="R726" i="1"/>
  <c r="R715" i="1"/>
  <c r="R704" i="1"/>
  <c r="R693" i="1"/>
  <c r="R682" i="1"/>
  <c r="R671" i="1"/>
  <c r="R660" i="1"/>
  <c r="R649" i="1"/>
  <c r="R638" i="1"/>
  <c r="R627" i="1"/>
  <c r="R616" i="1"/>
  <c r="R605" i="1"/>
  <c r="R594" i="1"/>
  <c r="R583" i="1"/>
  <c r="R572" i="1"/>
  <c r="R561" i="1"/>
  <c r="R550" i="1"/>
  <c r="R539" i="1"/>
  <c r="R528" i="1"/>
  <c r="R517" i="1"/>
  <c r="R506" i="1"/>
  <c r="R495" i="1"/>
  <c r="R484" i="1"/>
  <c r="R473" i="1"/>
  <c r="R462" i="1"/>
  <c r="R451" i="1"/>
  <c r="R440" i="1"/>
  <c r="R429" i="1"/>
  <c r="R418" i="1"/>
  <c r="R407" i="1"/>
  <c r="R396" i="1"/>
  <c r="R385" i="1"/>
  <c r="R374" i="1"/>
  <c r="R363" i="1"/>
  <c r="R352" i="1"/>
  <c r="R341" i="1"/>
  <c r="R330" i="1"/>
  <c r="R319" i="1"/>
  <c r="R308" i="1"/>
  <c r="R297" i="1"/>
  <c r="R286" i="1"/>
  <c r="R275" i="1"/>
  <c r="R264" i="1"/>
  <c r="R253" i="1"/>
  <c r="R242" i="1"/>
  <c r="R231" i="1"/>
  <c r="R220" i="1"/>
  <c r="R209" i="1"/>
  <c r="R198" i="1"/>
  <c r="R187" i="1"/>
  <c r="R176" i="1"/>
  <c r="R165" i="1"/>
  <c r="R154" i="1"/>
  <c r="R143" i="1"/>
  <c r="R132" i="1"/>
  <c r="R121" i="1"/>
  <c r="R110" i="1"/>
  <c r="R99" i="1"/>
  <c r="R88" i="1"/>
  <c r="R77" i="1"/>
  <c r="R66" i="1"/>
  <c r="R55" i="1"/>
  <c r="R44" i="1"/>
  <c r="R33" i="1"/>
  <c r="R22" i="1"/>
  <c r="R11" i="1"/>
  <c r="R293" i="1"/>
  <c r="R282" i="1"/>
  <c r="E700" i="1"/>
  <c r="E667" i="1"/>
  <c r="R813" i="1"/>
  <c r="R780" i="1"/>
  <c r="R747" i="1"/>
  <c r="R703" i="1"/>
  <c r="R670" i="1"/>
  <c r="R626" i="1"/>
  <c r="R604" i="1"/>
  <c r="R571" i="1"/>
  <c r="R549" i="1"/>
  <c r="R516" i="1"/>
  <c r="R505" i="1"/>
  <c r="R483" i="1"/>
  <c r="R461" i="1"/>
  <c r="R439" i="1"/>
  <c r="R417" i="1"/>
  <c r="R395" i="1"/>
  <c r="R373" i="1"/>
  <c r="R351" i="1"/>
  <c r="R329" i="1"/>
  <c r="R307" i="1"/>
  <c r="R274" i="1"/>
  <c r="R252" i="1"/>
  <c r="R219" i="1"/>
  <c r="R197" i="1"/>
  <c r="R175" i="1"/>
  <c r="R153" i="1"/>
  <c r="R131" i="1"/>
  <c r="R98" i="1"/>
  <c r="R76" i="1"/>
  <c r="R54" i="1"/>
  <c r="R32" i="1"/>
  <c r="R21" i="1"/>
  <c r="R795" i="1"/>
  <c r="R751" i="1"/>
  <c r="R729" i="1"/>
  <c r="R718" i="1"/>
  <c r="R641" i="1"/>
  <c r="R608" i="1"/>
  <c r="R520" i="1"/>
  <c r="R498" i="1"/>
  <c r="R476" i="1"/>
  <c r="R432" i="1"/>
  <c r="R399" i="1"/>
  <c r="R377" i="1"/>
  <c r="R366" i="1"/>
  <c r="R311" i="1"/>
  <c r="R267" i="1"/>
  <c r="R256" i="1"/>
  <c r="R234" i="1"/>
  <c r="R157" i="1"/>
  <c r="R135" i="1"/>
  <c r="R113" i="1"/>
  <c r="R80" i="1"/>
  <c r="R36" i="1"/>
  <c r="R14" i="1"/>
  <c r="R18" i="1"/>
  <c r="E740" i="1"/>
  <c r="R802" i="1"/>
  <c r="R758" i="1"/>
  <c r="R725" i="1"/>
  <c r="R692" i="1"/>
  <c r="R659" i="1"/>
  <c r="R648" i="1"/>
  <c r="R615" i="1"/>
  <c r="R593" i="1"/>
  <c r="R582" i="1"/>
  <c r="R560" i="1"/>
  <c r="R527" i="1"/>
  <c r="R494" i="1"/>
  <c r="R472" i="1"/>
  <c r="R450" i="1"/>
  <c r="R428" i="1"/>
  <c r="R406" i="1"/>
  <c r="R384" i="1"/>
  <c r="R362" i="1"/>
  <c r="R340" i="1"/>
  <c r="R318" i="1"/>
  <c r="R296" i="1"/>
  <c r="R285" i="1"/>
  <c r="R263" i="1"/>
  <c r="R241" i="1"/>
  <c r="R230" i="1"/>
  <c r="R208" i="1"/>
  <c r="R186" i="1"/>
  <c r="R164" i="1"/>
  <c r="R142" i="1"/>
  <c r="R120" i="1"/>
  <c r="R109" i="1"/>
  <c r="R87" i="1"/>
  <c r="R65" i="1"/>
  <c r="R43" i="1"/>
  <c r="R10" i="1"/>
  <c r="R762" i="1"/>
  <c r="R740" i="1"/>
  <c r="R674" i="1"/>
  <c r="R630" i="1"/>
  <c r="R619" i="1"/>
  <c r="R597" i="1"/>
  <c r="R553" i="1"/>
  <c r="R509" i="1"/>
  <c r="R487" i="1"/>
  <c r="R388" i="1"/>
  <c r="R355" i="1"/>
  <c r="R278" i="1"/>
  <c r="R245" i="1"/>
  <c r="R190" i="1"/>
  <c r="R146" i="1"/>
  <c r="R25" i="1"/>
  <c r="R684" i="1"/>
  <c r="R673" i="1"/>
  <c r="R662" i="1"/>
  <c r="R629" i="1"/>
  <c r="R618" i="1"/>
  <c r="R607" i="1"/>
  <c r="R596" i="1"/>
  <c r="R585" i="1"/>
  <c r="R563" i="1"/>
  <c r="R552" i="1"/>
  <c r="R541" i="1"/>
  <c r="R508" i="1"/>
  <c r="R497" i="1"/>
  <c r="R486" i="1"/>
  <c r="R475" i="1"/>
  <c r="R464" i="1"/>
  <c r="R442" i="1"/>
  <c r="R431" i="1"/>
  <c r="R420" i="1"/>
  <c r="R387" i="1"/>
  <c r="R376" i="1"/>
  <c r="R365" i="1"/>
  <c r="R354" i="1"/>
  <c r="R343" i="1"/>
  <c r="R321" i="1"/>
  <c r="R310" i="1"/>
  <c r="R299" i="1"/>
  <c r="R266" i="1"/>
  <c r="R255" i="1"/>
  <c r="R244" i="1"/>
  <c r="R233" i="1"/>
  <c r="R222" i="1"/>
  <c r="R200" i="1"/>
  <c r="R189" i="1"/>
  <c r="R178" i="1"/>
  <c r="R145" i="1"/>
  <c r="R134" i="1"/>
  <c r="R112" i="1"/>
  <c r="R90" i="1"/>
  <c r="R79" i="1"/>
  <c r="R68" i="1"/>
  <c r="R57" i="1"/>
  <c r="R46" i="1"/>
  <c r="R24" i="1"/>
  <c r="R13" i="1"/>
  <c r="R391" i="1"/>
  <c r="E795" i="1"/>
  <c r="E663" i="1"/>
  <c r="E80" i="1"/>
  <c r="E407" i="1"/>
  <c r="E396" i="1"/>
  <c r="E385" i="1"/>
  <c r="E374" i="1"/>
  <c r="E363" i="1"/>
  <c r="E352" i="1"/>
  <c r="E341" i="1"/>
  <c r="E330" i="1"/>
  <c r="E319" i="1"/>
  <c r="E308" i="1"/>
  <c r="E297" i="1"/>
  <c r="E286" i="1"/>
  <c r="E275" i="1"/>
  <c r="E264" i="1"/>
  <c r="E253" i="1"/>
  <c r="E242" i="1"/>
  <c r="E231" i="1"/>
  <c r="E220" i="1"/>
  <c r="E209" i="1"/>
  <c r="E198" i="1"/>
  <c r="E187" i="1"/>
  <c r="E176" i="1"/>
  <c r="E165" i="1"/>
  <c r="E154" i="1"/>
  <c r="E143" i="1"/>
  <c r="E132" i="1"/>
  <c r="E121" i="1"/>
  <c r="E110" i="1"/>
  <c r="E99" i="1"/>
  <c r="E817" i="1"/>
  <c r="E784" i="1"/>
  <c r="E751" i="1"/>
  <c r="E707" i="1"/>
  <c r="E652" i="1"/>
  <c r="E608" i="1"/>
  <c r="E586" i="1"/>
  <c r="E542" i="1"/>
  <c r="E531" i="1"/>
  <c r="E520" i="1"/>
  <c r="E476" i="1"/>
  <c r="E465" i="1"/>
  <c r="E443" i="1"/>
  <c r="E421" i="1"/>
  <c r="E410" i="1"/>
  <c r="E399" i="1"/>
  <c r="E355" i="1"/>
  <c r="E344" i="1"/>
  <c r="E322" i="1"/>
  <c r="E300" i="1"/>
  <c r="E278" i="1"/>
  <c r="E245" i="1"/>
  <c r="E58" i="1"/>
  <c r="E36" i="1"/>
  <c r="E25" i="1"/>
  <c r="E755" i="1"/>
  <c r="E634" i="1"/>
  <c r="E304" i="1"/>
  <c r="K770" i="1"/>
  <c r="K660" i="1"/>
  <c r="K539" i="1"/>
  <c r="K506" i="1"/>
  <c r="K407" i="1"/>
  <c r="K385" i="1"/>
  <c r="K176" i="1"/>
  <c r="K44" i="1"/>
  <c r="K796" i="1"/>
  <c r="K774" i="1"/>
  <c r="K730" i="1"/>
  <c r="K664" i="1"/>
  <c r="K609" i="1"/>
  <c r="K565" i="1"/>
  <c r="K543" i="1"/>
  <c r="K499" i="1"/>
  <c r="K477" i="1"/>
  <c r="K433" i="1"/>
  <c r="K411" i="1"/>
  <c r="K378" i="1"/>
  <c r="K312" i="1"/>
  <c r="K290" i="1"/>
  <c r="K246" i="1"/>
  <c r="K180" i="1"/>
  <c r="K81" i="1"/>
  <c r="K59" i="1"/>
  <c r="K15" i="1"/>
  <c r="E702" i="1"/>
  <c r="E691" i="1"/>
  <c r="E680" i="1"/>
  <c r="E174" i="1"/>
  <c r="E760" i="1"/>
  <c r="E639" i="1"/>
  <c r="E606" i="1"/>
  <c r="E507" i="1"/>
  <c r="E430" i="1"/>
  <c r="E309" i="1"/>
  <c r="E287" i="1"/>
  <c r="E78" i="1"/>
  <c r="E148" i="1"/>
  <c r="E767" i="1"/>
  <c r="E723" i="1"/>
  <c r="E701" i="1"/>
  <c r="E679" i="1"/>
  <c r="E569" i="1"/>
  <c r="E503" i="1"/>
  <c r="E140" i="1"/>
  <c r="E41" i="1"/>
  <c r="E774" i="1"/>
  <c r="E598" i="1"/>
  <c r="E202" i="1"/>
  <c r="K811" i="1"/>
  <c r="K800" i="1"/>
  <c r="K789" i="1"/>
  <c r="K778" i="1"/>
  <c r="K767" i="1"/>
  <c r="K756" i="1"/>
  <c r="K745" i="1"/>
  <c r="K734" i="1"/>
  <c r="K723" i="1"/>
  <c r="K712" i="1"/>
  <c r="K701" i="1"/>
  <c r="K690" i="1"/>
  <c r="K679" i="1"/>
  <c r="K668" i="1"/>
  <c r="K657" i="1"/>
  <c r="K646" i="1"/>
  <c r="K635" i="1"/>
  <c r="K624" i="1"/>
  <c r="K613" i="1"/>
  <c r="K602" i="1"/>
  <c r="K591" i="1"/>
  <c r="K580" i="1"/>
  <c r="K569" i="1"/>
  <c r="K558" i="1"/>
  <c r="K547" i="1"/>
  <c r="K536" i="1"/>
  <c r="K525" i="1"/>
  <c r="K514" i="1"/>
  <c r="K503" i="1"/>
  <c r="K492" i="1"/>
  <c r="K481" i="1"/>
  <c r="K470" i="1"/>
  <c r="K459" i="1"/>
  <c r="K448" i="1"/>
  <c r="K437" i="1"/>
  <c r="K426" i="1"/>
  <c r="K415" i="1"/>
  <c r="K404" i="1"/>
  <c r="K393" i="1"/>
  <c r="K382" i="1"/>
  <c r="K371" i="1"/>
  <c r="K360" i="1"/>
  <c r="K349" i="1"/>
  <c r="K338" i="1"/>
  <c r="K327" i="1"/>
  <c r="K316" i="1"/>
  <c r="K305" i="1"/>
  <c r="K294" i="1"/>
  <c r="R800" i="1"/>
  <c r="R778" i="1"/>
  <c r="R756" i="1"/>
  <c r="R734" i="1"/>
  <c r="R712" i="1"/>
  <c r="R690" i="1"/>
  <c r="R668" i="1"/>
  <c r="R646" i="1"/>
  <c r="R624" i="1"/>
  <c r="R602" i="1"/>
  <c r="R591" i="1"/>
  <c r="R569" i="1"/>
  <c r="R547" i="1"/>
  <c r="R525" i="1"/>
  <c r="R492" i="1"/>
  <c r="R470" i="1"/>
  <c r="R448" i="1"/>
  <c r="R426" i="1"/>
  <c r="R382" i="1"/>
  <c r="R30" i="1"/>
  <c r="R139" i="1"/>
  <c r="X228" i="1"/>
  <c r="R140" i="1"/>
  <c r="R765" i="1"/>
  <c r="R226" i="1"/>
  <c r="R193" i="1"/>
  <c r="R160" i="1"/>
  <c r="E642" i="1"/>
  <c r="E532" i="1"/>
  <c r="E356" i="1"/>
  <c r="X547" i="1"/>
  <c r="R810" i="1"/>
  <c r="R799" i="1"/>
  <c r="R788" i="1"/>
  <c r="R777" i="1"/>
  <c r="R766" i="1"/>
  <c r="R722" i="1"/>
  <c r="R689" i="1"/>
  <c r="R678" i="1"/>
  <c r="R667" i="1"/>
  <c r="R656" i="1"/>
  <c r="R645" i="1"/>
  <c r="R601" i="1"/>
  <c r="R568" i="1"/>
  <c r="R557" i="1"/>
  <c r="R546" i="1"/>
  <c r="R535" i="1"/>
  <c r="R524" i="1"/>
  <c r="R480" i="1"/>
  <c r="R447" i="1"/>
  <c r="R436" i="1"/>
  <c r="R425" i="1"/>
  <c r="R414" i="1"/>
  <c r="R403" i="1"/>
  <c r="R359" i="1"/>
  <c r="R326" i="1"/>
  <c r="R315" i="1"/>
  <c r="R304" i="1"/>
  <c r="R205" i="1"/>
  <c r="R194" i="1"/>
  <c r="R183" i="1"/>
  <c r="R172" i="1"/>
  <c r="R161" i="1"/>
  <c r="R117" i="1"/>
  <c r="R106" i="1"/>
  <c r="R62" i="1"/>
  <c r="R51" i="1"/>
  <c r="R40" i="1"/>
  <c r="E726" i="1"/>
  <c r="E693" i="1"/>
  <c r="X503" i="1"/>
  <c r="R812" i="1"/>
  <c r="R801" i="1"/>
  <c r="R790" i="1"/>
  <c r="R779" i="1"/>
  <c r="R768" i="1"/>
  <c r="R757" i="1"/>
  <c r="R746" i="1"/>
  <c r="R735" i="1"/>
  <c r="R724" i="1"/>
  <c r="R713" i="1"/>
  <c r="R702" i="1"/>
  <c r="R691" i="1"/>
  <c r="R680" i="1"/>
  <c r="R669" i="1"/>
  <c r="R658" i="1"/>
  <c r="R647" i="1"/>
  <c r="R636" i="1"/>
  <c r="R625" i="1"/>
  <c r="R614" i="1"/>
  <c r="R603" i="1"/>
  <c r="R592" i="1"/>
  <c r="R581" i="1"/>
  <c r="R570" i="1"/>
  <c r="R559" i="1"/>
  <c r="R548" i="1"/>
  <c r="R537" i="1"/>
  <c r="R526" i="1"/>
  <c r="R515" i="1"/>
  <c r="R504" i="1"/>
  <c r="R493" i="1"/>
  <c r="R482" i="1"/>
  <c r="R471" i="1"/>
  <c r="R460" i="1"/>
  <c r="R449" i="1"/>
  <c r="R438" i="1"/>
  <c r="R427" i="1"/>
  <c r="R416" i="1"/>
  <c r="R405" i="1"/>
  <c r="R394" i="1"/>
  <c r="R383" i="1"/>
  <c r="R372" i="1"/>
  <c r="R361" i="1"/>
  <c r="R350" i="1"/>
  <c r="R339" i="1"/>
  <c r="R328" i="1"/>
  <c r="R317" i="1"/>
  <c r="R306" i="1"/>
  <c r="R295" i="1"/>
  <c r="R284" i="1"/>
  <c r="R273" i="1"/>
  <c r="R262" i="1"/>
  <c r="R251" i="1"/>
  <c r="R240" i="1"/>
  <c r="R229" i="1"/>
  <c r="R218" i="1"/>
  <c r="R207" i="1"/>
  <c r="R196" i="1"/>
  <c r="R185" i="1"/>
  <c r="R174" i="1"/>
  <c r="R163" i="1"/>
  <c r="R152" i="1"/>
  <c r="R141" i="1"/>
  <c r="R130" i="1"/>
  <c r="R119" i="1"/>
  <c r="R108" i="1"/>
  <c r="R97" i="1"/>
  <c r="R86" i="1"/>
  <c r="R75" i="1"/>
  <c r="R64" i="1"/>
  <c r="R53" i="1"/>
  <c r="R42" i="1"/>
  <c r="R31" i="1"/>
  <c r="R20" i="1"/>
  <c r="R9" i="1"/>
  <c r="R805" i="1"/>
  <c r="R794" i="1"/>
  <c r="R783" i="1"/>
  <c r="R750" i="1"/>
  <c r="R739" i="1"/>
  <c r="R728" i="1"/>
  <c r="R717" i="1"/>
  <c r="R706" i="1"/>
  <c r="R787" i="1"/>
  <c r="R776" i="1"/>
  <c r="R754" i="1"/>
  <c r="R732" i="1"/>
  <c r="R721" i="1"/>
  <c r="R710" i="1"/>
  <c r="R677" i="1"/>
  <c r="R666" i="1"/>
  <c r="R655" i="1"/>
  <c r="R644" i="1"/>
  <c r="R633" i="1"/>
  <c r="R600" i="1"/>
  <c r="R589" i="1"/>
  <c r="R556" i="1"/>
  <c r="R545" i="1"/>
  <c r="R534" i="1"/>
  <c r="R523" i="1"/>
  <c r="R512" i="1"/>
  <c r="R479" i="1"/>
  <c r="R468" i="1"/>
  <c r="R435" i="1"/>
  <c r="R424" i="1"/>
  <c r="R413" i="1"/>
  <c r="R358" i="1"/>
  <c r="R314" i="1"/>
  <c r="R303" i="1"/>
  <c r="R292" i="1"/>
  <c r="R270" i="1"/>
  <c r="R237" i="1"/>
  <c r="R182" i="1"/>
  <c r="R171" i="1"/>
  <c r="R138" i="1"/>
  <c r="R105" i="1"/>
  <c r="R50" i="1"/>
  <c r="R39" i="1"/>
  <c r="R17" i="1"/>
  <c r="X481" i="1"/>
  <c r="R811" i="1"/>
  <c r="R789" i="1"/>
  <c r="R767" i="1"/>
  <c r="R745" i="1"/>
  <c r="R723" i="1"/>
  <c r="R701" i="1"/>
  <c r="R679" i="1"/>
  <c r="R657" i="1"/>
  <c r="R635" i="1"/>
  <c r="R613" i="1"/>
  <c r="R580" i="1"/>
  <c r="R558" i="1"/>
  <c r="R536" i="1"/>
  <c r="R514" i="1"/>
  <c r="R503" i="1"/>
  <c r="R481" i="1"/>
  <c r="R459" i="1"/>
  <c r="R437" i="1"/>
  <c r="R415" i="1"/>
  <c r="R404" i="1"/>
  <c r="R393" i="1"/>
  <c r="R371" i="1"/>
  <c r="R360" i="1"/>
  <c r="R349" i="1"/>
  <c r="R338" i="1"/>
  <c r="R327" i="1"/>
  <c r="R316" i="1"/>
  <c r="R305" i="1"/>
  <c r="R294" i="1"/>
  <c r="R283" i="1"/>
  <c r="R272" i="1"/>
  <c r="R261" i="1"/>
  <c r="R250" i="1"/>
  <c r="R239" i="1"/>
  <c r="R228" i="1"/>
  <c r="R217" i="1"/>
  <c r="R206" i="1"/>
  <c r="R195" i="1"/>
  <c r="R184" i="1"/>
  <c r="R173" i="1"/>
  <c r="R162" i="1"/>
  <c r="R151" i="1"/>
  <c r="R129" i="1"/>
  <c r="R118" i="1"/>
  <c r="R107" i="1"/>
  <c r="R96" i="1"/>
  <c r="R85" i="1"/>
  <c r="R74" i="1"/>
  <c r="R63" i="1"/>
  <c r="R52" i="1"/>
  <c r="R41" i="1"/>
  <c r="R19" i="1"/>
  <c r="R8" i="1"/>
  <c r="R166" i="1"/>
  <c r="R698" i="1"/>
  <c r="R665" i="1"/>
  <c r="R632" i="1"/>
  <c r="R269" i="1"/>
  <c r="R258" i="1"/>
  <c r="R730" i="1"/>
  <c r="R686" i="1"/>
  <c r="R653" i="1"/>
  <c r="R620" i="1"/>
  <c r="R565" i="1"/>
  <c r="R532" i="1"/>
  <c r="E806" i="1"/>
  <c r="E773" i="1"/>
  <c r="E762" i="1"/>
  <c r="E729" i="1"/>
  <c r="E641" i="1"/>
  <c r="E630" i="1"/>
  <c r="E619" i="1"/>
  <c r="E289" i="1"/>
  <c r="E234" i="1"/>
  <c r="K785" i="1"/>
  <c r="K741" i="1"/>
  <c r="K675" i="1"/>
  <c r="K653" i="1"/>
  <c r="K620" i="1"/>
  <c r="K554" i="1"/>
  <c r="K532" i="1"/>
  <c r="K444" i="1"/>
  <c r="K422" i="1"/>
  <c r="K356" i="1"/>
  <c r="K323" i="1"/>
  <c r="K301" i="1"/>
  <c r="K235" i="1"/>
  <c r="K191" i="1"/>
  <c r="K125" i="1"/>
  <c r="K70" i="1"/>
  <c r="K48" i="1"/>
  <c r="R249" i="1"/>
  <c r="R84" i="1"/>
  <c r="K465" i="1"/>
  <c r="K249" i="1"/>
  <c r="E793" i="1"/>
  <c r="E782" i="1"/>
  <c r="E738" i="1"/>
  <c r="K783" i="1"/>
  <c r="K728" i="1"/>
  <c r="K717" i="1"/>
  <c r="K662" i="1"/>
  <c r="K464" i="1"/>
  <c r="K112" i="1"/>
  <c r="E88" i="1"/>
  <c r="E77" i="1"/>
  <c r="E66" i="1"/>
  <c r="E55" i="1"/>
  <c r="E44" i="1"/>
  <c r="E33" i="1"/>
  <c r="E22" i="1"/>
  <c r="E11" i="1"/>
  <c r="K815" i="1"/>
  <c r="K804" i="1"/>
  <c r="K793" i="1"/>
  <c r="K771" i="1"/>
  <c r="K760" i="1"/>
  <c r="K749" i="1"/>
  <c r="K738" i="1"/>
  <c r="K727" i="1"/>
  <c r="K716" i="1"/>
  <c r="K705" i="1"/>
  <c r="K694" i="1"/>
  <c r="K683" i="1"/>
  <c r="K672" i="1"/>
  <c r="K661" i="1"/>
  <c r="K650" i="1"/>
  <c r="K639" i="1"/>
  <c r="K628" i="1"/>
  <c r="K617" i="1"/>
  <c r="K606" i="1"/>
  <c r="K595" i="1"/>
  <c r="K584" i="1"/>
  <c r="K573" i="1"/>
  <c r="K562" i="1"/>
  <c r="K551" i="1"/>
  <c r="K540" i="1"/>
  <c r="K529" i="1"/>
  <c r="K518" i="1"/>
  <c r="K507" i="1"/>
  <c r="K496" i="1"/>
  <c r="K485" i="1"/>
  <c r="K474" i="1"/>
  <c r="K463" i="1"/>
  <c r="K452" i="1"/>
  <c r="K441" i="1"/>
  <c r="K430" i="1"/>
  <c r="K419" i="1"/>
  <c r="K397" i="1"/>
  <c r="K386" i="1"/>
  <c r="K375" i="1"/>
  <c r="K364" i="1"/>
  <c r="K353" i="1"/>
  <c r="K342" i="1"/>
  <c r="K331" i="1"/>
  <c r="K320" i="1"/>
  <c r="K309" i="1"/>
  <c r="K298" i="1"/>
  <c r="K287" i="1"/>
  <c r="K265" i="1"/>
  <c r="K254" i="1"/>
  <c r="K243" i="1"/>
  <c r="K232" i="1"/>
  <c r="K221" i="1"/>
  <c r="K210" i="1"/>
  <c r="K199" i="1"/>
  <c r="K188" i="1"/>
  <c r="K177" i="1"/>
  <c r="K166" i="1"/>
  <c r="K155" i="1"/>
  <c r="K144" i="1"/>
  <c r="K133" i="1"/>
  <c r="K122" i="1"/>
  <c r="K111" i="1"/>
  <c r="K100" i="1"/>
  <c r="K89" i="1"/>
  <c r="K78" i="1"/>
  <c r="K67" i="1"/>
  <c r="K56" i="1"/>
  <c r="K45" i="1"/>
  <c r="K34" i="1"/>
  <c r="K23" i="1"/>
  <c r="K12" i="1"/>
  <c r="K676" i="1"/>
  <c r="K814" i="1"/>
  <c r="K781" i="1"/>
  <c r="K759" i="1"/>
  <c r="K748" i="1"/>
  <c r="K715" i="1"/>
  <c r="K704" i="1"/>
  <c r="K693" i="1"/>
  <c r="K649" i="1"/>
  <c r="K638" i="1"/>
  <c r="K627" i="1"/>
  <c r="K594" i="1"/>
  <c r="K583" i="1"/>
  <c r="K528" i="1"/>
  <c r="K517" i="1"/>
  <c r="K473" i="1"/>
  <c r="K462" i="1"/>
  <c r="K418" i="1"/>
  <c r="K396" i="1"/>
  <c r="K352" i="1"/>
  <c r="K330" i="1"/>
  <c r="K297" i="1"/>
  <c r="K286" i="1"/>
  <c r="K275" i="1"/>
  <c r="K264" i="1"/>
  <c r="K231" i="1"/>
  <c r="K209" i="1"/>
  <c r="K165" i="1"/>
  <c r="K154" i="1"/>
  <c r="K143" i="1"/>
  <c r="K99" i="1"/>
  <c r="K88" i="1"/>
  <c r="K55" i="1"/>
  <c r="K33" i="1"/>
  <c r="R444" i="1"/>
  <c r="R488" i="1"/>
  <c r="R271" i="1"/>
  <c r="R260" i="1"/>
  <c r="R238" i="1"/>
  <c r="R227" i="1"/>
  <c r="R216" i="1"/>
  <c r="R150" i="1"/>
  <c r="R128" i="1"/>
  <c r="R95" i="1"/>
  <c r="R73" i="1"/>
  <c r="R29" i="1"/>
  <c r="R7" i="1"/>
  <c r="E3" i="1"/>
  <c r="E713" i="1"/>
  <c r="E592" i="1"/>
  <c r="R798" i="1"/>
  <c r="R699" i="1"/>
  <c r="R688" i="1"/>
  <c r="R622" i="1"/>
  <c r="R611" i="1"/>
  <c r="R578" i="1"/>
  <c r="R567" i="1"/>
  <c r="R501" i="1"/>
  <c r="R490" i="1"/>
  <c r="R457" i="1"/>
  <c r="R446" i="1"/>
  <c r="R380" i="1"/>
  <c r="R369" i="1"/>
  <c r="R336" i="1"/>
  <c r="R325" i="1"/>
  <c r="R259" i="1"/>
  <c r="R248" i="1"/>
  <c r="R215" i="1"/>
  <c r="R204" i="1"/>
  <c r="R149" i="1"/>
  <c r="R127" i="1"/>
  <c r="R83" i="1"/>
  <c r="R61" i="1"/>
  <c r="R28" i="1"/>
  <c r="R6" i="1"/>
  <c r="E819" i="1"/>
  <c r="E808" i="1"/>
  <c r="E797" i="1"/>
  <c r="E786" i="1"/>
  <c r="E775" i="1"/>
  <c r="E764" i="1"/>
  <c r="E753" i="1"/>
  <c r="E742" i="1"/>
  <c r="E731" i="1"/>
  <c r="E720" i="1"/>
  <c r="E709" i="1"/>
  <c r="E698" i="1"/>
  <c r="E687" i="1"/>
  <c r="E676" i="1"/>
  <c r="E610" i="1"/>
  <c r="K2" i="1"/>
  <c r="K809" i="1"/>
  <c r="R59" i="1"/>
  <c r="R819" i="1"/>
  <c r="R786" i="1"/>
  <c r="R753" i="1"/>
  <c r="R742" i="1"/>
  <c r="R621" i="1"/>
  <c r="R577" i="1"/>
  <c r="R544" i="1"/>
  <c r="R511" i="1"/>
  <c r="R500" i="1"/>
  <c r="R456" i="1"/>
  <c r="R390" i="1"/>
  <c r="R379" i="1"/>
  <c r="R335" i="1"/>
  <c r="R214" i="1"/>
  <c r="R126" i="1"/>
  <c r="R5" i="1"/>
  <c r="E807" i="1"/>
  <c r="E796" i="1"/>
  <c r="E785" i="1"/>
  <c r="E752" i="1"/>
  <c r="E741" i="1"/>
  <c r="E653" i="1"/>
  <c r="E631" i="1"/>
  <c r="E620" i="1"/>
  <c r="E510" i="1"/>
  <c r="E488" i="1"/>
  <c r="E411" i="1"/>
  <c r="E389" i="1"/>
  <c r="E367" i="1"/>
  <c r="E301" i="1"/>
  <c r="E290" i="1"/>
  <c r="E191" i="1"/>
  <c r="E180" i="1"/>
  <c r="E81" i="1"/>
  <c r="E37" i="1"/>
  <c r="E15" i="1"/>
  <c r="K798" i="1"/>
  <c r="K787" i="1"/>
  <c r="K776" i="1"/>
  <c r="K765" i="1"/>
  <c r="K754" i="1"/>
  <c r="K743" i="1"/>
  <c r="K732" i="1"/>
  <c r="K721" i="1"/>
  <c r="K710" i="1"/>
  <c r="K699" i="1"/>
  <c r="K688" i="1"/>
  <c r="K677" i="1"/>
  <c r="K666" i="1"/>
  <c r="K655" i="1"/>
  <c r="K644" i="1"/>
  <c r="K633" i="1"/>
  <c r="K622" i="1"/>
  <c r="K611" i="1"/>
  <c r="K600" i="1"/>
  <c r="K589" i="1"/>
  <c r="K578" i="1"/>
  <c r="K567" i="1"/>
  <c r="K556" i="1"/>
  <c r="K545" i="1"/>
  <c r="K534" i="1"/>
  <c r="K523" i="1"/>
  <c r="K512" i="1"/>
  <c r="K501" i="1"/>
  <c r="K490" i="1"/>
  <c r="K479" i="1"/>
  <c r="K468" i="1"/>
  <c r="K457" i="1"/>
  <c r="K446" i="1"/>
  <c r="K435" i="1"/>
  <c r="K424" i="1"/>
  <c r="K413" i="1"/>
  <c r="K402" i="1"/>
  <c r="K391" i="1"/>
  <c r="K380" i="1"/>
  <c r="K369" i="1"/>
  <c r="K358" i="1"/>
  <c r="K347" i="1"/>
  <c r="K336" i="1"/>
  <c r="K325" i="1"/>
  <c r="K314" i="1"/>
  <c r="K303" i="1"/>
  <c r="K292" i="1"/>
  <c r="K281" i="1"/>
  <c r="K270" i="1"/>
  <c r="K259" i="1"/>
  <c r="K248" i="1"/>
  <c r="K237" i="1"/>
  <c r="K226" i="1"/>
  <c r="K215" i="1"/>
  <c r="K204" i="1"/>
  <c r="K193" i="1"/>
  <c r="K182" i="1"/>
  <c r="K171" i="1"/>
  <c r="K160" i="1"/>
  <c r="K149" i="1"/>
  <c r="K138" i="1"/>
  <c r="K127" i="1"/>
  <c r="K116" i="1"/>
  <c r="K105" i="1"/>
  <c r="K94" i="1"/>
  <c r="K83" i="1"/>
  <c r="K72" i="1"/>
  <c r="K61" i="1"/>
  <c r="K50" i="1"/>
  <c r="K39" i="1"/>
  <c r="K28" i="1"/>
  <c r="K17" i="1"/>
  <c r="K6" i="1"/>
  <c r="K769" i="1"/>
  <c r="K516" i="1"/>
  <c r="K406" i="1"/>
  <c r="K318" i="1"/>
  <c r="K274" i="1"/>
  <c r="K197" i="1"/>
  <c r="K153" i="1"/>
  <c r="K109" i="1"/>
  <c r="K87" i="1"/>
  <c r="K43" i="1"/>
  <c r="E705" i="1"/>
  <c r="E617" i="1"/>
  <c r="E408" i="1"/>
  <c r="E331" i="1"/>
  <c r="E818" i="1"/>
  <c r="E763" i="1"/>
  <c r="E675" i="1"/>
  <c r="E664" i="1"/>
  <c r="E543" i="1"/>
  <c r="E477" i="1"/>
  <c r="E466" i="1"/>
  <c r="E422" i="1"/>
  <c r="E345" i="1"/>
  <c r="E268" i="1"/>
  <c r="E246" i="1"/>
  <c r="E169" i="1"/>
  <c r="E136" i="1"/>
  <c r="E125" i="1"/>
  <c r="E114" i="1"/>
  <c r="E665" i="1"/>
  <c r="E654" i="1"/>
  <c r="E643" i="1"/>
  <c r="E632" i="1"/>
  <c r="E621" i="1"/>
  <c r="E599" i="1"/>
  <c r="E588" i="1"/>
  <c r="E577" i="1"/>
  <c r="E566" i="1"/>
  <c r="E555" i="1"/>
  <c r="E544" i="1"/>
  <c r="E533" i="1"/>
  <c r="E522" i="1"/>
  <c r="E511" i="1"/>
  <c r="E500" i="1"/>
  <c r="E489" i="1"/>
  <c r="E478" i="1"/>
  <c r="E467" i="1"/>
  <c r="E456" i="1"/>
  <c r="E445" i="1"/>
  <c r="E434" i="1"/>
  <c r="E423" i="1"/>
  <c r="E412" i="1"/>
  <c r="E401" i="1"/>
  <c r="E390" i="1"/>
  <c r="E379" i="1"/>
  <c r="E368" i="1"/>
  <c r="E357" i="1"/>
  <c r="E346" i="1"/>
  <c r="E335" i="1"/>
  <c r="E324" i="1"/>
  <c r="E313" i="1"/>
  <c r="E302" i="1"/>
  <c r="E291" i="1"/>
  <c r="E280" i="1"/>
  <c r="E269" i="1"/>
  <c r="E258" i="1"/>
  <c r="E247" i="1"/>
  <c r="E236" i="1"/>
  <c r="E225" i="1"/>
  <c r="E214" i="1"/>
  <c r="E203" i="1"/>
  <c r="E192" i="1"/>
  <c r="E181" i="1"/>
  <c r="E170" i="1"/>
  <c r="E159" i="1"/>
  <c r="E137" i="1"/>
  <c r="E126" i="1"/>
  <c r="E115" i="1"/>
  <c r="E104" i="1"/>
  <c r="E93" i="1"/>
  <c r="E82" i="1"/>
  <c r="E71" i="1"/>
  <c r="E60" i="1"/>
  <c r="E49" i="1"/>
  <c r="E38" i="1"/>
  <c r="E27" i="1"/>
  <c r="E16" i="1"/>
  <c r="E5" i="1"/>
  <c r="E800" i="1"/>
  <c r="E712" i="1"/>
  <c r="E690" i="1"/>
  <c r="E492" i="1"/>
  <c r="E382" i="1"/>
  <c r="E804" i="1"/>
  <c r="E771" i="1"/>
  <c r="E749" i="1"/>
  <c r="E683" i="1"/>
  <c r="E628" i="1"/>
  <c r="E595" i="1"/>
  <c r="K819" i="1"/>
  <c r="K808" i="1"/>
  <c r="K797" i="1"/>
  <c r="K786" i="1"/>
  <c r="K775" i="1"/>
  <c r="K764" i="1"/>
  <c r="K753" i="1"/>
  <c r="K742" i="1"/>
  <c r="E810" i="1"/>
  <c r="E799" i="1"/>
  <c r="E788" i="1"/>
  <c r="E777" i="1"/>
  <c r="E766" i="1"/>
  <c r="E744" i="1"/>
  <c r="E733" i="1"/>
  <c r="E722" i="1"/>
  <c r="E689" i="1"/>
  <c r="E678" i="1"/>
  <c r="E656" i="1"/>
  <c r="E645" i="1"/>
  <c r="E623" i="1"/>
  <c r="E612" i="1"/>
  <c r="E601" i="1"/>
  <c r="E579" i="1"/>
  <c r="E568" i="1"/>
  <c r="E557" i="1"/>
  <c r="E535" i="1"/>
  <c r="E524" i="1"/>
  <c r="E513" i="1"/>
  <c r="E502" i="1"/>
  <c r="E491" i="1"/>
  <c r="E480" i="1"/>
  <c r="E469" i="1"/>
  <c r="E458" i="1"/>
  <c r="E447" i="1"/>
  <c r="E436" i="1"/>
  <c r="E425" i="1"/>
  <c r="E414" i="1"/>
  <c r="E403" i="1"/>
  <c r="E392" i="1"/>
  <c r="E370" i="1"/>
  <c r="E359" i="1"/>
  <c r="E348" i="1"/>
  <c r="E337" i="1"/>
  <c r="E326" i="1"/>
  <c r="E315" i="1"/>
  <c r="E293" i="1"/>
  <c r="E282" i="1"/>
  <c r="E271" i="1"/>
  <c r="E260" i="1"/>
  <c r="E249" i="1"/>
  <c r="E238" i="1"/>
  <c r="E227" i="1"/>
  <c r="E216" i="1"/>
  <c r="E205" i="1"/>
  <c r="E194" i="1"/>
  <c r="E183" i="1"/>
  <c r="E172" i="1"/>
  <c r="E161" i="1"/>
  <c r="E150" i="1"/>
  <c r="E139" i="1"/>
  <c r="E128" i="1"/>
  <c r="E117" i="1"/>
  <c r="E95" i="1"/>
  <c r="E84" i="1"/>
  <c r="E73" i="1"/>
  <c r="E62" i="1"/>
  <c r="E51" i="1"/>
  <c r="E40" i="1"/>
  <c r="E29" i="1"/>
  <c r="E18" i="1"/>
  <c r="E7" i="1"/>
  <c r="K572" i="1"/>
  <c r="K451" i="1"/>
  <c r="K341" i="1"/>
  <c r="K220" i="1"/>
  <c r="K110" i="1"/>
  <c r="K22" i="1"/>
  <c r="K807" i="1"/>
  <c r="K719" i="1"/>
  <c r="K686" i="1"/>
  <c r="K598" i="1"/>
  <c r="K488" i="1"/>
  <c r="K367" i="1"/>
  <c r="K257" i="1"/>
  <c r="K202" i="1"/>
  <c r="K136" i="1"/>
  <c r="K114" i="1"/>
  <c r="K784" i="1"/>
  <c r="K740" i="1"/>
  <c r="K718" i="1"/>
  <c r="K652" i="1"/>
  <c r="K619" i="1"/>
  <c r="K597" i="1"/>
  <c r="K553" i="1"/>
  <c r="K531" i="1"/>
  <c r="K487" i="1"/>
  <c r="K432" i="1"/>
  <c r="K421" i="1"/>
  <c r="K366" i="1"/>
  <c r="K344" i="1"/>
  <c r="K300" i="1"/>
  <c r="K256" i="1"/>
  <c r="K234" i="1"/>
  <c r="K190" i="1"/>
  <c r="K168" i="1"/>
  <c r="K135" i="1"/>
  <c r="K113" i="1"/>
  <c r="K102" i="1"/>
  <c r="K69" i="1"/>
  <c r="K47" i="1"/>
  <c r="K3" i="1"/>
  <c r="K612" i="1"/>
  <c r="K513" i="1"/>
  <c r="K315" i="1"/>
  <c r="K282" i="1"/>
  <c r="K260" i="1"/>
  <c r="K194" i="1"/>
  <c r="K150" i="1"/>
  <c r="K128" i="1"/>
  <c r="K84" i="1"/>
  <c r="K29" i="1"/>
  <c r="K18" i="1"/>
  <c r="K731" i="1"/>
  <c r="K720" i="1"/>
  <c r="K709" i="1"/>
  <c r="K698" i="1"/>
  <c r="K687" i="1"/>
  <c r="K665" i="1"/>
  <c r="K654" i="1"/>
  <c r="K643" i="1"/>
  <c r="K632" i="1"/>
  <c r="K621" i="1"/>
  <c r="K610" i="1"/>
  <c r="K599" i="1"/>
  <c r="K588" i="1"/>
  <c r="K577" i="1"/>
  <c r="K566" i="1"/>
  <c r="K555" i="1"/>
  <c r="K544" i="1"/>
  <c r="K533" i="1"/>
  <c r="K522" i="1"/>
  <c r="K511" i="1"/>
  <c r="K500" i="1"/>
  <c r="K489" i="1"/>
  <c r="K478" i="1"/>
  <c r="K467" i="1"/>
  <c r="K456" i="1"/>
  <c r="K445" i="1"/>
  <c r="K434" i="1"/>
  <c r="K423" i="1"/>
  <c r="K412" i="1"/>
  <c r="K401" i="1"/>
  <c r="K390" i="1"/>
  <c r="K379" i="1"/>
  <c r="K368" i="1"/>
  <c r="K357" i="1"/>
  <c r="K346" i="1"/>
  <c r="K335" i="1"/>
  <c r="K324" i="1"/>
  <c r="K313" i="1"/>
  <c r="K302" i="1"/>
  <c r="K291" i="1"/>
  <c r="K280" i="1"/>
  <c r="K269" i="1"/>
  <c r="K258" i="1"/>
  <c r="K247" i="1"/>
  <c r="K236" i="1"/>
  <c r="K225" i="1"/>
  <c r="K214" i="1"/>
  <c r="K203" i="1"/>
  <c r="K192" i="1"/>
  <c r="K181" i="1"/>
  <c r="K170" i="1"/>
  <c r="K159" i="1"/>
  <c r="K148" i="1"/>
  <c r="K137" i="1"/>
  <c r="K126" i="1"/>
  <c r="K115" i="1"/>
  <c r="K104" i="1"/>
  <c r="K93" i="1"/>
  <c r="K82" i="1"/>
  <c r="K71" i="1"/>
  <c r="K60" i="1"/>
  <c r="K49" i="1"/>
  <c r="K38" i="1"/>
  <c r="K27" i="1"/>
  <c r="K16" i="1"/>
  <c r="K5" i="1"/>
  <c r="K486" i="1"/>
  <c r="K431" i="1"/>
  <c r="K409" i="1"/>
  <c r="K398" i="1"/>
  <c r="K365" i="1"/>
  <c r="K343" i="1"/>
  <c r="K299" i="1"/>
  <c r="K277" i="1"/>
  <c r="K233" i="1"/>
  <c r="K178" i="1"/>
  <c r="K167" i="1"/>
  <c r="K68" i="1"/>
  <c r="K46" i="1"/>
  <c r="R808" i="1"/>
  <c r="R764" i="1"/>
  <c r="R731" i="1"/>
  <c r="R676" i="1"/>
  <c r="R654" i="1"/>
  <c r="R566" i="1"/>
  <c r="R533" i="1"/>
  <c r="R467" i="1"/>
  <c r="R434" i="1"/>
  <c r="R357" i="1"/>
  <c r="R291" i="1"/>
  <c r="R225" i="1"/>
  <c r="R192" i="1"/>
  <c r="R148" i="1"/>
  <c r="R104" i="1"/>
  <c r="R71" i="1"/>
  <c r="R16" i="1"/>
  <c r="R816" i="1"/>
  <c r="R772" i="1"/>
  <c r="R761" i="1"/>
  <c r="R695" i="1"/>
  <c r="R651" i="1"/>
  <c r="R640" i="1"/>
  <c r="R574" i="1"/>
  <c r="R530" i="1"/>
  <c r="R519" i="1"/>
  <c r="R453" i="1"/>
  <c r="R409" i="1"/>
  <c r="R398" i="1"/>
  <c r="R332" i="1"/>
  <c r="R288" i="1"/>
  <c r="R277" i="1"/>
  <c r="R211" i="1"/>
  <c r="R167" i="1"/>
  <c r="R156" i="1"/>
  <c r="R123" i="1"/>
  <c r="R101" i="1"/>
  <c r="R35" i="1"/>
  <c r="R720" i="1"/>
  <c r="R804" i="1"/>
  <c r="R793" i="1"/>
  <c r="R782" i="1"/>
  <c r="R760" i="1"/>
  <c r="R749" i="1"/>
  <c r="R727" i="1"/>
  <c r="R716" i="1"/>
  <c r="R683" i="1"/>
  <c r="R672" i="1"/>
  <c r="R661" i="1"/>
  <c r="R639" i="1"/>
  <c r="R628" i="1"/>
  <c r="R606" i="1"/>
  <c r="R595" i="1"/>
  <c r="R562" i="1"/>
  <c r="R551" i="1"/>
  <c r="R540" i="1"/>
  <c r="R518" i="1"/>
  <c r="R507" i="1"/>
  <c r="R496" i="1"/>
  <c r="R485" i="1"/>
  <c r="R474" i="1"/>
  <c r="R441" i="1"/>
  <c r="R430" i="1"/>
  <c r="R419" i="1"/>
  <c r="R397" i="1"/>
  <c r="R386" i="1"/>
  <c r="R375" i="1"/>
  <c r="R364" i="1"/>
  <c r="R353" i="1"/>
  <c r="R320" i="1"/>
  <c r="R309" i="1"/>
  <c r="R298" i="1"/>
  <c r="R276" i="1"/>
  <c r="R265" i="1"/>
  <c r="R254" i="1"/>
  <c r="R243" i="1"/>
  <c r="R232" i="1"/>
  <c r="R221" i="1"/>
  <c r="R210" i="1"/>
  <c r="R199" i="1"/>
  <c r="R188" i="1"/>
  <c r="R177" i="1"/>
  <c r="R155" i="1"/>
  <c r="R144" i="1"/>
  <c r="R133" i="1"/>
  <c r="R122" i="1"/>
  <c r="R111" i="1"/>
  <c r="R89" i="1"/>
  <c r="R78" i="1"/>
  <c r="R67" i="1"/>
  <c r="R56" i="1"/>
  <c r="R45" i="1"/>
  <c r="R34" i="1"/>
  <c r="R23" i="1"/>
  <c r="R12" i="1"/>
  <c r="R763" i="1"/>
  <c r="R752" i="1"/>
  <c r="R411" i="1"/>
  <c r="R290" i="1"/>
  <c r="R257" i="1"/>
  <c r="R246" i="1"/>
  <c r="R169" i="1"/>
  <c r="R147" i="1"/>
  <c r="R103" i="1"/>
  <c r="R81" i="1"/>
  <c r="R26" i="1"/>
  <c r="E816" i="1"/>
  <c r="E805" i="1"/>
  <c r="E794" i="1"/>
  <c r="E761" i="1"/>
  <c r="E750" i="1"/>
  <c r="E739" i="1"/>
  <c r="E728" i="1"/>
  <c r="E717" i="1"/>
  <c r="E651" i="1"/>
  <c r="E618" i="1"/>
  <c r="E607" i="1"/>
  <c r="E596" i="1"/>
  <c r="E574" i="1"/>
  <c r="E530" i="1"/>
  <c r="E519" i="1"/>
  <c r="E453" i="1"/>
  <c r="E409" i="1"/>
  <c r="E332" i="1"/>
  <c r="E288" i="1"/>
  <c r="E233" i="1"/>
  <c r="E200" i="1"/>
  <c r="E167" i="1"/>
  <c r="E79" i="1"/>
  <c r="R755" i="1"/>
  <c r="R744" i="1"/>
  <c r="R711" i="1"/>
  <c r="R700" i="1"/>
  <c r="R634" i="1"/>
  <c r="R623" i="1"/>
  <c r="R590" i="1"/>
  <c r="R579" i="1"/>
  <c r="R513" i="1"/>
  <c r="R502" i="1"/>
  <c r="R469" i="1"/>
  <c r="R458" i="1"/>
  <c r="R392" i="1"/>
  <c r="R381" i="1"/>
  <c r="R348" i="1"/>
  <c r="R337" i="1"/>
  <c r="R2" i="1"/>
  <c r="R809" i="1"/>
  <c r="R743" i="1"/>
  <c r="R687" i="1"/>
  <c r="R588" i="1"/>
  <c r="R423" i="1"/>
  <c r="R313" i="1"/>
  <c r="R170" i="1"/>
  <c r="R38" i="1"/>
  <c r="R797" i="1"/>
  <c r="R610" i="1"/>
  <c r="R522" i="1"/>
  <c r="R478" i="1"/>
  <c r="R445" i="1"/>
  <c r="R368" i="1"/>
  <c r="R324" i="1"/>
  <c r="R280" i="1"/>
  <c r="R247" i="1"/>
  <c r="R203" i="1"/>
  <c r="R159" i="1"/>
  <c r="R115" i="1"/>
  <c r="R82" i="1"/>
  <c r="R49" i="1"/>
  <c r="R818" i="1"/>
  <c r="R796" i="1"/>
  <c r="R785" i="1"/>
  <c r="R719" i="1"/>
  <c r="R708" i="1"/>
  <c r="R697" i="1"/>
  <c r="R675" i="1"/>
  <c r="R664" i="1"/>
  <c r="R642" i="1"/>
  <c r="R631" i="1"/>
  <c r="R598" i="1"/>
  <c r="R587" i="1"/>
  <c r="R576" i="1"/>
  <c r="R554" i="1"/>
  <c r="R543" i="1"/>
  <c r="R521" i="1"/>
  <c r="R510" i="1"/>
  <c r="R477" i="1"/>
  <c r="R466" i="1"/>
  <c r="R455" i="1"/>
  <c r="R433" i="1"/>
  <c r="R422" i="1"/>
  <c r="R400" i="1"/>
  <c r="R389" i="1"/>
  <c r="R356" i="1"/>
  <c r="R345" i="1"/>
  <c r="R334" i="1"/>
  <c r="R312" i="1"/>
  <c r="R301" i="1"/>
  <c r="R279" i="1"/>
  <c r="R268" i="1"/>
  <c r="R235" i="1"/>
  <c r="R224" i="1"/>
  <c r="R213" i="1"/>
  <c r="R191" i="1"/>
  <c r="R180" i="1"/>
  <c r="R158" i="1"/>
  <c r="R136" i="1"/>
  <c r="R125" i="1"/>
  <c r="R114" i="1"/>
  <c r="R92" i="1"/>
  <c r="R70" i="1"/>
  <c r="R48" i="1"/>
  <c r="R37" i="1"/>
  <c r="R15" i="1"/>
  <c r="R4" i="1"/>
  <c r="E809" i="1"/>
  <c r="E776" i="1"/>
  <c r="E765" i="1"/>
  <c r="E743" i="1"/>
  <c r="E688" i="1"/>
  <c r="E655" i="1"/>
  <c r="E644" i="1"/>
  <c r="E622" i="1"/>
  <c r="E578" i="1"/>
  <c r="E567" i="1"/>
  <c r="E556" i="1"/>
  <c r="E479" i="1"/>
  <c r="E358" i="1"/>
  <c r="E281" i="1"/>
  <c r="R775" i="1"/>
  <c r="R709" i="1"/>
  <c r="R643" i="1"/>
  <c r="R599" i="1"/>
  <c r="R555" i="1"/>
  <c r="R489" i="1"/>
  <c r="R412" i="1"/>
  <c r="R401" i="1"/>
  <c r="R346" i="1"/>
  <c r="R302" i="1"/>
  <c r="R236" i="1"/>
  <c r="R181" i="1"/>
  <c r="R137" i="1"/>
  <c r="R93" i="1"/>
  <c r="R60" i="1"/>
  <c r="R27" i="1"/>
  <c r="R817" i="1"/>
  <c r="R806" i="1"/>
  <c r="R784" i="1"/>
  <c r="R773" i="1"/>
  <c r="R707" i="1"/>
  <c r="R696" i="1"/>
  <c r="R685" i="1"/>
  <c r="R663" i="1"/>
  <c r="R652" i="1"/>
  <c r="R586" i="1"/>
  <c r="R575" i="1"/>
  <c r="R564" i="1"/>
  <c r="R542" i="1"/>
  <c r="R531" i="1"/>
  <c r="R465" i="1"/>
  <c r="R454" i="1"/>
  <c r="R443" i="1"/>
  <c r="R421" i="1"/>
  <c r="R410" i="1"/>
  <c r="R344" i="1"/>
  <c r="R333" i="1"/>
  <c r="R322" i="1"/>
  <c r="R300" i="1"/>
  <c r="R289" i="1"/>
  <c r="R223" i="1"/>
  <c r="R212" i="1"/>
  <c r="R201" i="1"/>
  <c r="R179" i="1"/>
  <c r="R168" i="1"/>
  <c r="R124" i="1"/>
  <c r="R102" i="1"/>
  <c r="R91" i="1"/>
  <c r="R69" i="1"/>
  <c r="R58" i="1"/>
  <c r="R47" i="1"/>
  <c r="R3" i="1"/>
  <c r="R733" i="1"/>
  <c r="R612" i="1"/>
  <c r="R491" i="1"/>
  <c r="R370" i="1"/>
  <c r="E812" i="1"/>
  <c r="E801" i="1"/>
  <c r="E790" i="1"/>
  <c r="E779" i="1"/>
  <c r="E768" i="1"/>
  <c r="E757" i="1"/>
  <c r="E746" i="1"/>
  <c r="E735" i="1"/>
  <c r="E724" i="1"/>
  <c r="E669" i="1"/>
  <c r="E658" i="1"/>
  <c r="E647" i="1"/>
  <c r="E636" i="1"/>
  <c r="E625" i="1"/>
  <c r="E614" i="1"/>
  <c r="E603" i="1"/>
  <c r="E581" i="1"/>
  <c r="E570" i="1"/>
  <c r="E559" i="1"/>
  <c r="E548" i="1"/>
  <c r="E537" i="1"/>
  <c r="E526" i="1"/>
  <c r="E515" i="1"/>
  <c r="E504" i="1"/>
  <c r="E493" i="1"/>
  <c r="E482" i="1"/>
  <c r="E471" i="1"/>
  <c r="E460" i="1"/>
  <c r="E449" i="1"/>
  <c r="E438" i="1"/>
  <c r="E427" i="1"/>
  <c r="E416" i="1"/>
  <c r="E405" i="1"/>
  <c r="E394" i="1"/>
  <c r="E383" i="1"/>
  <c r="E372" i="1"/>
  <c r="E361" i="1"/>
  <c r="E350" i="1"/>
  <c r="E339" i="1"/>
  <c r="E328" i="1"/>
  <c r="E317" i="1"/>
  <c r="E306" i="1"/>
  <c r="E295" i="1"/>
  <c r="E284" i="1"/>
  <c r="E273" i="1"/>
  <c r="E262" i="1"/>
  <c r="E251" i="1"/>
  <c r="E240" i="1"/>
  <c r="E229" i="1"/>
  <c r="E218" i="1"/>
  <c r="E207" i="1"/>
  <c r="E196" i="1"/>
  <c r="E185" i="1"/>
  <c r="E163" i="1"/>
  <c r="E152" i="1"/>
  <c r="E141" i="1"/>
  <c r="E130" i="1"/>
  <c r="E119" i="1"/>
  <c r="E108" i="1"/>
  <c r="E97" i="1"/>
  <c r="E86" i="1"/>
  <c r="E75" i="1"/>
  <c r="E64" i="1"/>
  <c r="E53" i="1"/>
  <c r="E42" i="1"/>
  <c r="E31" i="1"/>
  <c r="E20" i="1"/>
  <c r="E9" i="1"/>
  <c r="E789" i="1"/>
  <c r="E778" i="1"/>
  <c r="E756" i="1"/>
  <c r="E745" i="1"/>
  <c r="E734" i="1"/>
  <c r="E668" i="1"/>
  <c r="E657" i="1"/>
  <c r="E646" i="1"/>
  <c r="E635" i="1"/>
  <c r="E624" i="1"/>
  <c r="E613" i="1"/>
  <c r="E602" i="1"/>
  <c r="E591" i="1"/>
  <c r="E580" i="1"/>
  <c r="E558" i="1"/>
  <c r="E547" i="1"/>
  <c r="E536" i="1"/>
  <c r="E525" i="1"/>
  <c r="E514" i="1"/>
  <c r="E481" i="1"/>
  <c r="E470" i="1"/>
  <c r="E459" i="1"/>
  <c r="E448" i="1"/>
  <c r="E437" i="1"/>
  <c r="E426" i="1"/>
  <c r="E415" i="1"/>
  <c r="E404" i="1"/>
  <c r="E393" i="1"/>
  <c r="E371" i="1"/>
  <c r="E360" i="1"/>
  <c r="E349" i="1"/>
  <c r="E338" i="1"/>
  <c r="E327" i="1"/>
  <c r="E316" i="1"/>
  <c r="E305" i="1"/>
  <c r="E294" i="1"/>
  <c r="E283" i="1"/>
  <c r="E272" i="1"/>
  <c r="E261" i="1"/>
  <c r="E250" i="1"/>
  <c r="E239" i="1"/>
  <c r="E228" i="1"/>
  <c r="E217" i="1"/>
  <c r="E206" i="1"/>
  <c r="E195" i="1"/>
  <c r="E184" i="1"/>
  <c r="E173" i="1"/>
  <c r="E162" i="1"/>
  <c r="E151" i="1"/>
  <c r="E129" i="1"/>
  <c r="E118" i="1"/>
  <c r="E107" i="1"/>
  <c r="E96" i="1"/>
  <c r="E85" i="1"/>
  <c r="E74" i="1"/>
  <c r="E63" i="1"/>
  <c r="E52" i="1"/>
  <c r="E30" i="1"/>
  <c r="E19" i="1"/>
  <c r="E8" i="1"/>
  <c r="E798" i="1"/>
  <c r="E787" i="1"/>
  <c r="E754" i="1"/>
  <c r="E732" i="1"/>
  <c r="E721" i="1"/>
  <c r="E710" i="1"/>
  <c r="E699" i="1"/>
  <c r="E677" i="1"/>
  <c r="E666" i="1"/>
  <c r="E633" i="1"/>
  <c r="E611" i="1"/>
  <c r="E600" i="1"/>
  <c r="E589" i="1"/>
  <c r="E545" i="1"/>
  <c r="E534" i="1"/>
  <c r="E523" i="1"/>
  <c r="E512" i="1"/>
  <c r="E501" i="1"/>
  <c r="E490" i="1"/>
  <c r="E468" i="1"/>
  <c r="E457" i="1"/>
  <c r="E446" i="1"/>
  <c r="E424" i="1"/>
  <c r="E413" i="1"/>
  <c r="E402" i="1"/>
  <c r="E391" i="1"/>
  <c r="E380" i="1"/>
  <c r="E369" i="1"/>
  <c r="E347" i="1"/>
  <c r="E336" i="1"/>
  <c r="E325" i="1"/>
  <c r="E314" i="1"/>
  <c r="E303" i="1"/>
  <c r="E292" i="1"/>
  <c r="E270" i="1"/>
  <c r="E248" i="1"/>
  <c r="E237" i="1"/>
  <c r="E226" i="1"/>
  <c r="E215" i="1"/>
  <c r="E204" i="1"/>
  <c r="E193" i="1"/>
  <c r="E182" i="1"/>
  <c r="E171" i="1"/>
  <c r="E160" i="1"/>
  <c r="E149" i="1"/>
  <c r="E138" i="1"/>
  <c r="E127" i="1"/>
  <c r="E116" i="1"/>
  <c r="E105" i="1"/>
  <c r="E94" i="1"/>
  <c r="E83" i="1"/>
  <c r="E72" i="1"/>
  <c r="E61" i="1"/>
  <c r="E50" i="1"/>
  <c r="E39" i="1"/>
  <c r="E28" i="1"/>
  <c r="E17" i="1"/>
  <c r="E6" i="1"/>
  <c r="E772" i="1"/>
  <c r="E706" i="1"/>
  <c r="E695" i="1"/>
  <c r="E673" i="1"/>
  <c r="E662" i="1"/>
  <c r="E640" i="1"/>
  <c r="E629" i="1"/>
  <c r="E585" i="1"/>
  <c r="E563" i="1"/>
  <c r="E552" i="1"/>
  <c r="E541" i="1"/>
  <c r="E508" i="1"/>
  <c r="E497" i="1"/>
  <c r="E486" i="1"/>
  <c r="E475" i="1"/>
  <c r="E464" i="1"/>
  <c r="E442" i="1"/>
  <c r="E431" i="1"/>
  <c r="E420" i="1"/>
  <c r="E398" i="1"/>
  <c r="E387" i="1"/>
  <c r="E376" i="1"/>
  <c r="E365" i="1"/>
  <c r="E354" i="1"/>
  <c r="E343" i="1"/>
  <c r="E321" i="1"/>
  <c r="E310" i="1"/>
  <c r="E299" i="1"/>
  <c r="E277" i="1"/>
  <c r="E266" i="1"/>
  <c r="E255" i="1"/>
  <c r="E222" i="1"/>
  <c r="E189" i="1"/>
  <c r="E178" i="1"/>
  <c r="E156" i="1"/>
  <c r="E145" i="1"/>
  <c r="E134" i="1"/>
  <c r="E123" i="1"/>
  <c r="E112" i="1"/>
  <c r="E101" i="1"/>
  <c r="E90" i="1"/>
  <c r="E68" i="1"/>
  <c r="E57" i="1"/>
  <c r="E46" i="1"/>
  <c r="E35" i="1"/>
  <c r="E24" i="1"/>
  <c r="E13" i="1"/>
  <c r="E244" i="1"/>
  <c r="E815" i="1"/>
  <c r="E727" i="1"/>
  <c r="E716" i="1"/>
  <c r="E694" i="1"/>
  <c r="E672" i="1"/>
  <c r="E661" i="1"/>
  <c r="E650" i="1"/>
  <c r="E584" i="1"/>
  <c r="E573" i="1"/>
  <c r="E562" i="1"/>
  <c r="E551" i="1"/>
  <c r="E540" i="1"/>
  <c r="E529" i="1"/>
  <c r="E518" i="1"/>
  <c r="E496" i="1"/>
  <c r="E485" i="1"/>
  <c r="E474" i="1"/>
  <c r="E463" i="1"/>
  <c r="E452" i="1"/>
  <c r="E441" i="1"/>
  <c r="E419" i="1"/>
  <c r="E397" i="1"/>
  <c r="E386" i="1"/>
  <c r="E375" i="1"/>
  <c r="E364" i="1"/>
  <c r="E353" i="1"/>
  <c r="E342" i="1"/>
  <c r="E320" i="1"/>
  <c r="E298" i="1"/>
  <c r="E276" i="1"/>
  <c r="E265" i="1"/>
  <c r="E254" i="1"/>
  <c r="E243" i="1"/>
  <c r="E232" i="1"/>
  <c r="E221" i="1"/>
  <c r="E210" i="1"/>
  <c r="E199" i="1"/>
  <c r="E188" i="1"/>
  <c r="E177" i="1"/>
  <c r="E166" i="1"/>
  <c r="E155" i="1"/>
  <c r="E144" i="1"/>
  <c r="E133" i="1"/>
  <c r="E122" i="1"/>
  <c r="E111" i="1"/>
  <c r="E100" i="1"/>
  <c r="E89" i="1"/>
  <c r="E67" i="1"/>
  <c r="E56" i="1"/>
  <c r="E45" i="1"/>
  <c r="E34" i="1"/>
  <c r="E23" i="1"/>
  <c r="E12" i="1"/>
  <c r="E783" i="1"/>
  <c r="E684" i="1"/>
  <c r="E211" i="1"/>
  <c r="E814" i="1"/>
  <c r="E803" i="1"/>
  <c r="E792" i="1"/>
  <c r="E781" i="1"/>
  <c r="E770" i="1"/>
  <c r="E759" i="1"/>
  <c r="E748" i="1"/>
  <c r="E737" i="1"/>
  <c r="E715" i="1"/>
  <c r="E704" i="1"/>
  <c r="E682" i="1"/>
  <c r="K816" i="1"/>
  <c r="K805" i="1"/>
  <c r="K794" i="1"/>
  <c r="K772" i="1"/>
  <c r="K761" i="1"/>
  <c r="K750" i="1"/>
  <c r="K739" i="1"/>
  <c r="K706" i="1"/>
  <c r="K695" i="1"/>
  <c r="K684" i="1"/>
  <c r="K673" i="1"/>
  <c r="K651" i="1"/>
  <c r="K640" i="1"/>
  <c r="K629" i="1"/>
  <c r="K618" i="1"/>
  <c r="K607" i="1"/>
  <c r="K596" i="1"/>
  <c r="K585" i="1"/>
  <c r="K574" i="1"/>
  <c r="K563" i="1"/>
  <c r="K552" i="1"/>
  <c r="K541" i="1"/>
  <c r="K530" i="1"/>
  <c r="K519" i="1"/>
  <c r="K508" i="1"/>
  <c r="K475" i="1"/>
  <c r="K420" i="1"/>
  <c r="K354" i="1"/>
  <c r="K310" i="1"/>
  <c r="K288" i="1"/>
  <c r="K244" i="1"/>
  <c r="K222" i="1"/>
  <c r="K189" i="1"/>
  <c r="K156" i="1"/>
  <c r="K123" i="1"/>
  <c r="K101" i="1"/>
  <c r="K57" i="1"/>
  <c r="K35" i="1"/>
  <c r="K747" i="1"/>
  <c r="K703" i="1"/>
  <c r="K637" i="1"/>
  <c r="K593" i="1"/>
  <c r="K505" i="1"/>
  <c r="K384" i="1"/>
  <c r="K285" i="1"/>
  <c r="E730" i="1"/>
  <c r="E708" i="1"/>
  <c r="E697" i="1"/>
  <c r="E686" i="1"/>
  <c r="E609" i="1"/>
  <c r="E587" i="1"/>
  <c r="E576" i="1"/>
  <c r="E565" i="1"/>
  <c r="E521" i="1"/>
  <c r="E499" i="1"/>
  <c r="E455" i="1"/>
  <c r="E444" i="1"/>
  <c r="E433" i="1"/>
  <c r="E400" i="1"/>
  <c r="E378" i="1"/>
  <c r="E334" i="1"/>
  <c r="E323" i="1"/>
  <c r="E312" i="1"/>
  <c r="E279" i="1"/>
  <c r="E257" i="1"/>
  <c r="E235" i="1"/>
  <c r="E224" i="1"/>
  <c r="E213" i="1"/>
  <c r="E158" i="1"/>
  <c r="E147" i="1"/>
  <c r="E103" i="1"/>
  <c r="E92" i="1"/>
  <c r="E70" i="1"/>
  <c r="E59" i="1"/>
  <c r="E48" i="1"/>
  <c r="E26" i="1"/>
  <c r="E4" i="1"/>
  <c r="E718" i="1"/>
  <c r="E696" i="1"/>
  <c r="E685" i="1"/>
  <c r="E674" i="1"/>
  <c r="E597" i="1"/>
  <c r="E575" i="1"/>
  <c r="E564" i="1"/>
  <c r="E553" i="1"/>
  <c r="E509" i="1"/>
  <c r="E498" i="1"/>
  <c r="E487" i="1"/>
  <c r="E454" i="1"/>
  <c r="E432" i="1"/>
  <c r="E388" i="1"/>
  <c r="E377" i="1"/>
  <c r="E366" i="1"/>
  <c r="E333" i="1"/>
  <c r="E311" i="1"/>
  <c r="E267" i="1"/>
  <c r="E256" i="1"/>
  <c r="E223" i="1"/>
  <c r="E212" i="1"/>
  <c r="E201" i="1"/>
  <c r="E190" i="1"/>
  <c r="E179" i="1"/>
  <c r="E168" i="1"/>
  <c r="E157" i="1"/>
  <c r="E146" i="1"/>
  <c r="E135" i="1"/>
  <c r="E124" i="1"/>
  <c r="E102" i="1"/>
  <c r="E91" i="1"/>
  <c r="E69" i="1"/>
  <c r="E47" i="1"/>
  <c r="E14" i="1"/>
  <c r="K810" i="1"/>
  <c r="K744" i="1"/>
  <c r="K700" i="1"/>
  <c r="K634" i="1"/>
  <c r="K579" i="1"/>
  <c r="K491" i="1"/>
  <c r="K403" i="1"/>
  <c r="K381" i="1"/>
  <c r="K799" i="1"/>
  <c r="K788" i="1"/>
  <c r="K777" i="1"/>
  <c r="K766" i="1"/>
  <c r="K755" i="1"/>
  <c r="K733" i="1"/>
  <c r="K722" i="1"/>
  <c r="K711" i="1"/>
  <c r="K689" i="1"/>
  <c r="K678" i="1"/>
  <c r="K667" i="1"/>
  <c r="K656" i="1"/>
  <c r="K645" i="1"/>
  <c r="K623" i="1"/>
  <c r="K601" i="1"/>
  <c r="K590" i="1"/>
  <c r="K568" i="1"/>
  <c r="K557" i="1"/>
  <c r="K546" i="1"/>
  <c r="K535" i="1"/>
  <c r="K524" i="1"/>
  <c r="K502" i="1"/>
  <c r="K480" i="1"/>
  <c r="K469" i="1"/>
  <c r="K458" i="1"/>
  <c r="K447" i="1"/>
  <c r="K436" i="1"/>
  <c r="K425" i="1"/>
  <c r="K414" i="1"/>
  <c r="K392" i="1"/>
  <c r="K370" i="1"/>
  <c r="K359" i="1"/>
  <c r="K348" i="1"/>
  <c r="K337" i="1"/>
  <c r="K326" i="1"/>
  <c r="K304" i="1"/>
  <c r="K293" i="1"/>
  <c r="K271" i="1"/>
  <c r="K216" i="1"/>
  <c r="K813" i="1"/>
  <c r="K802" i="1"/>
  <c r="K791" i="1"/>
  <c r="K780" i="1"/>
  <c r="K758" i="1"/>
  <c r="K736" i="1"/>
  <c r="K725" i="1"/>
  <c r="K714" i="1"/>
  <c r="K692" i="1"/>
  <c r="K681" i="1"/>
  <c r="K670" i="1"/>
  <c r="K659" i="1"/>
  <c r="K648" i="1"/>
  <c r="K626" i="1"/>
  <c r="K615" i="1"/>
  <c r="K604" i="1"/>
  <c r="K582" i="1"/>
  <c r="K571" i="1"/>
  <c r="K560" i="1"/>
  <c r="K549" i="1"/>
  <c r="K538" i="1"/>
  <c r="K527" i="1"/>
  <c r="K494" i="1"/>
  <c r="K483" i="1"/>
  <c r="K461" i="1"/>
  <c r="K450" i="1"/>
  <c r="K439" i="1"/>
  <c r="K428" i="1"/>
  <c r="K417" i="1"/>
  <c r="K395" i="1"/>
  <c r="K373" i="1"/>
  <c r="K362" i="1"/>
  <c r="K351" i="1"/>
  <c r="K340" i="1"/>
  <c r="K329" i="1"/>
  <c r="K307" i="1"/>
  <c r="K296" i="1"/>
  <c r="K263" i="1"/>
  <c r="K252" i="1"/>
  <c r="K241" i="1"/>
  <c r="K230" i="1"/>
  <c r="K219" i="1"/>
  <c r="K208" i="1"/>
  <c r="K186" i="1"/>
  <c r="K175" i="1"/>
  <c r="K164" i="1"/>
  <c r="K142" i="1"/>
  <c r="K131" i="1"/>
  <c r="K98" i="1"/>
  <c r="K76" i="1"/>
  <c r="K32" i="1"/>
  <c r="K795" i="1"/>
  <c r="K773" i="1"/>
  <c r="K729" i="1"/>
  <c r="K707" i="1"/>
  <c r="K674" i="1"/>
  <c r="K608" i="1"/>
  <c r="K586" i="1"/>
  <c r="K542" i="1"/>
  <c r="K498" i="1"/>
  <c r="K476" i="1"/>
  <c r="K410" i="1"/>
  <c r="K377" i="1"/>
  <c r="K355" i="1"/>
  <c r="K311" i="1"/>
  <c r="K289" i="1"/>
  <c r="K245" i="1"/>
  <c r="K223" i="1"/>
  <c r="K179" i="1"/>
  <c r="K124" i="1"/>
  <c r="K58" i="1"/>
  <c r="K14" i="1"/>
  <c r="K283" i="1"/>
  <c r="K272" i="1"/>
  <c r="K238" i="1"/>
  <c r="K227" i="1"/>
  <c r="K205" i="1"/>
  <c r="K183" i="1"/>
  <c r="K172" i="1"/>
  <c r="K161" i="1"/>
  <c r="K139" i="1"/>
  <c r="K117" i="1"/>
  <c r="K106" i="1"/>
  <c r="K95" i="1"/>
  <c r="K73" i="1"/>
  <c r="K62" i="1"/>
  <c r="K51" i="1"/>
  <c r="K40" i="1"/>
  <c r="K7" i="1"/>
  <c r="K120" i="1"/>
  <c r="K65" i="1"/>
  <c r="K54" i="1"/>
  <c r="K10" i="1"/>
  <c r="K817" i="1"/>
  <c r="K806" i="1"/>
  <c r="K762" i="1"/>
  <c r="K751" i="1"/>
  <c r="K696" i="1"/>
  <c r="K685" i="1"/>
  <c r="K641" i="1"/>
  <c r="K630" i="1"/>
  <c r="K575" i="1"/>
  <c r="K564" i="1"/>
  <c r="K520" i="1"/>
  <c r="K509" i="1"/>
  <c r="K454" i="1"/>
  <c r="K443" i="1"/>
  <c r="K399" i="1"/>
  <c r="K388" i="1"/>
  <c r="K333" i="1"/>
  <c r="K322" i="1"/>
  <c r="K278" i="1"/>
  <c r="K267" i="1"/>
  <c r="K212" i="1"/>
  <c r="K201" i="1"/>
  <c r="K157" i="1"/>
  <c r="K146" i="1"/>
  <c r="K91" i="1"/>
  <c r="K80" i="1"/>
  <c r="K36" i="1"/>
  <c r="K25" i="1"/>
  <c r="K812" i="1"/>
  <c r="K801" i="1"/>
  <c r="K790" i="1"/>
  <c r="K779" i="1"/>
  <c r="K768" i="1"/>
  <c r="K757" i="1"/>
  <c r="K746" i="1"/>
  <c r="K735" i="1"/>
  <c r="K724" i="1"/>
  <c r="K713" i="1"/>
  <c r="K702" i="1"/>
  <c r="K691" i="1"/>
  <c r="K680" i="1"/>
  <c r="K669" i="1"/>
  <c r="K658" i="1"/>
  <c r="K647" i="1"/>
  <c r="K636" i="1"/>
  <c r="K625" i="1"/>
  <c r="K614" i="1"/>
  <c r="K603" i="1"/>
  <c r="K592" i="1"/>
  <c r="K581" i="1"/>
  <c r="K570" i="1"/>
  <c r="K497" i="1"/>
  <c r="K453" i="1"/>
  <c r="K442" i="1"/>
  <c r="K387" i="1"/>
  <c r="K376" i="1"/>
  <c r="K332" i="1"/>
  <c r="K321" i="1"/>
  <c r="K266" i="1"/>
  <c r="K255" i="1"/>
  <c r="K211" i="1"/>
  <c r="K200" i="1"/>
  <c r="K145" i="1"/>
  <c r="K134" i="1"/>
  <c r="K90" i="1"/>
  <c r="K79" i="1"/>
  <c r="K24" i="1"/>
  <c r="K13" i="1"/>
  <c r="K803" i="1"/>
  <c r="K792" i="1"/>
  <c r="K737" i="1"/>
  <c r="K726" i="1"/>
  <c r="K682" i="1"/>
  <c r="K671" i="1"/>
  <c r="K616" i="1"/>
  <c r="K605" i="1"/>
  <c r="K561" i="1"/>
  <c r="K550" i="1"/>
  <c r="K495" i="1"/>
  <c r="K484" i="1"/>
  <c r="K440" i="1"/>
  <c r="K429" i="1"/>
  <c r="K374" i="1"/>
  <c r="K363" i="1"/>
  <c r="K319" i="1"/>
  <c r="K308" i="1"/>
  <c r="K253" i="1"/>
  <c r="K242" i="1"/>
  <c r="K198" i="1"/>
  <c r="K187" i="1"/>
  <c r="K132" i="1"/>
  <c r="K121" i="1"/>
  <c r="K77" i="1"/>
  <c r="K66" i="1"/>
  <c r="K11" i="1"/>
  <c r="K818" i="1"/>
  <c r="K763" i="1"/>
  <c r="K752" i="1"/>
  <c r="K708" i="1"/>
  <c r="K697" i="1"/>
  <c r="K642" i="1"/>
  <c r="K631" i="1"/>
  <c r="K587" i="1"/>
  <c r="K576" i="1"/>
  <c r="K521" i="1"/>
  <c r="K510" i="1"/>
  <c r="K466" i="1"/>
  <c r="K455" i="1"/>
  <c r="K400" i="1"/>
  <c r="K389" i="1"/>
  <c r="K345" i="1"/>
  <c r="K334" i="1"/>
  <c r="K279" i="1"/>
  <c r="K268" i="1"/>
  <c r="K224" i="1"/>
  <c r="K213" i="1"/>
  <c r="K158" i="1"/>
  <c r="K147" i="1"/>
  <c r="K103" i="1"/>
  <c r="K92" i="1"/>
  <c r="K37" i="1"/>
  <c r="K26" i="1"/>
  <c r="K261" i="1"/>
  <c r="K250" i="1"/>
  <c r="K239" i="1"/>
  <c r="K228" i="1"/>
  <c r="K217" i="1"/>
  <c r="K206" i="1"/>
  <c r="K195" i="1"/>
  <c r="K184" i="1"/>
  <c r="K173" i="1"/>
  <c r="K162" i="1"/>
  <c r="K151" i="1"/>
  <c r="K140" i="1"/>
  <c r="K129" i="1"/>
  <c r="K118" i="1"/>
  <c r="K107" i="1"/>
  <c r="K96" i="1"/>
  <c r="K85" i="1"/>
  <c r="K74" i="1"/>
  <c r="K63" i="1"/>
  <c r="K52" i="1"/>
  <c r="K41" i="1"/>
  <c r="K30" i="1"/>
  <c r="K19" i="1"/>
  <c r="K8" i="1"/>
  <c r="K559" i="1"/>
  <c r="K548" i="1"/>
  <c r="K537" i="1"/>
  <c r="K526" i="1"/>
  <c r="K515" i="1"/>
  <c r="K504" i="1"/>
  <c r="K493" i="1"/>
  <c r="K482" i="1"/>
  <c r="K471" i="1"/>
  <c r="K460" i="1"/>
  <c r="K449" i="1"/>
  <c r="K438" i="1"/>
  <c r="K427" i="1"/>
  <c r="K416" i="1"/>
  <c r="K405" i="1"/>
  <c r="K394" i="1"/>
  <c r="K383" i="1"/>
  <c r="K372" i="1"/>
  <c r="K361" i="1"/>
  <c r="K350" i="1"/>
  <c r="K339" i="1"/>
  <c r="K328" i="1"/>
  <c r="K317" i="1"/>
  <c r="K306" i="1"/>
  <c r="K295" i="1"/>
  <c r="K284" i="1"/>
  <c r="K273" i="1"/>
  <c r="K262" i="1"/>
  <c r="K251" i="1"/>
  <c r="K240" i="1"/>
  <c r="K229" i="1"/>
  <c r="K218" i="1"/>
  <c r="K207" i="1"/>
  <c r="K196" i="1"/>
  <c r="K185" i="1"/>
  <c r="K174" i="1"/>
  <c r="K163" i="1"/>
  <c r="K152" i="1"/>
  <c r="K141" i="1"/>
  <c r="K130" i="1"/>
  <c r="K119" i="1"/>
  <c r="K108" i="1"/>
  <c r="K97" i="1"/>
  <c r="K86" i="1"/>
  <c r="K75" i="1"/>
  <c r="K64" i="1"/>
  <c r="K53" i="1"/>
  <c r="K42" i="1"/>
  <c r="K31" i="1"/>
  <c r="K20" i="1"/>
  <c r="K9" i="1"/>
  <c r="X789" i="1"/>
  <c r="X633" i="1"/>
  <c r="X808" i="1"/>
  <c r="X797" i="1"/>
  <c r="X786" i="1"/>
  <c r="X764" i="1"/>
  <c r="X753" i="1"/>
  <c r="X742" i="1"/>
  <c r="X731" i="1"/>
  <c r="X720" i="1"/>
  <c r="X709" i="1"/>
  <c r="X698" i="1"/>
  <c r="X687" i="1"/>
  <c r="X676" i="1"/>
  <c r="X665" i="1"/>
  <c r="X643" i="1"/>
  <c r="X632" i="1"/>
  <c r="X621" i="1"/>
  <c r="X610" i="1"/>
  <c r="X599" i="1"/>
  <c r="X588" i="1"/>
  <c r="X577" i="1"/>
  <c r="X566" i="1"/>
  <c r="X555" i="1"/>
  <c r="X544" i="1"/>
  <c r="X522" i="1"/>
  <c r="X511" i="1"/>
  <c r="X500" i="1"/>
  <c r="X489" i="1"/>
  <c r="X478" i="1"/>
  <c r="X467" i="1"/>
  <c r="X456" i="1"/>
  <c r="X445" i="1"/>
  <c r="X434" i="1"/>
  <c r="X423" i="1"/>
  <c r="X401" i="1"/>
  <c r="X390" i="1"/>
  <c r="X379" i="1"/>
  <c r="X368" i="1"/>
  <c r="X357" i="1"/>
  <c r="X346" i="1"/>
  <c r="X335" i="1"/>
  <c r="X324" i="1"/>
  <c r="X313" i="1"/>
  <c r="X302" i="1"/>
  <c r="X280" i="1"/>
  <c r="X269" i="1"/>
  <c r="X258" i="1"/>
  <c r="X247" i="1"/>
  <c r="X236" i="1"/>
  <c r="X225" i="1"/>
  <c r="X214" i="1"/>
  <c r="X203" i="1"/>
  <c r="X192" i="1"/>
  <c r="X181" i="1"/>
  <c r="X159" i="1"/>
  <c r="X148" i="1"/>
  <c r="X137" i="1"/>
  <c r="X27" i="1"/>
  <c r="X21" i="1"/>
  <c r="X802" i="1"/>
  <c r="X769" i="1"/>
  <c r="X736" i="1"/>
  <c r="X703" i="1"/>
  <c r="X670" i="1"/>
  <c r="X637" i="1"/>
  <c r="X604" i="1"/>
  <c r="X571" i="1"/>
  <c r="X538" i="1"/>
  <c r="X505" i="1"/>
  <c r="X428" i="1"/>
  <c r="X263" i="1"/>
  <c r="X32" i="1"/>
  <c r="X10" i="1"/>
  <c r="X791" i="1"/>
  <c r="X758" i="1"/>
  <c r="X725" i="1"/>
  <c r="X692" i="1"/>
  <c r="X659" i="1"/>
  <c r="X626" i="1"/>
  <c r="X593" i="1"/>
  <c r="X560" i="1"/>
  <c r="X527" i="1"/>
  <c r="X494" i="1"/>
  <c r="X472" i="1"/>
  <c r="X461" i="1"/>
  <c r="X439" i="1"/>
  <c r="X406" i="1"/>
  <c r="X384" i="1"/>
  <c r="X362" i="1"/>
  <c r="X340" i="1"/>
  <c r="X318" i="1"/>
  <c r="X296" i="1"/>
  <c r="X285" i="1"/>
  <c r="X241" i="1"/>
  <c r="X219" i="1"/>
  <c r="X197" i="1"/>
  <c r="X175" i="1"/>
  <c r="X153" i="1"/>
  <c r="X131" i="1"/>
  <c r="X109" i="1"/>
  <c r="X87" i="1"/>
  <c r="X76" i="1"/>
  <c r="X65" i="1"/>
  <c r="X43" i="1"/>
  <c r="X624" i="1"/>
  <c r="X813" i="1"/>
  <c r="X780" i="1"/>
  <c r="X747" i="1"/>
  <c r="X714" i="1"/>
  <c r="X681" i="1"/>
  <c r="X648" i="1"/>
  <c r="X615" i="1"/>
  <c r="X582" i="1"/>
  <c r="X549" i="1"/>
  <c r="X516" i="1"/>
  <c r="X483" i="1"/>
  <c r="X450" i="1"/>
  <c r="X417" i="1"/>
  <c r="X395" i="1"/>
  <c r="X373" i="1"/>
  <c r="X351" i="1"/>
  <c r="X329" i="1"/>
  <c r="X307" i="1"/>
  <c r="X274" i="1"/>
  <c r="X252" i="1"/>
  <c r="X230" i="1"/>
  <c r="X208" i="1"/>
  <c r="X186" i="1"/>
  <c r="X164" i="1"/>
  <c r="X142" i="1"/>
  <c r="X120" i="1"/>
  <c r="X98" i="1"/>
  <c r="X54" i="1"/>
  <c r="X767" i="1"/>
  <c r="X690" i="1"/>
  <c r="X349" i="1"/>
  <c r="X591" i="1"/>
  <c r="X569" i="1"/>
  <c r="X525" i="1"/>
  <c r="X448" i="1"/>
  <c r="X794" i="1"/>
  <c r="X673" i="1"/>
  <c r="X552" i="1"/>
  <c r="X431" i="1"/>
  <c r="X310" i="1"/>
  <c r="X189" i="1"/>
  <c r="X79" i="1"/>
  <c r="X691" i="1"/>
  <c r="X449" i="1"/>
  <c r="X328" i="1"/>
  <c r="X207" i="1"/>
  <c r="X12" i="1"/>
  <c r="X815" i="1"/>
  <c r="X804" i="1"/>
  <c r="X793" i="1"/>
  <c r="X782" i="1"/>
  <c r="X771" i="1"/>
  <c r="X760" i="1"/>
  <c r="X749" i="1"/>
  <c r="X738" i="1"/>
  <c r="X727" i="1"/>
  <c r="X716" i="1"/>
  <c r="X705" i="1"/>
  <c r="X694" i="1"/>
  <c r="X683" i="1"/>
  <c r="X672" i="1"/>
  <c r="X661" i="1"/>
  <c r="X650" i="1"/>
  <c r="X639" i="1"/>
  <c r="X628" i="1"/>
  <c r="X617" i="1"/>
  <c r="X606" i="1"/>
  <c r="X595" i="1"/>
  <c r="X584" i="1"/>
  <c r="X573" i="1"/>
  <c r="X562" i="1"/>
  <c r="X551" i="1"/>
  <c r="X540" i="1"/>
  <c r="X529" i="1"/>
  <c r="X518" i="1"/>
  <c r="X507" i="1"/>
  <c r="X496" i="1"/>
  <c r="X485" i="1"/>
  <c r="X474" i="1"/>
  <c r="X463" i="1"/>
  <c r="X452" i="1"/>
  <c r="X441" i="1"/>
  <c r="X430" i="1"/>
  <c r="X419" i="1"/>
  <c r="X408" i="1"/>
  <c r="X397" i="1"/>
  <c r="X386" i="1"/>
  <c r="X375" i="1"/>
  <c r="X364" i="1"/>
  <c r="X353" i="1"/>
  <c r="X342" i="1"/>
  <c r="X331" i="1"/>
  <c r="X320" i="1"/>
  <c r="X309" i="1"/>
  <c r="X298" i="1"/>
  <c r="X287" i="1"/>
  <c r="X276" i="1"/>
  <c r="X265" i="1"/>
  <c r="X254" i="1"/>
  <c r="X243" i="1"/>
  <c r="X232" i="1"/>
  <c r="X221" i="1"/>
  <c r="X210" i="1"/>
  <c r="X199" i="1"/>
  <c r="X188" i="1"/>
  <c r="X177" i="1"/>
  <c r="X166" i="1"/>
  <c r="X155" i="1"/>
  <c r="X144" i="1"/>
  <c r="X133" i="1"/>
  <c r="X122" i="1"/>
  <c r="X111" i="1"/>
  <c r="X100" i="1"/>
  <c r="X89" i="1"/>
  <c r="X78" i="1"/>
  <c r="X67" i="1"/>
  <c r="X56" i="1"/>
  <c r="X45" i="1"/>
  <c r="X34" i="1"/>
  <c r="X23" i="1"/>
  <c r="X602" i="1"/>
  <c r="X470" i="1"/>
  <c r="X11" i="1"/>
  <c r="X814" i="1"/>
  <c r="X803" i="1"/>
  <c r="X792" i="1"/>
  <c r="X781" i="1"/>
  <c r="X770" i="1"/>
  <c r="X759" i="1"/>
  <c r="X748" i="1"/>
  <c r="X737" i="1"/>
  <c r="X726" i="1"/>
  <c r="X715" i="1"/>
  <c r="X704" i="1"/>
  <c r="X693" i="1"/>
  <c r="X682" i="1"/>
  <c r="X671" i="1"/>
  <c r="X660" i="1"/>
  <c r="X649" i="1"/>
  <c r="X638" i="1"/>
  <c r="X627" i="1"/>
  <c r="X616" i="1"/>
  <c r="X605" i="1"/>
  <c r="X594" i="1"/>
  <c r="X583" i="1"/>
  <c r="X572" i="1"/>
  <c r="X561" i="1"/>
  <c r="X550" i="1"/>
  <c r="X539" i="1"/>
  <c r="X528" i="1"/>
  <c r="X517" i="1"/>
  <c r="X506" i="1"/>
  <c r="X495" i="1"/>
  <c r="X484" i="1"/>
  <c r="X473" i="1"/>
  <c r="X462" i="1"/>
  <c r="X451" i="1"/>
  <c r="X440" i="1"/>
  <c r="X429" i="1"/>
  <c r="X418" i="1"/>
  <c r="X407" i="1"/>
  <c r="X396" i="1"/>
  <c r="X385" i="1"/>
  <c r="X374" i="1"/>
  <c r="X363" i="1"/>
  <c r="X352" i="1"/>
  <c r="X341" i="1"/>
  <c r="X330" i="1"/>
  <c r="X319" i="1"/>
  <c r="X308" i="1"/>
  <c r="X297" i="1"/>
  <c r="X286" i="1"/>
  <c r="X275" i="1"/>
  <c r="X264" i="1"/>
  <c r="X253" i="1"/>
  <c r="X242" i="1"/>
  <c r="X15" i="1"/>
  <c r="X4" i="1"/>
  <c r="X807" i="1"/>
  <c r="X796" i="1"/>
  <c r="X785" i="1"/>
  <c r="X774" i="1"/>
  <c r="X763" i="1"/>
  <c r="X752" i="1"/>
  <c r="X741" i="1"/>
  <c r="X730" i="1"/>
  <c r="X719" i="1"/>
  <c r="X708" i="1"/>
  <c r="X697" i="1"/>
  <c r="X686" i="1"/>
  <c r="X675" i="1"/>
  <c r="X664" i="1"/>
  <c r="X653" i="1"/>
  <c r="X642" i="1"/>
  <c r="X631" i="1"/>
  <c r="X620" i="1"/>
  <c r="X609" i="1"/>
  <c r="X598" i="1"/>
  <c r="X587" i="1"/>
  <c r="X576" i="1"/>
  <c r="X565" i="1"/>
  <c r="X554" i="1"/>
  <c r="X543" i="1"/>
  <c r="X532" i="1"/>
  <c r="X521" i="1"/>
  <c r="X510" i="1"/>
  <c r="X499" i="1"/>
  <c r="X646" i="1"/>
  <c r="X2" i="1"/>
  <c r="X811" i="1"/>
  <c r="X745" i="1"/>
  <c r="X723" i="1"/>
  <c r="X712" i="1"/>
  <c r="X668" i="1"/>
  <c r="X17" i="1"/>
  <c r="X6" i="1"/>
  <c r="X809" i="1"/>
  <c r="X798" i="1"/>
  <c r="X787" i="1"/>
  <c r="X776" i="1"/>
  <c r="X765" i="1"/>
  <c r="X754" i="1"/>
  <c r="X743" i="1"/>
  <c r="X732" i="1"/>
  <c r="X721" i="1"/>
  <c r="X710" i="1"/>
  <c r="X699" i="1"/>
  <c r="X688" i="1"/>
  <c r="X677" i="1"/>
  <c r="X666" i="1"/>
  <c r="X655" i="1"/>
  <c r="X644" i="1"/>
  <c r="X622" i="1"/>
  <c r="X611" i="1"/>
  <c r="X600" i="1"/>
  <c r="X589" i="1"/>
  <c r="X578" i="1"/>
  <c r="X567" i="1"/>
  <c r="X556" i="1"/>
  <c r="X545" i="1"/>
  <c r="X534" i="1"/>
  <c r="X523" i="1"/>
  <c r="X512" i="1"/>
  <c r="X501" i="1"/>
  <c r="X490" i="1"/>
  <c r="X479" i="1"/>
  <c r="X468" i="1"/>
  <c r="X457" i="1"/>
  <c r="X446" i="1"/>
  <c r="X435" i="1"/>
  <c r="X424" i="1"/>
  <c r="X413" i="1"/>
  <c r="X402" i="1"/>
  <c r="X391" i="1"/>
  <c r="X380" i="1"/>
  <c r="X369" i="1"/>
  <c r="X358" i="1"/>
  <c r="X347" i="1"/>
  <c r="X336" i="1"/>
  <c r="X325" i="1"/>
  <c r="X314" i="1"/>
  <c r="X303" i="1"/>
  <c r="X292" i="1"/>
  <c r="X281" i="1"/>
  <c r="X270" i="1"/>
  <c r="X259" i="1"/>
  <c r="X248" i="1"/>
  <c r="X237" i="1"/>
  <c r="X226" i="1"/>
  <c r="X215" i="1"/>
  <c r="X149" i="1"/>
  <c r="X231" i="1"/>
  <c r="X220" i="1"/>
  <c r="X209" i="1"/>
  <c r="X198" i="1"/>
  <c r="X187" i="1"/>
  <c r="X176" i="1"/>
  <c r="X165" i="1"/>
  <c r="X154" i="1"/>
  <c r="X143" i="1"/>
  <c r="X132" i="1"/>
  <c r="X121" i="1"/>
  <c r="X110" i="1"/>
  <c r="X99" i="1"/>
  <c r="X88" i="1"/>
  <c r="X77" i="1"/>
  <c r="X66" i="1"/>
  <c r="X55" i="1"/>
  <c r="X44" i="1"/>
  <c r="X33" i="1"/>
  <c r="X22" i="1"/>
  <c r="X775" i="1"/>
  <c r="X654" i="1"/>
  <c r="X533" i="1"/>
  <c r="X412" i="1"/>
  <c r="X291" i="1"/>
  <c r="X170" i="1"/>
  <c r="X790" i="1"/>
  <c r="X768" i="1"/>
  <c r="X746" i="1"/>
  <c r="X724" i="1"/>
  <c r="X702" i="1"/>
  <c r="X669" i="1"/>
  <c r="X647" i="1"/>
  <c r="X625" i="1"/>
  <c r="X603" i="1"/>
  <c r="X581" i="1"/>
  <c r="X548" i="1"/>
  <c r="X526" i="1"/>
  <c r="X504" i="1"/>
  <c r="X482" i="1"/>
  <c r="X460" i="1"/>
  <c r="X427" i="1"/>
  <c r="X405" i="1"/>
  <c r="X383" i="1"/>
  <c r="X361" i="1"/>
  <c r="X339" i="1"/>
  <c r="X306" i="1"/>
  <c r="X284" i="1"/>
  <c r="X262" i="1"/>
  <c r="X240" i="1"/>
  <c r="X218" i="1"/>
  <c r="X185" i="1"/>
  <c r="X163" i="1"/>
  <c r="X75" i="1"/>
  <c r="X812" i="1"/>
  <c r="X570" i="1"/>
  <c r="X53" i="1"/>
  <c r="X204" i="1"/>
  <c r="X193" i="1"/>
  <c r="X182" i="1"/>
  <c r="X171" i="1"/>
  <c r="X160" i="1"/>
  <c r="X138" i="1"/>
  <c r="X127" i="1"/>
  <c r="X116" i="1"/>
  <c r="X105" i="1"/>
  <c r="X94" i="1"/>
  <c r="X83" i="1"/>
  <c r="X72" i="1"/>
  <c r="X61" i="1"/>
  <c r="X50" i="1"/>
  <c r="X39" i="1"/>
  <c r="X28" i="1"/>
  <c r="X35" i="1"/>
  <c r="X24" i="1"/>
  <c r="X13" i="1"/>
  <c r="X816" i="1"/>
  <c r="X805" i="1"/>
  <c r="X783" i="1"/>
  <c r="X772" i="1"/>
  <c r="X761" i="1"/>
  <c r="X750" i="1"/>
  <c r="X739" i="1"/>
  <c r="X728" i="1"/>
  <c r="X717" i="1"/>
  <c r="X706" i="1"/>
  <c r="X695" i="1"/>
  <c r="X684" i="1"/>
  <c r="X662" i="1"/>
  <c r="X651" i="1"/>
  <c r="X640" i="1"/>
  <c r="X629" i="1"/>
  <c r="X618" i="1"/>
  <c r="X607" i="1"/>
  <c r="X596" i="1"/>
  <c r="X585" i="1"/>
  <c r="X574" i="1"/>
  <c r="X563" i="1"/>
  <c r="X541" i="1"/>
  <c r="X530" i="1"/>
  <c r="X519" i="1"/>
  <c r="X508" i="1"/>
  <c r="X497" i="1"/>
  <c r="X486" i="1"/>
  <c r="X475" i="1"/>
  <c r="X464" i="1"/>
  <c r="X453" i="1"/>
  <c r="X442" i="1"/>
  <c r="X420" i="1"/>
  <c r="X409" i="1"/>
  <c r="X398" i="1"/>
  <c r="X387" i="1"/>
  <c r="X376" i="1"/>
  <c r="X365" i="1"/>
  <c r="X354" i="1"/>
  <c r="X343" i="1"/>
  <c r="X332" i="1"/>
  <c r="X321" i="1"/>
  <c r="X299" i="1"/>
  <c r="X288" i="1"/>
  <c r="X277" i="1"/>
  <c r="X266" i="1"/>
  <c r="X255" i="1"/>
  <c r="X244" i="1"/>
  <c r="X233" i="1"/>
  <c r="X222" i="1"/>
  <c r="X211" i="1"/>
  <c r="X200" i="1"/>
  <c r="X178" i="1"/>
  <c r="X167" i="1"/>
  <c r="X156" i="1"/>
  <c r="X145" i="1"/>
  <c r="X134" i="1"/>
  <c r="X123" i="1"/>
  <c r="X112" i="1"/>
  <c r="X101" i="1"/>
  <c r="X90" i="1"/>
  <c r="X68" i="1"/>
  <c r="X57" i="1"/>
  <c r="X46" i="1"/>
  <c r="X488" i="1"/>
  <c r="X477" i="1"/>
  <c r="X466" i="1"/>
  <c r="X455" i="1"/>
  <c r="X444" i="1"/>
  <c r="X433" i="1"/>
  <c r="X422" i="1"/>
  <c r="X411" i="1"/>
  <c r="X400" i="1"/>
  <c r="X389" i="1"/>
  <c r="X378" i="1"/>
  <c r="X367" i="1"/>
  <c r="X356" i="1"/>
  <c r="X345" i="1"/>
  <c r="X334" i="1"/>
  <c r="X323" i="1"/>
  <c r="X312" i="1"/>
  <c r="X301" i="1"/>
  <c r="X290" i="1"/>
  <c r="X279" i="1"/>
  <c r="X268" i="1"/>
  <c r="X257" i="1"/>
  <c r="X246" i="1"/>
  <c r="X235" i="1"/>
  <c r="X224" i="1"/>
  <c r="X213" i="1"/>
  <c r="X202" i="1"/>
  <c r="X191" i="1"/>
  <c r="X180" i="1"/>
  <c r="X169" i="1"/>
  <c r="X158" i="1"/>
  <c r="X147" i="1"/>
  <c r="X136" i="1"/>
  <c r="X125" i="1"/>
  <c r="X114" i="1"/>
  <c r="X103" i="1"/>
  <c r="X92" i="1"/>
  <c r="X81" i="1"/>
  <c r="X70" i="1"/>
  <c r="X59" i="1"/>
  <c r="X48" i="1"/>
  <c r="X37" i="1"/>
  <c r="X26" i="1"/>
  <c r="X801" i="1"/>
  <c r="X779" i="1"/>
  <c r="X757" i="1"/>
  <c r="X735" i="1"/>
  <c r="X713" i="1"/>
  <c r="X680" i="1"/>
  <c r="X658" i="1"/>
  <c r="X636" i="1"/>
  <c r="X614" i="1"/>
  <c r="X592" i="1"/>
  <c r="X559" i="1"/>
  <c r="X537" i="1"/>
  <c r="X515" i="1"/>
  <c r="X493" i="1"/>
  <c r="X471" i="1"/>
  <c r="X438" i="1"/>
  <c r="X416" i="1"/>
  <c r="X394" i="1"/>
  <c r="X372" i="1"/>
  <c r="X350" i="1"/>
  <c r="X317" i="1"/>
  <c r="X295" i="1"/>
  <c r="X273" i="1"/>
  <c r="X251" i="1"/>
  <c r="X229" i="1"/>
  <c r="X196" i="1"/>
  <c r="X174" i="1"/>
  <c r="X152" i="1"/>
  <c r="X141" i="1"/>
  <c r="X130" i="1"/>
  <c r="X119" i="1"/>
  <c r="X108" i="1"/>
  <c r="X97" i="1"/>
  <c r="X86" i="1"/>
  <c r="X64" i="1"/>
  <c r="X42" i="1"/>
  <c r="X31" i="1"/>
  <c r="X20" i="1"/>
  <c r="X800" i="1"/>
  <c r="X778" i="1"/>
  <c r="X756" i="1"/>
  <c r="X734" i="1"/>
  <c r="X701" i="1"/>
  <c r="X679" i="1"/>
  <c r="X657" i="1"/>
  <c r="X635" i="1"/>
  <c r="X613" i="1"/>
  <c r="X580" i="1"/>
  <c r="X558" i="1"/>
  <c r="X536" i="1"/>
  <c r="X514" i="1"/>
  <c r="X492" i="1"/>
  <c r="X459" i="1"/>
  <c r="X437" i="1"/>
  <c r="X426" i="1"/>
  <c r="X415" i="1"/>
  <c r="X404" i="1"/>
  <c r="X393" i="1"/>
  <c r="X382" i="1"/>
  <c r="X371" i="1"/>
  <c r="X360" i="1"/>
  <c r="X338" i="1"/>
  <c r="X327" i="1"/>
  <c r="X316" i="1"/>
  <c r="X305" i="1"/>
  <c r="X294" i="1"/>
  <c r="X283" i="1"/>
  <c r="X272" i="1"/>
  <c r="X261" i="1"/>
  <c r="X250" i="1"/>
  <c r="X239" i="1"/>
  <c r="X217" i="1"/>
  <c r="X206" i="1"/>
  <c r="X195" i="1"/>
  <c r="X184" i="1"/>
  <c r="X173" i="1"/>
  <c r="X162" i="1"/>
  <c r="X151" i="1"/>
  <c r="X140" i="1"/>
  <c r="X129" i="1"/>
  <c r="X118" i="1"/>
  <c r="X107" i="1"/>
  <c r="X96" i="1"/>
  <c r="X85" i="1"/>
  <c r="X74" i="1"/>
  <c r="X63" i="1"/>
  <c r="X52" i="1"/>
  <c r="X41" i="1"/>
  <c r="X30" i="1"/>
  <c r="X19" i="1"/>
  <c r="X8" i="1"/>
  <c r="X18" i="1"/>
  <c r="X7" i="1"/>
  <c r="X810" i="1"/>
  <c r="X799" i="1"/>
  <c r="X788" i="1"/>
  <c r="X777" i="1"/>
  <c r="X766" i="1"/>
  <c r="X755" i="1"/>
  <c r="X744" i="1"/>
  <c r="X733" i="1"/>
  <c r="X722" i="1"/>
  <c r="X711" i="1"/>
  <c r="X700" i="1"/>
  <c r="X689" i="1"/>
  <c r="X678" i="1"/>
  <c r="X667" i="1"/>
  <c r="X656" i="1"/>
  <c r="X645" i="1"/>
  <c r="X634" i="1"/>
  <c r="X623" i="1"/>
  <c r="X612" i="1"/>
  <c r="X601" i="1"/>
  <c r="X590" i="1"/>
  <c r="X579" i="1"/>
  <c r="X568" i="1"/>
  <c r="X557" i="1"/>
  <c r="X546" i="1"/>
  <c r="X535" i="1"/>
  <c r="X524" i="1"/>
  <c r="X513" i="1"/>
  <c r="X502" i="1"/>
  <c r="X491" i="1"/>
  <c r="X480" i="1"/>
  <c r="X469" i="1"/>
  <c r="X458" i="1"/>
  <c r="X447" i="1"/>
  <c r="X436" i="1"/>
  <c r="X425" i="1"/>
  <c r="X414" i="1"/>
  <c r="X403" i="1"/>
  <c r="X392" i="1"/>
  <c r="X381" i="1"/>
  <c r="X370" i="1"/>
  <c r="X359" i="1"/>
  <c r="X348" i="1"/>
  <c r="X337" i="1"/>
  <c r="X326" i="1"/>
  <c r="X315" i="1"/>
  <c r="X304" i="1"/>
  <c r="X293" i="1"/>
  <c r="X282" i="1"/>
  <c r="X271" i="1"/>
  <c r="X260" i="1"/>
  <c r="X249" i="1"/>
  <c r="X238" i="1"/>
  <c r="X227" i="1"/>
  <c r="X216" i="1"/>
  <c r="X205" i="1"/>
  <c r="X194" i="1"/>
  <c r="X183" i="1"/>
  <c r="X172" i="1"/>
  <c r="X161" i="1"/>
  <c r="X150" i="1"/>
  <c r="X139" i="1"/>
  <c r="X128" i="1"/>
  <c r="X117" i="1"/>
  <c r="X106" i="1"/>
  <c r="X95" i="1"/>
  <c r="X84" i="1"/>
  <c r="X73" i="1"/>
  <c r="X62" i="1"/>
  <c r="X51" i="1"/>
  <c r="X40" i="1"/>
  <c r="X29" i="1"/>
  <c r="X14" i="1"/>
  <c r="X806" i="1"/>
  <c r="X784" i="1"/>
  <c r="X762" i="1"/>
  <c r="X740" i="1"/>
  <c r="X718" i="1"/>
  <c r="X696" i="1"/>
  <c r="X674" i="1"/>
  <c r="X652" i="1"/>
  <c r="X630" i="1"/>
  <c r="X608" i="1"/>
  <c r="X586" i="1"/>
  <c r="X564" i="1"/>
  <c r="X542" i="1"/>
  <c r="X520" i="1"/>
  <c r="X498" i="1"/>
  <c r="X476" i="1"/>
  <c r="X454" i="1"/>
  <c r="X432" i="1"/>
  <c r="X410" i="1"/>
  <c r="X388" i="1"/>
  <c r="X377" i="1"/>
  <c r="X355" i="1"/>
  <c r="X333" i="1"/>
  <c r="X311" i="1"/>
  <c r="X300" i="1"/>
  <c r="X278" i="1"/>
  <c r="X256" i="1"/>
  <c r="X234" i="1"/>
  <c r="X212" i="1"/>
  <c r="X179" i="1"/>
  <c r="X157" i="1"/>
  <c r="X146" i="1"/>
  <c r="X113" i="1"/>
  <c r="X91" i="1"/>
  <c r="X80" i="1"/>
  <c r="X58" i="1"/>
  <c r="X36" i="1"/>
  <c r="X3" i="1"/>
  <c r="X795" i="1"/>
  <c r="X773" i="1"/>
  <c r="X751" i="1"/>
  <c r="X729" i="1"/>
  <c r="X707" i="1"/>
  <c r="X685" i="1"/>
  <c r="X663" i="1"/>
  <c r="X641" i="1"/>
  <c r="X619" i="1"/>
  <c r="X597" i="1"/>
  <c r="X575" i="1"/>
  <c r="X553" i="1"/>
  <c r="X531" i="1"/>
  <c r="X509" i="1"/>
  <c r="X487" i="1"/>
  <c r="X465" i="1"/>
  <c r="X443" i="1"/>
  <c r="X421" i="1"/>
  <c r="X399" i="1"/>
  <c r="X366" i="1"/>
  <c r="X344" i="1"/>
  <c r="X322" i="1"/>
  <c r="X289" i="1"/>
  <c r="X267" i="1"/>
  <c r="X245" i="1"/>
  <c r="X223" i="1"/>
  <c r="X201" i="1"/>
  <c r="X190" i="1"/>
  <c r="X168" i="1"/>
  <c r="X135" i="1"/>
  <c r="X124" i="1"/>
  <c r="X102" i="1"/>
  <c r="X69" i="1"/>
  <c r="X47" i="1"/>
  <c r="X25" i="1"/>
  <c r="X16" i="1"/>
  <c r="X5" i="1"/>
  <c r="X126" i="1"/>
  <c r="X115" i="1"/>
  <c r="X104" i="1"/>
  <c r="X93" i="1"/>
  <c r="X82" i="1"/>
  <c r="X71" i="1"/>
  <c r="X60" i="1"/>
  <c r="X49" i="1"/>
  <c r="X38" i="1"/>
  <c r="X9" i="1"/>
</calcChain>
</file>

<file path=xl/sharedStrings.xml><?xml version="1.0" encoding="utf-8"?>
<sst xmlns="http://schemas.openxmlformats.org/spreadsheetml/2006/main" count="8624" uniqueCount="1048">
  <si>
    <t>acute_SP_SUB_adm</t>
  </si>
  <si>
    <t>acute_AS_SUB_adm</t>
  </si>
  <si>
    <t>acute_MH_SUB_adm</t>
  </si>
  <si>
    <t>acute_MA_SUB_adm</t>
  </si>
  <si>
    <t>acute_SCIM_TOTAL_adm</t>
  </si>
  <si>
    <t>acute_KF_SUB_adm</t>
  </si>
  <si>
    <t>acute_SP_SUB_dis</t>
  </si>
  <si>
    <t>acute_AS_SUB_dis</t>
  </si>
  <si>
    <t>acute_MH_SUB_dis</t>
  </si>
  <si>
    <t>acute_MA_SUB_dis</t>
  </si>
  <si>
    <t>acute_SCIM_TOTAL_dis</t>
  </si>
  <si>
    <t>acute_KF_SUB_dis</t>
  </si>
  <si>
    <t>acute_total_cost</t>
  </si>
  <si>
    <t>rehab_SP_SUB_adm</t>
  </si>
  <si>
    <t>rehab_AS_SUB_adm</t>
  </si>
  <si>
    <t>rehab_MH_SUB_adm</t>
  </si>
  <si>
    <t>rehab_MA_SUB_adm</t>
  </si>
  <si>
    <t>rehab_SCIM_TOTAL_adm</t>
  </si>
  <si>
    <t>rehab_KF_SUB_adm</t>
  </si>
  <si>
    <t>rehab_SP_SUB_dis</t>
  </si>
  <si>
    <t>rehab_AS_SUB_dis</t>
  </si>
  <si>
    <t>rehab_MH_SUB_dis</t>
  </si>
  <si>
    <t>rehab_MA_SUB_dis</t>
  </si>
  <si>
    <t>rehab_SCIM_TOTAL_dis</t>
  </si>
  <si>
    <t>rehab_KF_SUB_dis</t>
  </si>
  <si>
    <t>rehab_total_cost</t>
  </si>
  <si>
    <t>pid_anon</t>
  </si>
  <si>
    <t>age_at_entry</t>
  </si>
  <si>
    <t>icu_hours</t>
  </si>
  <si>
    <t>icd_main</t>
  </si>
  <si>
    <t>sex_label</t>
  </si>
  <si>
    <t>10</t>
  </si>
  <si>
    <t>11</t>
  </si>
  <si>
    <t>3</t>
  </si>
  <si>
    <t>4</t>
  </si>
  <si>
    <t>28</t>
  </si>
  <si>
    <t>34</t>
  </si>
  <si>
    <t>9</t>
  </si>
  <si>
    <t>17</t>
  </si>
  <si>
    <t>33</t>
  </si>
  <si>
    <t>G8212</t>
  </si>
  <si>
    <t>male</t>
  </si>
  <si>
    <t>32</t>
  </si>
  <si>
    <t>0</t>
  </si>
  <si>
    <t>18</t>
  </si>
  <si>
    <t>6</t>
  </si>
  <si>
    <t>J9601</t>
  </si>
  <si>
    <t>15</t>
  </si>
  <si>
    <t>9453A9F5BA55779D</t>
  </si>
  <si>
    <t>G8222</t>
  </si>
  <si>
    <t>13</t>
  </si>
  <si>
    <t>25</t>
  </si>
  <si>
    <t>16</t>
  </si>
  <si>
    <t>24</t>
  </si>
  <si>
    <t>31</t>
  </si>
  <si>
    <t>22</t>
  </si>
  <si>
    <t>1481BFBFCF0DBD0F</t>
  </si>
  <si>
    <t>G8213</t>
  </si>
  <si>
    <t>21</t>
  </si>
  <si>
    <t>7</t>
  </si>
  <si>
    <t>20</t>
  </si>
  <si>
    <t>M4145</t>
  </si>
  <si>
    <t>8</t>
  </si>
  <si>
    <t>C5F792FDE2D7F6E9</t>
  </si>
  <si>
    <t>G950</t>
  </si>
  <si>
    <t>26</t>
  </si>
  <si>
    <t>27</t>
  </si>
  <si>
    <t>J188</t>
  </si>
  <si>
    <t>29</t>
  </si>
  <si>
    <t>51AC755419361C07</t>
  </si>
  <si>
    <t>FEE1A7064651884B</t>
  </si>
  <si>
    <t>4B29AF29E0F3DB61</t>
  </si>
  <si>
    <t>J9609</t>
  </si>
  <si>
    <t>M751</t>
  </si>
  <si>
    <t>CF6F648005EC7743</t>
  </si>
  <si>
    <t>female</t>
  </si>
  <si>
    <t>M1921</t>
  </si>
  <si>
    <t>781C0AC5BD6D6A7C</t>
  </si>
  <si>
    <t>5147CE8A076A181A</t>
  </si>
  <si>
    <t>S460</t>
  </si>
  <si>
    <t>23</t>
  </si>
  <si>
    <t>94D1FBBCBD3B217F</t>
  </si>
  <si>
    <t>G8242</t>
  </si>
  <si>
    <t>30</t>
  </si>
  <si>
    <t>12</t>
  </si>
  <si>
    <t>M2551</t>
  </si>
  <si>
    <t>5CC714FC46FB56CF</t>
  </si>
  <si>
    <t>F8AF5F08F114B7F8</t>
  </si>
  <si>
    <t>C679</t>
  </si>
  <si>
    <t>F7BC2DA2D27F113B</t>
  </si>
  <si>
    <t>S7243</t>
  </si>
  <si>
    <t>BF53AA07C383FD8C</t>
  </si>
  <si>
    <t>S8211</t>
  </si>
  <si>
    <t>G9048</t>
  </si>
  <si>
    <t>7F19CBA4CC4E7D6A</t>
  </si>
  <si>
    <t>M8025</t>
  </si>
  <si>
    <t>AECEF28E647B9817</t>
  </si>
  <si>
    <t>M1386</t>
  </si>
  <si>
    <t>C64</t>
  </si>
  <si>
    <t>G8243</t>
  </si>
  <si>
    <t>3D55B1E3808CA448</t>
  </si>
  <si>
    <t>G9788</t>
  </si>
  <si>
    <t>14</t>
  </si>
  <si>
    <t>S7240</t>
  </si>
  <si>
    <t>0924906B5CC68EC4</t>
  </si>
  <si>
    <t>C674</t>
  </si>
  <si>
    <t>A5F17F6992399898</t>
  </si>
  <si>
    <t>J181</t>
  </si>
  <si>
    <t>N410</t>
  </si>
  <si>
    <t>L8927</t>
  </si>
  <si>
    <t>D61F9BFFC9B2523B</t>
  </si>
  <si>
    <t>K8011</t>
  </si>
  <si>
    <t>AD9A27CED84AF325</t>
  </si>
  <si>
    <t>AA671C05A6D9FB17</t>
  </si>
  <si>
    <t>M167</t>
  </si>
  <si>
    <t>M6632</t>
  </si>
  <si>
    <t>377CB1D3A98C83E7</t>
  </si>
  <si>
    <t>M960</t>
  </si>
  <si>
    <t>T835</t>
  </si>
  <si>
    <t>S2412</t>
  </si>
  <si>
    <t>G711</t>
  </si>
  <si>
    <t>S7211</t>
  </si>
  <si>
    <t>M8782</t>
  </si>
  <si>
    <t>G8223</t>
  </si>
  <si>
    <t>G9580</t>
  </si>
  <si>
    <t>7D511DC596D7B182</t>
  </si>
  <si>
    <t>M544</t>
  </si>
  <si>
    <t>J9619</t>
  </si>
  <si>
    <t>G560</t>
  </si>
  <si>
    <t>M185</t>
  </si>
  <si>
    <t>ADFDC1AEFBDF84FA</t>
  </si>
  <si>
    <t>G8201</t>
  </si>
  <si>
    <t>8BBF55FD086EA664</t>
  </si>
  <si>
    <t>AED8BEF27E068FD8</t>
  </si>
  <si>
    <t>M2124</t>
  </si>
  <si>
    <t>37CB7D0BCD74D5DB</t>
  </si>
  <si>
    <t>G562</t>
  </si>
  <si>
    <t>EB197331535EDE70</t>
  </si>
  <si>
    <t>G8252</t>
  </si>
  <si>
    <t>E1E3210877EA0BC1</t>
  </si>
  <si>
    <t>G9588</t>
  </si>
  <si>
    <t>T826</t>
  </si>
  <si>
    <t>M1981</t>
  </si>
  <si>
    <t>D44AE8754A5EC818</t>
  </si>
  <si>
    <t>M4196</t>
  </si>
  <si>
    <t>L8934</t>
  </si>
  <si>
    <t>4DD1E266B3A2BF05</t>
  </si>
  <si>
    <t>S7210</t>
  </si>
  <si>
    <t>S723</t>
  </si>
  <si>
    <t>45A0A3961EFFB662</t>
  </si>
  <si>
    <t>S462</t>
  </si>
  <si>
    <t>CA25A6A3F24BD403</t>
  </si>
  <si>
    <t>G062</t>
  </si>
  <si>
    <t>75D4C153F0D4F9B1</t>
  </si>
  <si>
    <t>G122</t>
  </si>
  <si>
    <t>Q850</t>
  </si>
  <si>
    <t>G800</t>
  </si>
  <si>
    <t>46D2B756534BFBB9</t>
  </si>
  <si>
    <t>Q068</t>
  </si>
  <si>
    <t>E0803D481FB70E43</t>
  </si>
  <si>
    <t>S8231</t>
  </si>
  <si>
    <t>D3FB63AD39A04FC3</t>
  </si>
  <si>
    <t>M8026</t>
  </si>
  <si>
    <t>6A2206BB5D71A2E9</t>
  </si>
  <si>
    <t>700B2BE40829CF8D</t>
  </si>
  <si>
    <t>M4802</t>
  </si>
  <si>
    <t>6D3A46F97CA0FA97</t>
  </si>
  <si>
    <t>L8937</t>
  </si>
  <si>
    <t>T8420</t>
  </si>
  <si>
    <t>43D63FD6E0423970</t>
  </si>
  <si>
    <t>ECBAB2E9561E8516</t>
  </si>
  <si>
    <t>G600</t>
  </si>
  <si>
    <t>M4806</t>
  </si>
  <si>
    <t>DD8556D05259705E</t>
  </si>
  <si>
    <t>S3411</t>
  </si>
  <si>
    <t>0BCF41234AF66CA0</t>
  </si>
  <si>
    <t>K592</t>
  </si>
  <si>
    <t>37BDF7E1BA6BD4A4</t>
  </si>
  <si>
    <t>S8218</t>
  </si>
  <si>
    <t>M546</t>
  </si>
  <si>
    <t>N390</t>
  </si>
  <si>
    <t>A7D48C2250A342FA</t>
  </si>
  <si>
    <t>9A22028753AF07C0</t>
  </si>
  <si>
    <t>G114</t>
  </si>
  <si>
    <t>M6651</t>
  </si>
  <si>
    <t>M4602</t>
  </si>
  <si>
    <t>EF4A3BEBCB8CBF79</t>
  </si>
  <si>
    <t>J9610</t>
  </si>
  <si>
    <t>6681681DABD4940B</t>
  </si>
  <si>
    <t>422C2A27AC3F393F</t>
  </si>
  <si>
    <t>M9688</t>
  </si>
  <si>
    <t>C6F7D16A726A5470</t>
  </si>
  <si>
    <t>M7920</t>
  </si>
  <si>
    <t>EB56C8799F215B2F</t>
  </si>
  <si>
    <t>B78424A84D8CF154</t>
  </si>
  <si>
    <t>N998</t>
  </si>
  <si>
    <t>8B0660C4FF14CB4E</t>
  </si>
  <si>
    <t>S8281</t>
  </si>
  <si>
    <t>2B647647794DB899</t>
  </si>
  <si>
    <t>S143</t>
  </si>
  <si>
    <t>T814</t>
  </si>
  <si>
    <t>Z451</t>
  </si>
  <si>
    <t>BBB567BA9C8A836B</t>
  </si>
  <si>
    <t>3697FBBBD6489F5B</t>
  </si>
  <si>
    <t>L8924</t>
  </si>
  <si>
    <t>G8200</t>
  </si>
  <si>
    <t>K429</t>
  </si>
  <si>
    <t>FDA8017FEE5093EE</t>
  </si>
  <si>
    <t>708537CE17026A82</t>
  </si>
  <si>
    <t>E8E7C8C0CFAE4A87</t>
  </si>
  <si>
    <t>G3530</t>
  </si>
  <si>
    <t>63F647EFFCE08CDD</t>
  </si>
  <si>
    <t>88E811BA8FE6ACFB</t>
  </si>
  <si>
    <t>DA868A08FC8EE32B</t>
  </si>
  <si>
    <t>8530018394864A85</t>
  </si>
  <si>
    <t>D2314FD0D73DC06A</t>
  </si>
  <si>
    <t>991154B362EA1105</t>
  </si>
  <si>
    <t>G9585</t>
  </si>
  <si>
    <t>G3531</t>
  </si>
  <si>
    <t>3791462AFFB5338F</t>
  </si>
  <si>
    <t>M1901</t>
  </si>
  <si>
    <t>S8238</t>
  </si>
  <si>
    <t>M512</t>
  </si>
  <si>
    <t>D2071C61C3278DB9</t>
  </si>
  <si>
    <t>672EEF0855C9EF10</t>
  </si>
  <si>
    <t>J690</t>
  </si>
  <si>
    <t>Q760</t>
  </si>
  <si>
    <t>3CCE34F34EF84E81</t>
  </si>
  <si>
    <t>A94093E214A3C1E6</t>
  </si>
  <si>
    <t>S4224</t>
  </si>
  <si>
    <t>3ED6A941CD7B3483</t>
  </si>
  <si>
    <t>J128</t>
  </si>
  <si>
    <t>G8341</t>
  </si>
  <si>
    <t>B267AA5AA09083F2</t>
  </si>
  <si>
    <t>M545</t>
  </si>
  <si>
    <t>76FFB5814BABCD71</t>
  </si>
  <si>
    <t>B7535EB4D1C32436</t>
  </si>
  <si>
    <t>G8253</t>
  </si>
  <si>
    <t>E2388A6404316866</t>
  </si>
  <si>
    <t>G9583</t>
  </si>
  <si>
    <t>DF992C6B87437C12</t>
  </si>
  <si>
    <t>G8221</t>
  </si>
  <si>
    <t>1993395861FDD068</t>
  </si>
  <si>
    <t>L8938</t>
  </si>
  <si>
    <t>G8231</t>
  </si>
  <si>
    <t>6B2AFB714607E6DE</t>
  </si>
  <si>
    <t>7ABC9FB4E0D19364</t>
  </si>
  <si>
    <t>G811</t>
  </si>
  <si>
    <t>S1411</t>
  </si>
  <si>
    <t>G9518</t>
  </si>
  <si>
    <t>F1CCE3999166B8F4</t>
  </si>
  <si>
    <t>M2123</t>
  </si>
  <si>
    <t>G8230</t>
  </si>
  <si>
    <t>G610</t>
  </si>
  <si>
    <t>S1412</t>
  </si>
  <si>
    <t>C4130</t>
  </si>
  <si>
    <t>E97BC46E73A63915</t>
  </si>
  <si>
    <t>M2454</t>
  </si>
  <si>
    <t>S2411</t>
  </si>
  <si>
    <t>I460</t>
  </si>
  <si>
    <t>S3410</t>
  </si>
  <si>
    <t>EFE210B302E9C2C0</t>
  </si>
  <si>
    <t>T848</t>
  </si>
  <si>
    <t>84AF6AFEE7B0A1C3</t>
  </si>
  <si>
    <t>G819</t>
  </si>
  <si>
    <t>G6280</t>
  </si>
  <si>
    <t>4C700FD2C16B0857</t>
  </si>
  <si>
    <t>C795</t>
  </si>
  <si>
    <t>59AFA293AC3146FF</t>
  </si>
  <si>
    <t>A4151</t>
  </si>
  <si>
    <t>4630F8627D8724A4</t>
  </si>
  <si>
    <t>S2410</t>
  </si>
  <si>
    <t>G8251</t>
  </si>
  <si>
    <t>C794</t>
  </si>
  <si>
    <t>CC416B5A5A6B8073</t>
  </si>
  <si>
    <t>C402</t>
  </si>
  <si>
    <t>G8249</t>
  </si>
  <si>
    <t>C9FEF7E84D00EDFF</t>
  </si>
  <si>
    <t>M501</t>
  </si>
  <si>
    <t>811F4B6ABBB9F5B1</t>
  </si>
  <si>
    <t>S1224</t>
  </si>
  <si>
    <t>M6232</t>
  </si>
  <si>
    <t>G8202</t>
  </si>
  <si>
    <t>G7280</t>
  </si>
  <si>
    <t>D321</t>
  </si>
  <si>
    <t>I606</t>
  </si>
  <si>
    <t>9C5CF7A8F6F3EE27</t>
  </si>
  <si>
    <t>G8241</t>
  </si>
  <si>
    <t>G8210</t>
  </si>
  <si>
    <t>L8935</t>
  </si>
  <si>
    <t>E66F8EBB7CD5F23E</t>
  </si>
  <si>
    <t>C25CB341E1209C59</t>
  </si>
  <si>
    <t>G9510</t>
  </si>
  <si>
    <t>D482</t>
  </si>
  <si>
    <t>7E0E15EF4459A02B</t>
  </si>
  <si>
    <t>S1413</t>
  </si>
  <si>
    <t>C189</t>
  </si>
  <si>
    <t>07357388D8732B66</t>
  </si>
  <si>
    <t>CBC437F51D526971</t>
  </si>
  <si>
    <t>S120</t>
  </si>
  <si>
    <t>M321</t>
  </si>
  <si>
    <t>4E6A2952A7057C97</t>
  </si>
  <si>
    <t>27DE9BF41963CC47</t>
  </si>
  <si>
    <t>S140</t>
  </si>
  <si>
    <t>E09965EFB507ACBE</t>
  </si>
  <si>
    <t>3B1DC57AF2AB938B</t>
  </si>
  <si>
    <t>0CC483F4699A0F55</t>
  </si>
  <si>
    <t>F11362E7AE6D7353</t>
  </si>
  <si>
    <t>C701</t>
  </si>
  <si>
    <t>FDF663B7F1DAB84F</t>
  </si>
  <si>
    <t>S2206</t>
  </si>
  <si>
    <t>87963E0AD5EFCB5D</t>
  </si>
  <si>
    <t>2F88CE0D7D7F0253</t>
  </si>
  <si>
    <t>53F04036E9A9F6DD</t>
  </si>
  <si>
    <t>C492</t>
  </si>
  <si>
    <t>9FE7BEF1484C9418</t>
  </si>
  <si>
    <t>B3F22FADC57E92E7</t>
  </si>
  <si>
    <t>M8618</t>
  </si>
  <si>
    <t>CAE917649854F486</t>
  </si>
  <si>
    <t>8324D984791F3CBF</t>
  </si>
  <si>
    <t>3ACB610926ECA8B3</t>
  </si>
  <si>
    <t>F889CC4E52DB8FF6</t>
  </si>
  <si>
    <t>E0A90A3DFDCB6FAE</t>
  </si>
  <si>
    <t>B50890D513A28EA9</t>
  </si>
  <si>
    <t>895CAD9EAE2B0BA6</t>
  </si>
  <si>
    <t>38AD30C2081EFC47</t>
  </si>
  <si>
    <t>705F315635CF08C1</t>
  </si>
  <si>
    <t>14E5A7D5053033CD</t>
  </si>
  <si>
    <t>FAA3AE21C949020D</t>
  </si>
  <si>
    <t>C9FE3E664C22727E</t>
  </si>
  <si>
    <t>EA37565318F8E9AF</t>
  </si>
  <si>
    <t>C47779C3FADD1405</t>
  </si>
  <si>
    <t>FB24C481B9D53794</t>
  </si>
  <si>
    <t>D24044BF96054711</t>
  </si>
  <si>
    <t>B0EF5FE402263E60</t>
  </si>
  <si>
    <t>0F0C047C5B03C599</t>
  </si>
  <si>
    <t>A9AE4084C1709FD2</t>
  </si>
  <si>
    <t>BC20C1A0167C2B91</t>
  </si>
  <si>
    <t>0E055D60C22A537B</t>
  </si>
  <si>
    <t>F6F5F05FDBB88EB8</t>
  </si>
  <si>
    <t>8B2D33B0B1116F57</t>
  </si>
  <si>
    <t>41F28A8DBB9BFEBF</t>
  </si>
  <si>
    <t>97BD14CF9ADBAD1A</t>
  </si>
  <si>
    <t>DE3EF7B78083A510</t>
  </si>
  <si>
    <t>G8250</t>
  </si>
  <si>
    <t>92EB4D6787197C0D</t>
  </si>
  <si>
    <t>937BCEF3816B57CA</t>
  </si>
  <si>
    <t>09A1FB62C8C7ED9F</t>
  </si>
  <si>
    <t>522E6922E80EEAC3</t>
  </si>
  <si>
    <t>821DF3F860FA9CF8</t>
  </si>
  <si>
    <t>987E1403E5F70F47</t>
  </si>
  <si>
    <t>AFD4812FB8D078CF</t>
  </si>
  <si>
    <t>6F10CFB93E71D4BE</t>
  </si>
  <si>
    <t>EBBD9908FECA4AB2</t>
  </si>
  <si>
    <t>52E039B68BBDE701</t>
  </si>
  <si>
    <t>163A03028D03404F</t>
  </si>
  <si>
    <t>36D65E3A653C4CD8</t>
  </si>
  <si>
    <t>E99CE29F7C76D731</t>
  </si>
  <si>
    <t>G8220</t>
  </si>
  <si>
    <t>4284E5D66AB06871</t>
  </si>
  <si>
    <t>0AB3EF58577153AD</t>
  </si>
  <si>
    <t>79235507A3AAE048</t>
  </si>
  <si>
    <t>C3DD5CDC4CFBF451</t>
  </si>
  <si>
    <t>A92CD406C8683BEF</t>
  </si>
  <si>
    <t>BA8EC5FD5692BBAB</t>
  </si>
  <si>
    <t>0C8C1A15F0178A85</t>
  </si>
  <si>
    <t>T818</t>
  </si>
  <si>
    <t>CE91A6E78EB62459</t>
  </si>
  <si>
    <t>58F84E3BDC515F63</t>
  </si>
  <si>
    <t>I5001</t>
  </si>
  <si>
    <t>CB88E046E210B7DA</t>
  </si>
  <si>
    <t>0D87EE2A540DF84D</t>
  </si>
  <si>
    <t>82014CDC30B0047E</t>
  </si>
  <si>
    <t>9223FF15263BCAD2</t>
  </si>
  <si>
    <t>87C76940CE074D54</t>
  </si>
  <si>
    <t>13F9FE80E38D6AB4</t>
  </si>
  <si>
    <t>3693AAD355CF64AC</t>
  </si>
  <si>
    <t>2A547F9F534D7B49</t>
  </si>
  <si>
    <t>906CA3CBB88FD184</t>
  </si>
  <si>
    <t>B2629E84180ABEC8</t>
  </si>
  <si>
    <t>BEFA834D75E6D2C1</t>
  </si>
  <si>
    <t>B7C7B12C883097B6</t>
  </si>
  <si>
    <t>J8003</t>
  </si>
  <si>
    <t>A5A38D948C412A46</t>
  </si>
  <si>
    <t>4FA726DFEDDE4C95</t>
  </si>
  <si>
    <t>1D47D8B76326B716</t>
  </si>
  <si>
    <t>3FBB54E596C14BD2</t>
  </si>
  <si>
    <t>8BB41C93AE75B206</t>
  </si>
  <si>
    <t>4D4AE2EBE808F0C0</t>
  </si>
  <si>
    <t>A92EF75023DC30D5</t>
  </si>
  <si>
    <t>191F88763820C640</t>
  </si>
  <si>
    <t>D492C61D976033A8</t>
  </si>
  <si>
    <t>7A31DC728C344909</t>
  </si>
  <si>
    <t>BA512977D1102E37</t>
  </si>
  <si>
    <t>G8259</t>
  </si>
  <si>
    <t>B972E727253EC22B</t>
  </si>
  <si>
    <t>48EA8348E8869D56</t>
  </si>
  <si>
    <t>4583C27FDBD693D1</t>
  </si>
  <si>
    <t>ECBC9267DAEBA113</t>
  </si>
  <si>
    <t>9B0A592FFBCD7E83</t>
  </si>
  <si>
    <t>76DCE26C9140C3FF</t>
  </si>
  <si>
    <t>DE60323B99454638</t>
  </si>
  <si>
    <t>6B8CB380C7D61E0D</t>
  </si>
  <si>
    <t>B59DE5D67C5514D9</t>
  </si>
  <si>
    <t>35ACAC8E8F01B7E4</t>
  </si>
  <si>
    <t>A841</t>
  </si>
  <si>
    <t>DE842B251B30193B</t>
  </si>
  <si>
    <t>8CDEEDAB431E537F</t>
  </si>
  <si>
    <t>E7A6B5C9250B7205</t>
  </si>
  <si>
    <t>9E8FE214CAC33BE3</t>
  </si>
  <si>
    <t>30DC6CDC27B553DA</t>
  </si>
  <si>
    <t>98BC9C0371797983</t>
  </si>
  <si>
    <t>7F3EEFB7919FAA70</t>
  </si>
  <si>
    <t>D64CEEFFFF8BE084</t>
  </si>
  <si>
    <t>066D200BCE79F936</t>
  </si>
  <si>
    <t>A567595BEC4BC506</t>
  </si>
  <si>
    <t>FB9AB6E37CA8911B</t>
  </si>
  <si>
    <t>1F49FAB81E17B040</t>
  </si>
  <si>
    <t>A72ABBD93E108813</t>
  </si>
  <si>
    <t>J9600</t>
  </si>
  <si>
    <t>F677BC0043E40B38</t>
  </si>
  <si>
    <t>7E88D3E8FE81BE1E</t>
  </si>
  <si>
    <t>G6288</t>
  </si>
  <si>
    <t>7AD6C5FD024EA6E3</t>
  </si>
  <si>
    <t>2110835A06D4CB9D</t>
  </si>
  <si>
    <t>6FCB8975058D1484</t>
  </si>
  <si>
    <t>A2C01D9067776419</t>
  </si>
  <si>
    <t>565252EC0B789FC2</t>
  </si>
  <si>
    <t>087A91598786FF94</t>
  </si>
  <si>
    <t>7B40163CE7BAC31B</t>
  </si>
  <si>
    <t>4369F6A800240C80</t>
  </si>
  <si>
    <t>C330D5AD8E3D7248</t>
  </si>
  <si>
    <t>EA5696DC2C41329D</t>
  </si>
  <si>
    <t>603D1AC249EA4722</t>
  </si>
  <si>
    <t>A637536A18C78A48</t>
  </si>
  <si>
    <t>27D491520996EAB8</t>
  </si>
  <si>
    <t>2F1984FE0D1E1D99</t>
  </si>
  <si>
    <t>728042D421296960</t>
  </si>
  <si>
    <t>21F26662894356C0</t>
  </si>
  <si>
    <t>D4FEA17C48C5988B</t>
  </si>
  <si>
    <t>M8697</t>
  </si>
  <si>
    <t>734D1611EF3C3FD3</t>
  </si>
  <si>
    <t>6D35166DB0BBA261</t>
  </si>
  <si>
    <t>8AA09EA0C6CB5643</t>
  </si>
  <si>
    <t>7A79990F69D81A17</t>
  </si>
  <si>
    <t>FC06F5120EB3FFF5</t>
  </si>
  <si>
    <t>L8909</t>
  </si>
  <si>
    <t>BA71B82D5973E61E</t>
  </si>
  <si>
    <t>CB7965804F518171</t>
  </si>
  <si>
    <t>A6A3C9E7EA5EA314</t>
  </si>
  <si>
    <t>CF97F52D9C0C699C</t>
  </si>
  <si>
    <t>G8203</t>
  </si>
  <si>
    <t>9D34FDDC5E4FA081</t>
  </si>
  <si>
    <t>C5DF234B5CD740A1</t>
  </si>
  <si>
    <t>C158</t>
  </si>
  <si>
    <t>C356520AF28B4F24</t>
  </si>
  <si>
    <t>E240CDBA65BA6DBD</t>
  </si>
  <si>
    <t>88A16D0D0E996468</t>
  </si>
  <si>
    <t>E14C4C279B732799</t>
  </si>
  <si>
    <t>5C7348E045B8178A</t>
  </si>
  <si>
    <t>1F7045772E6FEFCB</t>
  </si>
  <si>
    <t>B10730E573182190</t>
  </si>
  <si>
    <t>B24957C40A1E361C</t>
  </si>
  <si>
    <t>A37E99ABAA0A2373</t>
  </si>
  <si>
    <t>AFCE1F86BBDD6445</t>
  </si>
  <si>
    <t>DE85D821AFAAD3D5</t>
  </si>
  <si>
    <t>B3F88FDC4B0634B4</t>
  </si>
  <si>
    <t>2FE018B0CFC21C09</t>
  </si>
  <si>
    <t>23AB4D5415F67020</t>
  </si>
  <si>
    <t>51F78DB6146FA061</t>
  </si>
  <si>
    <t>E72131333D0CDE11</t>
  </si>
  <si>
    <t>acute_LOS_days</t>
  </si>
  <si>
    <t>rehab_LOS_days</t>
  </si>
  <si>
    <t/>
  </si>
  <si>
    <t>rehab_SCIM_gain</t>
  </si>
  <si>
    <t>total_SCIM_gain</t>
  </si>
  <si>
    <t>acute_SCIM_gain</t>
  </si>
  <si>
    <t>rehab_SCIM_gain_per_day</t>
  </si>
  <si>
    <t>rehab_recovery_velocity</t>
  </si>
  <si>
    <t>SCIM_acute_to_rehab_gap</t>
  </si>
  <si>
    <t>early_deterioration_flag</t>
  </si>
  <si>
    <t>rehab_relative_gain</t>
  </si>
  <si>
    <t>rehab_gain_vs_baseline</t>
  </si>
  <si>
    <t>acute_mobility_ratio</t>
  </si>
  <si>
    <t>acute_selfcare_ratio</t>
  </si>
  <si>
    <t>acute_resp_sphincter_ratio</t>
  </si>
  <si>
    <t>acute_communication_ratio</t>
  </si>
  <si>
    <t>total_cost_episode</t>
  </si>
  <si>
    <t>n_icd_codes</t>
  </si>
  <si>
    <t>n/a</t>
  </si>
  <si>
    <t>high_comorbidity_flag</t>
  </si>
  <si>
    <t>icu_exposed</t>
  </si>
  <si>
    <t>icu_hours_per_LOS</t>
  </si>
  <si>
    <t>Hotz_Walter_19360108_1</t>
  </si>
  <si>
    <t>Waldisp黨l_Werner_19361020_1</t>
  </si>
  <si>
    <t>MISSING_6</t>
  </si>
  <si>
    <t>MISSING_8</t>
  </si>
  <si>
    <t>Bisquolm_Victor_19480226_1</t>
  </si>
  <si>
    <t>Zumkehr_Rolf_19491122_1</t>
  </si>
  <si>
    <t>Schorno_Willy_19501231_1</t>
  </si>
  <si>
    <t>Scheidegger_Urs_19500221_1</t>
  </si>
  <si>
    <t>Betschart_Xaver_19470321_1</t>
  </si>
  <si>
    <t>Pfister_Ralph_19551205_1</t>
  </si>
  <si>
    <t>Anderau_Felix_19471015_1</t>
  </si>
  <si>
    <t>MISSING_24</t>
  </si>
  <si>
    <t>Arnold_Josef_19481227_1</t>
  </si>
  <si>
    <t>MISSING_29</t>
  </si>
  <si>
    <t>Merz_Rudolf_19510409_1</t>
  </si>
  <si>
    <t>MISSING_31</t>
  </si>
  <si>
    <t>Hochuli_J黵gen_19620606_1</t>
  </si>
  <si>
    <t>Schlienz_Frank_19611101_1</t>
  </si>
  <si>
    <t>Walter_Eric_19600602_1</t>
  </si>
  <si>
    <t>Knecht_Max_19560422_1</t>
  </si>
  <si>
    <t>Venini_Giovanni_19590324_1</t>
  </si>
  <si>
    <t>Truog_G黱ther_19590101_1</t>
  </si>
  <si>
    <t>MISSING_43</t>
  </si>
  <si>
    <t>MISSING_44</t>
  </si>
  <si>
    <t>M黮ler_Thomas_19600608_1</t>
  </si>
  <si>
    <t>St鋒li_Thomas_19630914_1</t>
  </si>
  <si>
    <t>M黮ler_Guido_19590721_1</t>
  </si>
  <si>
    <t>Mehr_Walter_19540121_1</t>
  </si>
  <si>
    <t>MISSING_50</t>
  </si>
  <si>
    <t>MISSING_51</t>
  </si>
  <si>
    <t>Jakob_Heinz_19520808_1</t>
  </si>
  <si>
    <t>Amstutz_Andreas_19581226_1</t>
  </si>
  <si>
    <t>MISSING_55</t>
  </si>
  <si>
    <t>Br鰊nimann-Oberli_Verena_Elisabeth_19540918_2</t>
  </si>
  <si>
    <t>Widmer_Daniel_19590619_1</t>
  </si>
  <si>
    <t>MISSING_59</t>
  </si>
  <si>
    <t>MISSING_61</t>
  </si>
  <si>
    <t>MISSING_62</t>
  </si>
  <si>
    <t>Huwiler_Markus_19560823_1</t>
  </si>
  <si>
    <t>Leisi_Antoine_19650403_1</t>
  </si>
  <si>
    <t>MISSING_65</t>
  </si>
  <si>
    <t>MISSING_69</t>
  </si>
  <si>
    <t>Memaj_Tom_19710313_1</t>
  </si>
  <si>
    <t>Domenighetti_Gilbert_19570925_1</t>
  </si>
  <si>
    <t>Rachdi_Samuel_19590822_1</t>
  </si>
  <si>
    <t>MISSING_73</t>
  </si>
  <si>
    <t>Monney_Anne_19561119_2</t>
  </si>
  <si>
    <t>MISSING_75</t>
  </si>
  <si>
    <t>Fl點kiger_Eugen_19730314_1</t>
  </si>
  <si>
    <t>Dietsche_Florian_19621211_1</t>
  </si>
  <si>
    <t>Sigrist_Martin_19670414_1</t>
  </si>
  <si>
    <t>Zeller_Christian_19580414_1</t>
  </si>
  <si>
    <t>MISSING_81</t>
  </si>
  <si>
    <t>Raho_Donata_19520526_2</t>
  </si>
  <si>
    <t>Bachmann_Josef_19710210_1</t>
  </si>
  <si>
    <t>Thevenaz_Jean_19591020_1</t>
  </si>
  <si>
    <t>MISSING_85</t>
  </si>
  <si>
    <t>MISSING_86</t>
  </si>
  <si>
    <t>MISSING_87</t>
  </si>
  <si>
    <t>MISSING_88</t>
  </si>
  <si>
    <t>Hasler_Josef_19420809_1</t>
  </si>
  <si>
    <t>MISSING_91</t>
  </si>
  <si>
    <t>Betschmann_Michael_19780916_1</t>
  </si>
  <si>
    <t>MISSING_93</t>
  </si>
  <si>
    <t>Kyburz_Monika_19670210_2</t>
  </si>
  <si>
    <t>Mignot_Philippe_Andre_19631106_1</t>
  </si>
  <si>
    <t>MISSING_97</t>
  </si>
  <si>
    <t>MISSING_98</t>
  </si>
  <si>
    <t>Frey_Johann_Rudolf_19451020_1</t>
  </si>
  <si>
    <t>Sandoz_Lucien-Ren?19550809_1</t>
  </si>
  <si>
    <t>Guggisberg_Therese_19530113_2</t>
  </si>
  <si>
    <t>Br鋘dle_Erwin_19670804_1</t>
  </si>
  <si>
    <t>MISSING_103</t>
  </si>
  <si>
    <t>MISSING_104</t>
  </si>
  <si>
    <t>Beyeler_Hans-Rudolf_19510404_1</t>
  </si>
  <si>
    <t>MISSING_106</t>
  </si>
  <si>
    <t>MISSING_107</t>
  </si>
  <si>
    <t>MISSING_109</t>
  </si>
  <si>
    <t>MISSING_110</t>
  </si>
  <si>
    <t>MISSING_111</t>
  </si>
  <si>
    <t>Lempen_Markus_19600130_1</t>
  </si>
  <si>
    <t>MISSING_115</t>
  </si>
  <si>
    <t>MISSING_116</t>
  </si>
  <si>
    <t>Abegg_Ursula_19600101_2</t>
  </si>
  <si>
    <t>Flammer_Monika_19741217_2</t>
  </si>
  <si>
    <t>MISSING_119</t>
  </si>
  <si>
    <t>MISSING_122</t>
  </si>
  <si>
    <t>Bieri_Gerhard_19610915_1</t>
  </si>
  <si>
    <t>MISSING_124</t>
  </si>
  <si>
    <t>MISSING_125</t>
  </si>
  <si>
    <t>Ilic_Marco_19890113_1</t>
  </si>
  <si>
    <t>Berger_Bruno_19500705_1</t>
  </si>
  <si>
    <t>Schmutz_Karin_19650127_2</t>
  </si>
  <si>
    <t>MISSING_131</t>
  </si>
  <si>
    <t>Obrist_Silvia_19400129_2</t>
  </si>
  <si>
    <t>Fischer_Stefanie_19930420_2</t>
  </si>
  <si>
    <t>Emmenegger-Stadelmann_Maria_19510210_2</t>
  </si>
  <si>
    <t>MISSING_135</t>
  </si>
  <si>
    <t>MISSING_136</t>
  </si>
  <si>
    <t>MISSING_137</t>
  </si>
  <si>
    <t>MISSING_138</t>
  </si>
  <si>
    <t>MISSING_139</t>
  </si>
  <si>
    <t>MISSING_140</t>
  </si>
  <si>
    <t>Schlatter_Thomas_19670713_1</t>
  </si>
  <si>
    <t>Hubet_David_19720810_1</t>
  </si>
  <si>
    <t>Sch鋜_Martina_19730603_2</t>
  </si>
  <si>
    <t>MISSING_145</t>
  </si>
  <si>
    <t>M黵set_Matthieu_19930203_1</t>
  </si>
  <si>
    <t>MISSING_149</t>
  </si>
  <si>
    <t>Wehrle_Monika_19790305_2</t>
  </si>
  <si>
    <t>MISSING_152</t>
  </si>
  <si>
    <t>J鋑gi_Patrik_19711231_1</t>
  </si>
  <si>
    <t>Jung_Max_19521203_1</t>
  </si>
  <si>
    <t>Giubbilei_Mario_19680329_1</t>
  </si>
  <si>
    <t>Meyer_Daniela_19611115_2</t>
  </si>
  <si>
    <t>MISSING_159</t>
  </si>
  <si>
    <t>Goodman_Esther_19591027_2</t>
  </si>
  <si>
    <t>Tschanz_Andreas_19530406_1</t>
  </si>
  <si>
    <t>Keller_J黵g_19640920_1</t>
  </si>
  <si>
    <t>Ithen_Anne_19600330_2</t>
  </si>
  <si>
    <t>MISSING_167</t>
  </si>
  <si>
    <t>MISSING_168</t>
  </si>
  <si>
    <t>Bazdaric_David_19770201_1</t>
  </si>
  <si>
    <t>Frei_Werner_19610424_1</t>
  </si>
  <si>
    <t>Baggi_Adriano_19471203_1</t>
  </si>
  <si>
    <t>MISSING_173</t>
  </si>
  <si>
    <t>Kopic_Vili_19770707_1</t>
  </si>
  <si>
    <t>Junker_Silvia_19630420_2</t>
  </si>
  <si>
    <t>Perkovic_Marina_19960610_2</t>
  </si>
  <si>
    <t>Suard_Michel_19520319_1</t>
  </si>
  <si>
    <t>MISSING_180</t>
  </si>
  <si>
    <t>MISSING_181</t>
  </si>
  <si>
    <t>Kamm_Kurt_19520122_1</t>
  </si>
  <si>
    <t>Mathys_Roland_19731010_1</t>
  </si>
  <si>
    <t>Franzolin_Alex_19820907_1</t>
  </si>
  <si>
    <t>MISSING_187</t>
  </si>
  <si>
    <t>MISSING_188</t>
  </si>
  <si>
    <t>MISSING_190</t>
  </si>
  <si>
    <t>MISSING_191</t>
  </si>
  <si>
    <t>MISSING_192</t>
  </si>
  <si>
    <t>MISSING_194</t>
  </si>
  <si>
    <t>Sehgal_Pallavi_19900815_2</t>
  </si>
  <si>
    <t>Magnin_Corinne_19690216_2</t>
  </si>
  <si>
    <t>MISSING_197</t>
  </si>
  <si>
    <t>Lehmann_Maya_19530430_2</t>
  </si>
  <si>
    <t>Suter_Armin_19700530_1</t>
  </si>
  <si>
    <t>Grob_Ulrich_19501223_1</t>
  </si>
  <si>
    <t>Soler_Gerold_19760304_1</t>
  </si>
  <si>
    <t>L黶cher_Ursula_19491027_2</t>
  </si>
  <si>
    <t>MISSING_204</t>
  </si>
  <si>
    <t>Burri_Liliane_19520503_2</t>
  </si>
  <si>
    <t>Sch鋜er_Mirjam_19860617_2</t>
  </si>
  <si>
    <t>Sasmaz_Bektas_19880513_1</t>
  </si>
  <si>
    <t>Dingetschweiler_Susanne_19781006_2</t>
  </si>
  <si>
    <t>Balazi_Sayme_19491210_2</t>
  </si>
  <si>
    <t>De_Maddalena_Eliane_19560428_2</t>
  </si>
  <si>
    <t>Anet_Bernard_19410531_1</t>
  </si>
  <si>
    <t>MISSING_217</t>
  </si>
  <si>
    <t>Candrian_Daniel_19610807_1</t>
  </si>
  <si>
    <t>MISSING_220</t>
  </si>
  <si>
    <t>MISSING_221</t>
  </si>
  <si>
    <t>Siegenthaler_Amanda_19560827_2</t>
  </si>
  <si>
    <t>MISSING_226</t>
  </si>
  <si>
    <t>Napias_Wilton_19900430_1</t>
  </si>
  <si>
    <t>MISSING_229</t>
  </si>
  <si>
    <t>MISSING_230</t>
  </si>
  <si>
    <t>MISSING_232</t>
  </si>
  <si>
    <t>R黤enacht_Willi_19470911_1</t>
  </si>
  <si>
    <t>Fitzgerald_David_19630405_1</t>
  </si>
  <si>
    <t>MISSING_236</t>
  </si>
  <si>
    <t>MISSING_237</t>
  </si>
  <si>
    <t>MISSING_238</t>
  </si>
  <si>
    <t>MISSING_239</t>
  </si>
  <si>
    <t>MISSING_241</t>
  </si>
  <si>
    <t>MISSING_242</t>
  </si>
  <si>
    <t>Staubli_Anna_19280407_2</t>
  </si>
  <si>
    <t>Harder_Ivo_19800729_1</t>
  </si>
  <si>
    <t>Jenni_Brigitta_19420314_2</t>
  </si>
  <si>
    <t>MISSING_246</t>
  </si>
  <si>
    <t>MISSING_247</t>
  </si>
  <si>
    <t>MISSING_248</t>
  </si>
  <si>
    <t>MISSING_249</t>
  </si>
  <si>
    <t>MISSING_250</t>
  </si>
  <si>
    <t>MISSING_251</t>
  </si>
  <si>
    <t>Monney_Luc_19810118_1</t>
  </si>
  <si>
    <t>MISSING_254</t>
  </si>
  <si>
    <t>MISSING_255</t>
  </si>
  <si>
    <t>MISSING_257</t>
  </si>
  <si>
    <t>Neumann_Manfred_19610216_1</t>
  </si>
  <si>
    <t>Moser_Sepp_19460523_1</t>
  </si>
  <si>
    <t>Marzocchini_Jean_19701111_1</t>
  </si>
  <si>
    <t>Cadosch-M黮ler_Leo_19550116_1</t>
  </si>
  <si>
    <t>MISSING_265</t>
  </si>
  <si>
    <t>MISSING_266</t>
  </si>
  <si>
    <t>MISSING_267</t>
  </si>
  <si>
    <t>Mettler_Mathias_19920826_1</t>
  </si>
  <si>
    <t>Witschi_Werner_19590818_1</t>
  </si>
  <si>
    <t>Keller_Stefan_19630429_1</t>
  </si>
  <si>
    <t>MISSING_273</t>
  </si>
  <si>
    <t>MISSING_274</t>
  </si>
  <si>
    <t>Keskes_Muammer_19460501_1</t>
  </si>
  <si>
    <t>Rihs_Joel_19740619_1</t>
  </si>
  <si>
    <t>MISSING_279</t>
  </si>
  <si>
    <t>MISSING_280</t>
  </si>
  <si>
    <t>Bramston_Jane_19470630_2</t>
  </si>
  <si>
    <t>MISSING_284</t>
  </si>
  <si>
    <t>Palermo_Giuseppe_Valerio_19651214_1</t>
  </si>
  <si>
    <t>MISSING_287</t>
  </si>
  <si>
    <t>Poncioni_Luigina_19650607_2</t>
  </si>
  <si>
    <t>MISSING_289</t>
  </si>
  <si>
    <t>MISSING_290</t>
  </si>
  <si>
    <t>MISSING_291</t>
  </si>
  <si>
    <t>MISSING_292</t>
  </si>
  <si>
    <t>MISSING_293</t>
  </si>
  <si>
    <t>MISSING_294</t>
  </si>
  <si>
    <t>MISSING_295</t>
  </si>
  <si>
    <t>MISSING_296</t>
  </si>
  <si>
    <t>MISSING_297</t>
  </si>
  <si>
    <t>Isenschmid_Manuel_19680927_1</t>
  </si>
  <si>
    <t>MISSING_300</t>
  </si>
  <si>
    <t>Le_Basle_Reynald_Armand_Yannick_19721109_1</t>
  </si>
  <si>
    <t>Betschart_Karl_19541121_1</t>
  </si>
  <si>
    <t>Berchtold_Bernadette_19900618_2</t>
  </si>
  <si>
    <t>MISSING_306</t>
  </si>
  <si>
    <t>Roos_Werner_19620717_1</t>
  </si>
  <si>
    <t>MISSING_308</t>
  </si>
  <si>
    <t>Dias_Neves_Jos?Arlindo_19611215_1</t>
  </si>
  <si>
    <t>MISSING_310</t>
  </si>
  <si>
    <t>Djordjevic-Vukic_Milutin_19450802_1</t>
  </si>
  <si>
    <t>MISSING_312</t>
  </si>
  <si>
    <t>Gerber_Benjamin_19720313_1</t>
  </si>
  <si>
    <t>Weibel_Petra_19810516_2</t>
  </si>
  <si>
    <t>MISSING_316</t>
  </si>
  <si>
    <t>MISSING_317</t>
  </si>
  <si>
    <t>MISSING_318</t>
  </si>
  <si>
    <t>MISSING_319</t>
  </si>
  <si>
    <t>Christen_Dario_19981027_1</t>
  </si>
  <si>
    <t>MISSING_324</t>
  </si>
  <si>
    <t>Wagner_Siegfried_19630115_1</t>
  </si>
  <si>
    <t>MISSING_326</t>
  </si>
  <si>
    <t>MISSING_327</t>
  </si>
  <si>
    <t>Bleisch_Irene_19520627_2</t>
  </si>
  <si>
    <t>MISSING_331</t>
  </si>
  <si>
    <t>MISSING_332</t>
  </si>
  <si>
    <t>MISSING_333</t>
  </si>
  <si>
    <t>Kohal_Alexander_19980608_1</t>
  </si>
  <si>
    <t>Nelke_Annett_19690320_2</t>
  </si>
  <si>
    <t>MISSING_336</t>
  </si>
  <si>
    <t>MISSING_338</t>
  </si>
  <si>
    <t>Lanz_Ernst_19451005_1</t>
  </si>
  <si>
    <t>Landry_Sonal_Micha雔_19900101_1</t>
  </si>
  <si>
    <t>MISSING_342</t>
  </si>
  <si>
    <t>MISSING_343</t>
  </si>
  <si>
    <t>Wymann_Philippe_19580226_1</t>
  </si>
  <si>
    <t>MISSING_345</t>
  </si>
  <si>
    <t>MISSING_346</t>
  </si>
  <si>
    <t>MISSING_347</t>
  </si>
  <si>
    <t>Meinel_Patrick_19850711_1</t>
  </si>
  <si>
    <t>MISSING_349</t>
  </si>
  <si>
    <t>MISSING_350</t>
  </si>
  <si>
    <t>Ochsenbein_Silvio_19570211_1</t>
  </si>
  <si>
    <t>MISSING_355</t>
  </si>
  <si>
    <t>MISSING_356</t>
  </si>
  <si>
    <t>MISSING_357</t>
  </si>
  <si>
    <t>MISSING_358</t>
  </si>
  <si>
    <t>MISSING_359</t>
  </si>
  <si>
    <t>Teixeira_Mikael_19921103_1</t>
  </si>
  <si>
    <t>Siegrist_Karin_19870628_2</t>
  </si>
  <si>
    <t>MISSING_363</t>
  </si>
  <si>
    <t>MISSING_364</t>
  </si>
  <si>
    <t>MISSING_365</t>
  </si>
  <si>
    <t>MISSING_366</t>
  </si>
  <si>
    <t>MISSING_368</t>
  </si>
  <si>
    <t>MISSING_369</t>
  </si>
  <si>
    <t>MISSING_370</t>
  </si>
  <si>
    <t>MISSING_371</t>
  </si>
  <si>
    <t>MISSING_372</t>
  </si>
  <si>
    <t>MISSING_373</t>
  </si>
  <si>
    <t>MISSING_374</t>
  </si>
  <si>
    <t>MISSING_375</t>
  </si>
  <si>
    <t>MISSING_376</t>
  </si>
  <si>
    <t>MISSING_377</t>
  </si>
  <si>
    <t>MISSING_378</t>
  </si>
  <si>
    <t>MISSING_379</t>
  </si>
  <si>
    <t>MISSING_380</t>
  </si>
  <si>
    <t>MISSING_381</t>
  </si>
  <si>
    <t>MISSING_382</t>
  </si>
  <si>
    <t>MISSING_383</t>
  </si>
  <si>
    <t>MISSING_384</t>
  </si>
  <si>
    <t>MISSING_385</t>
  </si>
  <si>
    <t>MISSING_386</t>
  </si>
  <si>
    <t>MISSING_387</t>
  </si>
  <si>
    <t>MISSING_388</t>
  </si>
  <si>
    <t>MISSING_389</t>
  </si>
  <si>
    <t>Keller_Thierry_19671011_1</t>
  </si>
  <si>
    <t>MISSING_391</t>
  </si>
  <si>
    <t>MISSING_392</t>
  </si>
  <si>
    <t>MISSING_393</t>
  </si>
  <si>
    <t>Meienberg_Thomas_19621227_1</t>
  </si>
  <si>
    <t>MISSING_396</t>
  </si>
  <si>
    <t>MISSING_397</t>
  </si>
  <si>
    <t>MISSING_398</t>
  </si>
  <si>
    <t>MISSING_399</t>
  </si>
  <si>
    <t>Eggmann_Walter_19460315_1</t>
  </si>
  <si>
    <t>MISSING_401</t>
  </si>
  <si>
    <t>MISSING_402</t>
  </si>
  <si>
    <t>MISSING_403</t>
  </si>
  <si>
    <t>MISSING_404</t>
  </si>
  <si>
    <t>MISSING_405</t>
  </si>
  <si>
    <t>MISSING_406</t>
  </si>
  <si>
    <t>Lisdat_Valverde_Alba_19980728_2</t>
  </si>
  <si>
    <t>MISSING_409</t>
  </si>
  <si>
    <t>MISSING_410</t>
  </si>
  <si>
    <t>MISSING_411</t>
  </si>
  <si>
    <t>MISSING_412</t>
  </si>
  <si>
    <t>Rettich_Martin_19410430_1</t>
  </si>
  <si>
    <t>MISSING_414</t>
  </si>
  <si>
    <t>MISSING_415</t>
  </si>
  <si>
    <t>MISSING_416</t>
  </si>
  <si>
    <t>MISSING_417</t>
  </si>
  <si>
    <t>MISSING_418</t>
  </si>
  <si>
    <t>MISSING_419</t>
  </si>
  <si>
    <t>MISSING_420</t>
  </si>
  <si>
    <t>MISSING_421</t>
  </si>
  <si>
    <t>MISSING_422</t>
  </si>
  <si>
    <t>MISSING_423</t>
  </si>
  <si>
    <t>MISSING_424</t>
  </si>
  <si>
    <t>MISSING_425</t>
  </si>
  <si>
    <t>MISSING_426</t>
  </si>
  <si>
    <t>Eichholzer_Friedrich_19550810_1</t>
  </si>
  <si>
    <t>MISSING_428</t>
  </si>
  <si>
    <t>MISSING_429</t>
  </si>
  <si>
    <t>Traykov_Nikola_19620103_1</t>
  </si>
  <si>
    <t>MISSING_431</t>
  </si>
  <si>
    <t>MISSING_432</t>
  </si>
  <si>
    <t>MISSING_433</t>
  </si>
  <si>
    <t>Pichard_Yves_Andr?19451113_1</t>
  </si>
  <si>
    <t>MISSING_435</t>
  </si>
  <si>
    <t>H黵limann_Melanie_19921210_2</t>
  </si>
  <si>
    <t>MISSING_437</t>
  </si>
  <si>
    <t>MISSING_438</t>
  </si>
  <si>
    <t>MISSING_440</t>
  </si>
  <si>
    <t>MISSING_441</t>
  </si>
  <si>
    <t>MISSING_442</t>
  </si>
  <si>
    <t>MISSING_443</t>
  </si>
  <si>
    <t>Lopacinski_Krzysztof_19751101_1</t>
  </si>
  <si>
    <t>Schmid_Esther_19550411_2</t>
  </si>
  <si>
    <t>MISSING_446</t>
  </si>
  <si>
    <t>MISSING_447</t>
  </si>
  <si>
    <t>MISSING_448</t>
  </si>
  <si>
    <t>Islami_Shukjur_19580823_1</t>
  </si>
  <si>
    <t>W黵sch_Adolf_19540303_1</t>
  </si>
  <si>
    <t>K黚li_Hansruedi_19441010_1</t>
  </si>
  <si>
    <t>MISSING_453</t>
  </si>
  <si>
    <t>MISSING_454</t>
  </si>
  <si>
    <t>MISSING_455</t>
  </si>
  <si>
    <t>MISSING_456</t>
  </si>
  <si>
    <t>Dobrica_Milos_19750208_1</t>
  </si>
  <si>
    <t>Eilert_Michael_19850319_1</t>
  </si>
  <si>
    <t>Meier_Janine_20010817_2</t>
  </si>
  <si>
    <t>Celebi_Ferhat_19990110_1</t>
  </si>
  <si>
    <t>F鋝sler_Beatrice_19580916_2</t>
  </si>
  <si>
    <t>Turchet_Mike_19910127_1</t>
  </si>
  <si>
    <t>Van_Dam_Brent_19820421_1</t>
  </si>
  <si>
    <t>Lavrinc_Ziva_19890531_2</t>
  </si>
  <si>
    <t>Felder-Schnyder_Margrith_19511121_2</t>
  </si>
  <si>
    <t>MISSING_467</t>
  </si>
  <si>
    <t>Boldini_Marco_19640914_1</t>
  </si>
  <si>
    <t>Schmied_Yves_19710903_1</t>
  </si>
  <si>
    <t>Fasel_Rodolphe_19470630_1</t>
  </si>
  <si>
    <t>Hug_Daniel_19500411_1</t>
  </si>
  <si>
    <t>Rusch_J黵g_19800525_1</t>
  </si>
  <si>
    <t>Suter_Veronika_19530614_2</t>
  </si>
  <si>
    <t>Niederh鋟ser_Veronique_19510315_2</t>
  </si>
  <si>
    <t>MISSING_476</t>
  </si>
  <si>
    <t>MISSING_477</t>
  </si>
  <si>
    <t>Otte_Marie-Sophie_19890321_2</t>
  </si>
  <si>
    <t>Keller_Thomas_19660614_1</t>
  </si>
  <si>
    <t>Trost_Manuela_19761209_2</t>
  </si>
  <si>
    <t>B鋜tschi_Leander_19490131_1</t>
  </si>
  <si>
    <t>Meola_Antonietta_19560404_2</t>
  </si>
  <si>
    <t>Lauber_Paul_19450629_1</t>
  </si>
  <si>
    <t>Reith_Dave_John_19991102_1</t>
  </si>
  <si>
    <t>Pfammatter_Katharina_19440225_2</t>
  </si>
  <si>
    <t>Veltmann_Sandra_19700513_2</t>
  </si>
  <si>
    <t>Schaller_Sandro_19940817_1</t>
  </si>
  <si>
    <t>Maillard_Roger_19570430_1</t>
  </si>
  <si>
    <t>Chevre_Jean_19560823_1</t>
  </si>
  <si>
    <t>De_Jesus_Fernandes_Manuel_19571223_1</t>
  </si>
  <si>
    <t>Rizzo_Maria_Grazia_19550718_2</t>
  </si>
  <si>
    <t>Medici_Heidi_19351004_2</t>
  </si>
  <si>
    <t>Blaser_Hans-Peter_19381130_1</t>
  </si>
  <si>
    <t>Ofner_Matthias_19850122_1</t>
  </si>
  <si>
    <t>Berlincourt_Jean-Jacques_19600524_1</t>
  </si>
  <si>
    <t>Dali-Wey_Anton_19370426_1</t>
  </si>
  <si>
    <t>Steger_Rolf_19451210_1</t>
  </si>
  <si>
    <t>Hofer_Michael_19651202_1</t>
  </si>
  <si>
    <t>Amstutz_St閜hane_19750901_1</t>
  </si>
  <si>
    <t>Schnider_Martin_19650429_1</t>
  </si>
  <si>
    <t>Frei_Roger_19930804_1</t>
  </si>
  <si>
    <t>Borrat-Besson_Pascal_19780925_1</t>
  </si>
  <si>
    <t>Bausch_Rita_Meta_Maria_19430212_2</t>
  </si>
  <si>
    <t>Jungmeister_Walter_Alexander_19590101_1</t>
  </si>
  <si>
    <t>Odermatt_Tanja_19940531_2</t>
  </si>
  <si>
    <t>Gl鯿kler_Georg_19330823_1</t>
  </si>
  <si>
    <t>Otto_Markus_19980621_1</t>
  </si>
  <si>
    <t>James_Rob_19611006_1</t>
  </si>
  <si>
    <t>Hermann_Erna_19760724_2</t>
  </si>
  <si>
    <t>Burach_Helen_19471006_2</t>
  </si>
  <si>
    <t>Sulmoni_Marion_19631122_2</t>
  </si>
  <si>
    <t>Ryter_Daniel_19771222_1</t>
  </si>
  <si>
    <t>Favre_Giuseppina_19390903_2</t>
  </si>
  <si>
    <t>Hofmann_Rudolf_19571006_1</t>
  </si>
  <si>
    <t>Pasquier_B閍trice_19570323_2</t>
  </si>
  <si>
    <t>Tulaczko-Siegenthaler_Witold_19500301_1</t>
  </si>
  <si>
    <t>Gonzalez_Familia_Jennifer_20070610_2</t>
  </si>
  <si>
    <t>Csizmadia_Istvan_19720622_1</t>
  </si>
  <si>
    <t>F黮lemann_Dora_19380801_2</t>
  </si>
  <si>
    <t>Innes_Joseph_Tobias_19921219_1</t>
  </si>
  <si>
    <t>Geinoz_Claude_19530610_1</t>
  </si>
  <si>
    <t>Meier_Tamara_Isabel_20030923_2</t>
  </si>
  <si>
    <t>Solaja_Brkljaca_Anka_19530215_2</t>
  </si>
  <si>
    <t>Kuhn-Rutz_Iris_19450924_2</t>
  </si>
  <si>
    <t>Cabalzar_Andreas_Luzi_19620522_1</t>
  </si>
  <si>
    <t>Rodel_Pascal_19940724_1</t>
  </si>
  <si>
    <t>Meierhofer-Koch_Bettina_19810624_2</t>
  </si>
  <si>
    <t>Kobler_Walter_19411023_1</t>
  </si>
  <si>
    <t>Haldimann_Aline_19891008_2</t>
  </si>
  <si>
    <t>Schumacher_Rosa-Marie_19480212_2</t>
  </si>
  <si>
    <t>Castagno_Carmela_19501108_2</t>
  </si>
  <si>
    <t>Tellenbach_Marguerite_19461218_2</t>
  </si>
  <si>
    <t>D鰏segger_Beat_19650215_1</t>
  </si>
  <si>
    <t>R黣ger_Alpstaeg_Anita_19520923_2</t>
  </si>
  <si>
    <t>Frank_Monika_19720219_2</t>
  </si>
  <si>
    <t>Kostroman_Niko_19400627_1</t>
  </si>
  <si>
    <t>B黨ler_Rolf_19420927_1</t>
  </si>
  <si>
    <t>Mueller_Pascal_19740715_1</t>
  </si>
  <si>
    <t>Prongu?Jean-Marie_19610512_1</t>
  </si>
  <si>
    <t>Muslija_Halit_19600915_1</t>
  </si>
  <si>
    <t>Marchiori_Giuseppe_19430320_1</t>
  </si>
  <si>
    <t>Tercier_Pierre-Alain_19730516_1</t>
  </si>
  <si>
    <t>Mumenthaler_Daniela_19760820_2</t>
  </si>
  <si>
    <t>Vuilliomenet_Jacques_19440706_1</t>
  </si>
  <si>
    <t>Willi_Doris_19550704_2</t>
  </si>
  <si>
    <t>Tschabold_Peter_19620728_1</t>
  </si>
  <si>
    <t>Gnos_Stefan_19600327_1</t>
  </si>
  <si>
    <t>Herrmann_Lea_20021116_2</t>
  </si>
  <si>
    <t>Rime_Frank_19881224_1</t>
  </si>
  <si>
    <t>Fries_Karl_19371207_1</t>
  </si>
  <si>
    <t>Sobrero_Salazar_Adriana_19870311_2</t>
  </si>
  <si>
    <t>Schoch_Paul_19590328_1</t>
  </si>
  <si>
    <t>Alonso_Jorge_19600916_1</t>
  </si>
  <si>
    <t>Grossenbacher_Kadriye_19660601_2</t>
  </si>
  <si>
    <t>Weyermann_Verena_19470918_2</t>
  </si>
  <si>
    <t>Masson_Florence_19761229_2</t>
  </si>
  <si>
    <t>Geissb黨ler_Liliane_19750205_2</t>
  </si>
  <si>
    <t>Sladoje_Stefica_19720612_2</t>
  </si>
  <si>
    <t>Aliu_Zuleja_20020823_2</t>
  </si>
  <si>
    <t>Hinterberger_Dominic_19870412_1</t>
  </si>
  <si>
    <t>Maurer_Barbara_19611016_2</t>
  </si>
  <si>
    <t>Redzepi_Fatime_19830918_2</t>
  </si>
  <si>
    <t>Jackson_Debra_Caroll_19660903_2</t>
  </si>
  <si>
    <t>Bachmann-Langit_Karl_19370218_1</t>
  </si>
  <si>
    <t>Kr鋒enb黨l_Werner_19460127_1</t>
  </si>
  <si>
    <t>Spahni_Silvia_19501117_2</t>
  </si>
  <si>
    <t>L鋎erach_Miriam_19660228_2</t>
  </si>
  <si>
    <t>Seiler_Fritz_19420323_1</t>
  </si>
  <si>
    <t>H黦li_Thomas_19730613_1</t>
  </si>
  <si>
    <t>Mosimann-M黮ler_Manuela_19740731_2</t>
  </si>
  <si>
    <t>Massimino_Fabio_20000601_1</t>
  </si>
  <si>
    <t>Markzoll-Braun_Peter_19490813_1</t>
  </si>
  <si>
    <t>Frank_Elsbeth_19531115_2</t>
  </si>
  <si>
    <t>Riedi-Zohren_Elisabeth_19400331_2</t>
  </si>
  <si>
    <t>Feusi_Petronella_19440710_2</t>
  </si>
  <si>
    <t>Schmid_Priska_19450322_2</t>
  </si>
  <si>
    <t>Anken_Jean_Joachim_19641130_1</t>
  </si>
  <si>
    <t>Inderm黨le_Niklaus_19490116_1</t>
  </si>
  <si>
    <t>Gerber_Daniel_19610829_1</t>
  </si>
  <si>
    <t>B黨ler_Franz_19480413_1</t>
  </si>
  <si>
    <t>Sch黷z_Thomas_19690309_1</t>
  </si>
  <si>
    <t>Altermatt_Caroline_19951221_2</t>
  </si>
  <si>
    <t>Dormayer_Katja_19380831_2</t>
  </si>
  <si>
    <t>Demirci_Ayhan_19650201_1</t>
  </si>
  <si>
    <t>Bleuler_Hans-Ulrich_19461003_1</t>
  </si>
  <si>
    <t>Gabathuler_J鰎g_19560520_1</t>
  </si>
  <si>
    <t>Pujatti_Nadja_19740604_2</t>
  </si>
  <si>
    <t>F鰄n_Oliver_19680514_1</t>
  </si>
  <si>
    <t>Hohl_Hans_19520117_1</t>
  </si>
  <si>
    <t>Ibanez_Rodolfo_19450620_1</t>
  </si>
  <si>
    <t>Holle_Erhard_19430901_1</t>
  </si>
  <si>
    <t>Djurinovic_Vuk_19591006_1</t>
  </si>
  <si>
    <t>Uhr_Narmina_19730824_2</t>
  </si>
  <si>
    <t>Baumann-Lussmann_Ruth_19490104_2</t>
  </si>
  <si>
    <t>Kuersteiner_Marcel_19561211_1</t>
  </si>
  <si>
    <t>Bregy_Philipp_19860327_1</t>
  </si>
  <si>
    <t>B鰏ch_Walter_19450201_1</t>
  </si>
  <si>
    <t>Freckmann_Thomas_19640405_1</t>
  </si>
  <si>
    <t>Metushi_Nazmi_19440319_1</t>
  </si>
  <si>
    <t>Carbonara-Ammann_Heidi_19490223_2</t>
  </si>
  <si>
    <t>Linder_Andy_19930111_1</t>
  </si>
  <si>
    <t>Stauber_Sandy-Ramon_19940727_1</t>
  </si>
  <si>
    <t>Martinelli_Gildo_19581228_1</t>
  </si>
  <si>
    <t>Stutz_Patrik_19751014_1</t>
  </si>
  <si>
    <t>Frei_Samuel_20040301_1</t>
  </si>
  <si>
    <t>Durrer_Maria_Louise_Klara_19460531_2</t>
  </si>
  <si>
    <t>Zumb黨l_Nicolas_Toni_19960411_1</t>
  </si>
  <si>
    <t>J鋑gi_Marcel_19491210_1</t>
  </si>
  <si>
    <t>Blandenier_C閐ric_Ely_19690814_1</t>
  </si>
  <si>
    <t>Zyskowski_Ramsi_19830523_1</t>
  </si>
  <si>
    <t>Nikolic_Jelena_19890424_2</t>
  </si>
  <si>
    <t>Goos_Alex_19780317_1</t>
  </si>
  <si>
    <t>Gubser_Peter_19510104_1</t>
  </si>
  <si>
    <t>Durrer_Elsbeth_19370802_2</t>
  </si>
  <si>
    <t>Fermini_Ferinaze_19910224_2</t>
  </si>
  <si>
    <t>Eichenberger_Andre_19631107_1</t>
  </si>
  <si>
    <t>Kaderli-Fiechter_J黵g_19560119_1</t>
  </si>
  <si>
    <t>Gr黱enwald_Jan_19640721_1</t>
  </si>
  <si>
    <t>Weinhold-Nardo_Maja_19590518_2</t>
  </si>
  <si>
    <t>Heiniger_Margrith_19520116_2</t>
  </si>
  <si>
    <t>Karle_Manfred_19510825_1</t>
  </si>
  <si>
    <t>Kazin_Katarzyna_19970312_2</t>
  </si>
  <si>
    <t>Bertschy_Josef_19350329_1</t>
  </si>
  <si>
    <t>Sp鋘i_Roman_Armin_19770619_1</t>
  </si>
  <si>
    <t>Sch鋜-Eiholzer_Olivia_19700904_2</t>
  </si>
  <si>
    <t>Genillard_Laurie_19911205_2</t>
  </si>
  <si>
    <t>Kaiser_Karin_19720326_2</t>
  </si>
  <si>
    <t>Burkart_Viktor_19470509_1</t>
  </si>
  <si>
    <t>H黵limann_Michael_M鋞th鋟s_19930221_1</t>
  </si>
  <si>
    <t>Siegenthaler_Hans_19420528_1</t>
  </si>
  <si>
    <t>Marty_Anton_19560328_1</t>
  </si>
  <si>
    <t>Pfranger_Otto_19431225_1</t>
  </si>
  <si>
    <t>Paris_Dana_20000912_2</t>
  </si>
  <si>
    <t>M黮ler_Ferdinand_19470102_1</t>
  </si>
  <si>
    <t>Schmid_Matthias_19510217_1</t>
  </si>
  <si>
    <t>Bischofberger_Rico_19760902_1</t>
  </si>
  <si>
    <t>Howald_Liliane_19530605_2</t>
  </si>
  <si>
    <t>Kolgeci_Xhavit_19560501_1</t>
  </si>
  <si>
    <t>Grimm_Alain_19480516_1</t>
  </si>
  <si>
    <t>Wyss_Ernst_19530106_1</t>
  </si>
  <si>
    <t>Mauron_Esther_19671211_2</t>
  </si>
  <si>
    <t>Curty_Edgar_19490716_1</t>
  </si>
  <si>
    <t>Hirschi_Martin_19640920_1</t>
  </si>
  <si>
    <t>Suter_Otto_19571203_1</t>
  </si>
  <si>
    <t>Bl鋞tler_Heidi_19601030_2</t>
  </si>
  <si>
    <t>Th鰊en_Roland_19510929_1</t>
  </si>
  <si>
    <t>Sch黳bach_Rudolf_19440412_1</t>
  </si>
  <si>
    <t>Tscharner_Bernhard_19520826_1</t>
  </si>
  <si>
    <t>Schmid_Rolf_19480616_1</t>
  </si>
  <si>
    <t>Bieri_Michael_Josef_19940926_1</t>
  </si>
  <si>
    <t>acute_month_adm</t>
  </si>
  <si>
    <t>acute_year_adm</t>
  </si>
  <si>
    <t>rehab_month_adm</t>
  </si>
  <si>
    <t>rehab_year_adm</t>
  </si>
  <si>
    <t>acute_year_dis</t>
  </si>
  <si>
    <t>acute_month_dis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</si>
</sst>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0" xfId="2"/>
    <xf numFmtId="0" fontId="2" fillId="2" borderId="0" xfId="1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4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3" borderId="0" xfId="2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000"/>
  <sheetViews>
    <sheetView tabSelected="1" topLeftCell="W4" workbookViewId="0">
      <selection activeCell="AE20" sqref="AE20"/>
    </sheetView>
  </sheetViews>
  <sheetFormatPr baseColWidth="10" defaultColWidth="8.83203125" defaultRowHeight="15" x14ac:dyDescent="0.2"/>
  <cols>
    <col min="1" max="1" width="21.33203125" style="7" bestFit="1" customWidth="1"/>
    <col min="2" max="2" width="21.5" style="7" bestFit="1" customWidth="1"/>
    <col min="3" max="4" width="22.33203125" style="7" bestFit="1" customWidth="1"/>
    <col min="5" max="5" width="25.33203125" style="7" bestFit="1" customWidth="1"/>
    <col min="6" max="6" width="21.33203125" style="11" bestFit="1" customWidth="1"/>
    <col min="7" max="7" width="20" bestFit="1" customWidth="1"/>
    <col min="8" max="8" width="20.1640625" bestFit="1" customWidth="1"/>
    <col min="9" max="10" width="21" bestFit="1" customWidth="1"/>
    <col min="11" max="11" width="24.1640625" bestFit="1" customWidth="1"/>
    <col min="12" max="12" width="20" bestFit="1" customWidth="1"/>
    <col min="13" max="13" width="19" bestFit="1" customWidth="1"/>
    <col min="14" max="14" width="21.5" style="7" bestFit="1" customWidth="1"/>
    <col min="15" max="15" width="21.6640625" style="7" bestFit="1" customWidth="1"/>
    <col min="16" max="17" width="22.5" style="7" bestFit="1" customWidth="1"/>
    <col min="18" max="18" width="25.5" style="7" bestFit="1" customWidth="1"/>
    <col min="19" max="19" width="21.5" bestFit="1" customWidth="1"/>
    <col min="20" max="20" width="20.1640625" style="4" bestFit="1" customWidth="1"/>
    <col min="21" max="21" width="20.33203125" bestFit="1" customWidth="1"/>
    <col min="22" max="23" width="21.33203125" bestFit="1" customWidth="1"/>
    <col min="24" max="24" width="24.33203125" style="7" bestFit="1" customWidth="1"/>
    <col min="25" max="25" width="20.1640625" bestFit="1" customWidth="1"/>
    <col min="26" max="26" width="19.1640625" bestFit="1" customWidth="1"/>
    <col min="27" max="27" width="38.5" bestFit="1" customWidth="1"/>
    <col min="28" max="28" width="16.1640625" bestFit="1" customWidth="1"/>
    <col min="29" max="29" width="13.6640625" bestFit="1" customWidth="1"/>
    <col min="30" max="30" width="13.1640625" bestFit="1" customWidth="1"/>
    <col min="31" max="31" width="13.33203125" bestFit="1" customWidth="1"/>
    <col min="32" max="32" width="13.1640625" bestFit="1" customWidth="1"/>
    <col min="33" max="33" width="13.33203125" bestFit="1" customWidth="1"/>
    <col min="34" max="34" width="14.1640625" bestFit="1" customWidth="1"/>
    <col min="35" max="35" width="13.5" bestFit="1" customWidth="1"/>
    <col min="36" max="36" width="14" bestFit="1" customWidth="1"/>
    <col min="37" max="37" width="21.1640625" bestFit="1" customWidth="1"/>
    <col min="38" max="38" width="19.83203125" bestFit="1" customWidth="1"/>
    <col min="39" max="39" width="21.5" bestFit="1" customWidth="1"/>
    <col min="40" max="40" width="19.5" bestFit="1" customWidth="1"/>
    <col min="41" max="41" width="16" bestFit="1" customWidth="1"/>
    <col min="42" max="42" width="19" bestFit="1" customWidth="1"/>
    <col min="43" max="43" width="17.5" bestFit="1" customWidth="1"/>
    <col min="44" max="44" width="17.33203125" bestFit="1" customWidth="1"/>
    <col min="45" max="45" width="22.1640625" bestFit="1" customWidth="1"/>
    <col min="46" max="46" width="23.33203125" bestFit="1" customWidth="1"/>
    <col min="47" max="47" width="15.5" bestFit="1" customWidth="1"/>
    <col min="48" max="48" width="10.5" bestFit="1" customWidth="1"/>
    <col min="49" max="49" width="18.5" bestFit="1" customWidth="1"/>
    <col min="50" max="50" width="13.6640625" bestFit="1" customWidth="1"/>
    <col min="51" max="51" width="10.83203125" bestFit="1" customWidth="1"/>
    <col min="52" max="52" width="15.6640625" bestFit="1" customWidth="1"/>
    <col min="53" max="53" width="20.5" bestFit="1" customWidth="1"/>
    <col min="54" max="54" width="18.6640625" bestFit="1" customWidth="1"/>
    <col min="55" max="55" width="20.33203125" bestFit="1" customWidth="1"/>
    <col min="56" max="56" width="18.5" bestFit="1" customWidth="1"/>
    <col min="57" max="57" width="15.6640625" bestFit="1" customWidth="1"/>
    <col min="58" max="58" width="13.5" bestFit="1" customWidth="1"/>
  </cols>
  <sheetData>
    <row r="1" spans="1:5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5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9" t="s">
        <v>471</v>
      </c>
      <c r="AG1" s="10" t="s">
        <v>472</v>
      </c>
      <c r="AH1" s="9" t="s">
        <v>474</v>
      </c>
      <c r="AI1" s="9" t="s">
        <v>475</v>
      </c>
      <c r="AJ1" s="9" t="s">
        <v>476</v>
      </c>
      <c r="AK1" s="9" t="s">
        <v>477</v>
      </c>
      <c r="AL1" s="9" t="s">
        <v>478</v>
      </c>
      <c r="AM1" s="9" t="s">
        <v>479</v>
      </c>
      <c r="AN1" s="9" t="s">
        <v>480</v>
      </c>
      <c r="AO1" s="9" t="s">
        <v>481</v>
      </c>
      <c r="AP1" s="9" t="s">
        <v>482</v>
      </c>
      <c r="AQ1" s="9" t="s">
        <v>483</v>
      </c>
      <c r="AR1" s="9" t="s">
        <v>484</v>
      </c>
      <c r="AS1" s="9" t="s">
        <v>485</v>
      </c>
      <c r="AT1" s="9" t="s">
        <v>486</v>
      </c>
      <c r="AU1" s="9" t="s">
        <v>487</v>
      </c>
      <c r="AV1" s="9" t="s">
        <v>488</v>
      </c>
      <c r="AW1" s="1" t="s">
        <v>490</v>
      </c>
      <c r="AX1" s="1" t="s">
        <v>28</v>
      </c>
      <c r="AY1" s="1" t="s">
        <v>491</v>
      </c>
      <c r="AZ1" s="9" t="s">
        <v>492</v>
      </c>
      <c r="BA1" s="1" t="s">
        <v>1042</v>
      </c>
      <c r="BB1" s="1" t="s">
        <v>1043</v>
      </c>
      <c r="BC1" s="1" t="s">
        <v>1047</v>
      </c>
      <c r="BD1" s="1" t="s">
        <v>1046</v>
      </c>
      <c r="BE1" s="9" t="s">
        <v>1044</v>
      </c>
      <c r="BF1" s="9" t="s">
        <v>1045</v>
      </c>
    </row>
    <row r="2" spans="1:58" x14ac:dyDescent="0.2">
      <c r="A2" s="7">
        <v>0</v>
      </c>
      <c r="B2" s="7">
        <v>0</v>
      </c>
      <c r="C2" s="7">
        <v>0</v>
      </c>
      <c r="D2" s="7">
        <v>0</v>
      </c>
      <c r="E2" s="7">
        <f t="shared" ref="E2:E65" si="0">SUM(A2,B2,C2,D2)</f>
        <v>0</v>
      </c>
      <c r="F2" s="11" t="e">
        <v>#N/A</v>
      </c>
      <c r="G2">
        <v>0</v>
      </c>
      <c r="H2">
        <v>0</v>
      </c>
      <c r="I2">
        <v>0</v>
      </c>
      <c r="J2">
        <v>0</v>
      </c>
      <c r="K2">
        <f t="shared" ref="K2:K65" si="1">SUM(G2,H2,I2,J2)</f>
        <v>0</v>
      </c>
      <c r="L2" t="e">
        <v>#N/A</v>
      </c>
      <c r="N2" s="7">
        <v>10</v>
      </c>
      <c r="O2" s="7">
        <v>11</v>
      </c>
      <c r="P2" s="7">
        <v>3</v>
      </c>
      <c r="Q2" s="7">
        <v>4</v>
      </c>
      <c r="R2" s="7">
        <f t="shared" ref="R2:R65" si="2">SUM(N2,O2,P2,Q2)</f>
        <v>28</v>
      </c>
      <c r="S2" t="s">
        <v>36</v>
      </c>
      <c r="T2" s="7">
        <v>9</v>
      </c>
      <c r="U2" s="7">
        <v>17</v>
      </c>
      <c r="V2" s="7">
        <v>3</v>
      </c>
      <c r="W2" s="7">
        <v>4</v>
      </c>
      <c r="X2" s="7">
        <f t="shared" ref="X2:X65" si="3">SUM(T2,U2,V2,W2)</f>
        <v>33</v>
      </c>
      <c r="Y2" t="s">
        <v>36</v>
      </c>
      <c r="Z2">
        <v>42559.301865449997</v>
      </c>
      <c r="AA2" t="s">
        <v>493</v>
      </c>
      <c r="AB2">
        <v>82</v>
      </c>
      <c r="AC2">
        <v>0</v>
      </c>
      <c r="AD2" t="s">
        <v>40</v>
      </c>
      <c r="AE2" t="s">
        <v>41</v>
      </c>
      <c r="AF2" t="e">
        <v>#N/A</v>
      </c>
      <c r="AG2" s="8">
        <v>195</v>
      </c>
      <c r="AH2">
        <v>5</v>
      </c>
      <c r="AI2">
        <v>33</v>
      </c>
      <c r="AJ2">
        <v>0</v>
      </c>
      <c r="AK2">
        <v>2.564102564102564E-2</v>
      </c>
      <c r="AL2">
        <v>0.35805743701971643</v>
      </c>
      <c r="AM2">
        <v>28</v>
      </c>
      <c r="AN2">
        <v>0</v>
      </c>
      <c r="AO2">
        <v>0.17857142857142858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>
        <v>42559.301865449997</v>
      </c>
      <c r="AV2">
        <v>11</v>
      </c>
      <c r="AW2">
        <f>IF(AV2="n/a","n/a",IF(AV2&gt;=10,1,0))</f>
        <v>1</v>
      </c>
      <c r="AX2">
        <v>0</v>
      </c>
      <c r="AY2">
        <f>IF(
  ISBLANK(AX2),
  NA(),
  IF(AX2&gt;0, 1, 0)
)</f>
        <v>0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>
        <v>7</v>
      </c>
      <c r="BF2">
        <v>2018</v>
      </c>
    </row>
    <row r="3" spans="1:58" x14ac:dyDescent="0.2">
      <c r="A3" s="7">
        <v>17</v>
      </c>
      <c r="B3" s="7">
        <v>32</v>
      </c>
      <c r="C3" s="7">
        <v>2</v>
      </c>
      <c r="D3" s="7">
        <v>0</v>
      </c>
      <c r="E3" s="7">
        <f t="shared" si="0"/>
        <v>51</v>
      </c>
      <c r="F3" s="11">
        <v>34</v>
      </c>
      <c r="G3">
        <v>17</v>
      </c>
      <c r="H3">
        <v>32</v>
      </c>
      <c r="I3">
        <v>2</v>
      </c>
      <c r="J3">
        <v>0</v>
      </c>
      <c r="K3">
        <f t="shared" si="1"/>
        <v>51</v>
      </c>
      <c r="L3" t="s">
        <v>36</v>
      </c>
      <c r="M3">
        <v>24693.547132</v>
      </c>
      <c r="N3" s="7">
        <v>18</v>
      </c>
      <c r="O3" s="7">
        <v>33</v>
      </c>
      <c r="P3" s="7">
        <v>6</v>
      </c>
      <c r="Q3" s="7">
        <v>5</v>
      </c>
      <c r="R3" s="7">
        <f t="shared" si="2"/>
        <v>62</v>
      </c>
      <c r="S3" t="s">
        <v>36</v>
      </c>
      <c r="T3" s="7">
        <v>18</v>
      </c>
      <c r="U3" s="7">
        <v>33</v>
      </c>
      <c r="V3" s="7">
        <v>6</v>
      </c>
      <c r="W3" s="7">
        <v>5</v>
      </c>
      <c r="X3" s="7">
        <f t="shared" si="3"/>
        <v>62</v>
      </c>
      <c r="Y3" t="s">
        <v>36</v>
      </c>
      <c r="Z3">
        <v>5788.6678917600002</v>
      </c>
      <c r="AA3" t="s">
        <v>494</v>
      </c>
      <c r="AB3">
        <v>82</v>
      </c>
      <c r="AC3">
        <v>338</v>
      </c>
      <c r="AD3" t="s">
        <v>46</v>
      </c>
      <c r="AE3" t="s">
        <v>41</v>
      </c>
      <c r="AF3" t="e">
        <v>#N/A</v>
      </c>
      <c r="AG3" s="8">
        <v>0</v>
      </c>
      <c r="AH3">
        <v>0</v>
      </c>
      <c r="AI3">
        <v>11</v>
      </c>
      <c r="AJ3">
        <v>0</v>
      </c>
      <c r="AK3" t="e">
        <v>#N/A</v>
      </c>
      <c r="AL3" t="e">
        <v>#N/A</v>
      </c>
      <c r="AM3">
        <v>11</v>
      </c>
      <c r="AN3">
        <v>0</v>
      </c>
      <c r="AO3">
        <v>0</v>
      </c>
      <c r="AP3">
        <v>0</v>
      </c>
      <c r="AQ3">
        <v>0</v>
      </c>
      <c r="AR3">
        <v>0.33333333333333331</v>
      </c>
      <c r="AS3">
        <v>0.62745098039215685</v>
      </c>
      <c r="AT3">
        <v>3.9215686274509803E-2</v>
      </c>
      <c r="AU3">
        <v>30482.21502376</v>
      </c>
      <c r="AV3">
        <v>14</v>
      </c>
      <c r="AW3">
        <f t="shared" ref="AW3:AW66" si="4">IF(AV3="n/a","n/a",IF(AV3&gt;=10,1,0))</f>
        <v>1</v>
      </c>
      <c r="AX3">
        <v>338</v>
      </c>
      <c r="AY3">
        <f t="shared" ref="AY3:AY66" si="5">IF(
  ISBLANK(AX3),
  NA(),
  IF(AX3&gt;0, 1, 0)
)</f>
        <v>1</v>
      </c>
      <c r="AZ3" t="e">
        <v>#N/A</v>
      </c>
      <c r="BA3">
        <v>3</v>
      </c>
      <c r="BB3">
        <v>2019</v>
      </c>
      <c r="BC3">
        <v>3</v>
      </c>
      <c r="BD3">
        <v>2019</v>
      </c>
      <c r="BE3">
        <v>4</v>
      </c>
      <c r="BF3">
        <v>2019</v>
      </c>
    </row>
    <row r="4" spans="1:58" x14ac:dyDescent="0.2">
      <c r="A4" s="7">
        <v>11</v>
      </c>
      <c r="B4" s="7">
        <v>15</v>
      </c>
      <c r="C4" s="7">
        <v>2</v>
      </c>
      <c r="D4" s="7">
        <v>0</v>
      </c>
      <c r="E4" s="7">
        <f t="shared" si="0"/>
        <v>28</v>
      </c>
      <c r="F4" s="11" t="e">
        <v>#N/A</v>
      </c>
      <c r="G4">
        <v>11</v>
      </c>
      <c r="H4">
        <v>15</v>
      </c>
      <c r="I4">
        <v>2</v>
      </c>
      <c r="J4">
        <v>0</v>
      </c>
      <c r="K4">
        <f t="shared" si="1"/>
        <v>28</v>
      </c>
      <c r="L4" t="e">
        <v>#N/A</v>
      </c>
      <c r="M4">
        <v>21187.563987140002</v>
      </c>
      <c r="N4" s="7">
        <v>11</v>
      </c>
      <c r="O4" s="7">
        <v>15</v>
      </c>
      <c r="P4" s="7">
        <v>2</v>
      </c>
      <c r="Q4" s="7">
        <v>0</v>
      </c>
      <c r="R4" s="7">
        <f t="shared" si="2"/>
        <v>28</v>
      </c>
      <c r="S4" t="e">
        <v>#N/A</v>
      </c>
      <c r="T4" s="7">
        <v>11</v>
      </c>
      <c r="U4" s="7">
        <v>15</v>
      </c>
      <c r="V4" s="7">
        <v>2</v>
      </c>
      <c r="W4" s="7">
        <v>0</v>
      </c>
      <c r="X4" s="7">
        <f t="shared" si="3"/>
        <v>28</v>
      </c>
      <c r="Y4" t="e">
        <v>#N/A</v>
      </c>
      <c r="Z4">
        <v>2167.0948306400001</v>
      </c>
      <c r="AA4" t="s">
        <v>48</v>
      </c>
      <c r="AB4">
        <v>83</v>
      </c>
      <c r="AC4">
        <v>0</v>
      </c>
      <c r="AD4" t="s">
        <v>49</v>
      </c>
      <c r="AE4" t="s">
        <v>41</v>
      </c>
      <c r="AF4" t="e">
        <v>#N/A</v>
      </c>
      <c r="AG4" s="8">
        <v>0</v>
      </c>
      <c r="AH4">
        <v>0</v>
      </c>
      <c r="AI4">
        <v>0</v>
      </c>
      <c r="AJ4">
        <v>0</v>
      </c>
      <c r="AK4" t="e">
        <v>#N/A</v>
      </c>
      <c r="AL4" t="e">
        <v>#N/A</v>
      </c>
      <c r="AM4">
        <v>0</v>
      </c>
      <c r="AN4">
        <v>0</v>
      </c>
      <c r="AO4">
        <v>0</v>
      </c>
      <c r="AP4">
        <v>0</v>
      </c>
      <c r="AQ4">
        <v>0</v>
      </c>
      <c r="AR4">
        <v>0.39285714285714285</v>
      </c>
      <c r="AS4">
        <v>0.5357142857142857</v>
      </c>
      <c r="AT4">
        <v>7.1428571428571425E-2</v>
      </c>
      <c r="AU4">
        <v>23354.65881778</v>
      </c>
      <c r="AV4">
        <v>18</v>
      </c>
      <c r="AW4">
        <f t="shared" si="4"/>
        <v>1</v>
      </c>
      <c r="AX4">
        <v>0</v>
      </c>
      <c r="AY4">
        <f t="shared" si="5"/>
        <v>0</v>
      </c>
      <c r="AZ4" t="e">
        <v>#N/A</v>
      </c>
      <c r="BA4">
        <v>1</v>
      </c>
      <c r="BB4">
        <v>2020</v>
      </c>
      <c r="BC4">
        <v>1</v>
      </c>
      <c r="BD4">
        <v>2020</v>
      </c>
      <c r="BE4">
        <v>12</v>
      </c>
      <c r="BF4">
        <v>2020</v>
      </c>
    </row>
    <row r="5" spans="1:58" x14ac:dyDescent="0.2">
      <c r="A5" s="7">
        <v>11</v>
      </c>
      <c r="B5" s="7">
        <v>15</v>
      </c>
      <c r="C5" s="7">
        <v>4</v>
      </c>
      <c r="D5" s="7">
        <v>6</v>
      </c>
      <c r="E5" s="7">
        <f t="shared" si="0"/>
        <v>36</v>
      </c>
      <c r="F5" s="11" t="e">
        <v>#N/A</v>
      </c>
      <c r="G5">
        <v>11</v>
      </c>
      <c r="H5">
        <v>15</v>
      </c>
      <c r="I5">
        <v>4</v>
      </c>
      <c r="J5">
        <v>6</v>
      </c>
      <c r="K5">
        <f t="shared" si="1"/>
        <v>36</v>
      </c>
      <c r="L5" t="e">
        <v>#N/A</v>
      </c>
      <c r="M5">
        <v>20310.202348620001</v>
      </c>
      <c r="N5" s="7">
        <v>13</v>
      </c>
      <c r="O5" s="7">
        <v>25</v>
      </c>
      <c r="P5" s="7">
        <v>6</v>
      </c>
      <c r="Q5" s="7">
        <v>6</v>
      </c>
      <c r="R5" s="7">
        <f t="shared" si="2"/>
        <v>50</v>
      </c>
      <c r="S5" t="e">
        <v>#N/A</v>
      </c>
      <c r="T5" s="7">
        <v>13</v>
      </c>
      <c r="U5" s="7">
        <v>16</v>
      </c>
      <c r="V5" s="7">
        <v>6</v>
      </c>
      <c r="W5" s="7">
        <v>6</v>
      </c>
      <c r="X5" s="7">
        <f t="shared" si="3"/>
        <v>41</v>
      </c>
      <c r="Y5" t="e">
        <v>#N/A</v>
      </c>
      <c r="Z5">
        <v>7295.2812623500004</v>
      </c>
      <c r="AA5" t="s">
        <v>48</v>
      </c>
      <c r="AB5">
        <v>83</v>
      </c>
      <c r="AC5">
        <v>0</v>
      </c>
      <c r="AD5" t="s">
        <v>40</v>
      </c>
      <c r="AE5" t="s">
        <v>41</v>
      </c>
      <c r="AF5" t="e">
        <v>#N/A</v>
      </c>
      <c r="AG5" s="8">
        <v>152</v>
      </c>
      <c r="AH5">
        <v>-9</v>
      </c>
      <c r="AI5">
        <v>5</v>
      </c>
      <c r="AJ5">
        <v>0</v>
      </c>
      <c r="AK5">
        <v>-5.921052631578947E-2</v>
      </c>
      <c r="AL5">
        <v>-0.7299963950884315</v>
      </c>
      <c r="AM5">
        <v>14</v>
      </c>
      <c r="AN5">
        <v>0</v>
      </c>
      <c r="AO5">
        <v>-0.18</v>
      </c>
      <c r="AP5">
        <v>-0.25</v>
      </c>
      <c r="AQ5">
        <v>0.16666666666666666</v>
      </c>
      <c r="AR5">
        <v>0.30555555555555558</v>
      </c>
      <c r="AS5">
        <v>0.41666666666666669</v>
      </c>
      <c r="AT5">
        <v>0.1111111111111111</v>
      </c>
      <c r="AU5">
        <v>27605.483610970001</v>
      </c>
      <c r="AV5">
        <v>18</v>
      </c>
      <c r="AW5">
        <f t="shared" si="4"/>
        <v>1</v>
      </c>
      <c r="AX5">
        <v>0</v>
      </c>
      <c r="AY5">
        <f t="shared" si="5"/>
        <v>0</v>
      </c>
      <c r="AZ5" t="e">
        <v>#N/A</v>
      </c>
      <c r="BA5">
        <v>6</v>
      </c>
      <c r="BB5">
        <v>2020</v>
      </c>
      <c r="BC5">
        <v>6</v>
      </c>
      <c r="BD5">
        <v>2020</v>
      </c>
      <c r="BE5">
        <v>1</v>
      </c>
      <c r="BF5">
        <v>2020</v>
      </c>
    </row>
    <row r="6" spans="1:58" x14ac:dyDescent="0.2">
      <c r="A6" s="7">
        <v>0</v>
      </c>
      <c r="B6" s="7">
        <v>0</v>
      </c>
      <c r="C6" s="7">
        <v>0</v>
      </c>
      <c r="D6" s="7">
        <v>0</v>
      </c>
      <c r="E6" s="7">
        <f t="shared" si="0"/>
        <v>0</v>
      </c>
      <c r="F6" s="11" t="s">
        <v>53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 t="s">
        <v>53</v>
      </c>
      <c r="M6">
        <v>71048.650352650002</v>
      </c>
      <c r="N6" s="7">
        <v>0</v>
      </c>
      <c r="O6" s="7">
        <v>6</v>
      </c>
      <c r="P6" s="7">
        <v>0</v>
      </c>
      <c r="Q6" s="7">
        <v>0</v>
      </c>
      <c r="R6" s="7">
        <f t="shared" si="2"/>
        <v>6</v>
      </c>
      <c r="S6" t="s">
        <v>54</v>
      </c>
      <c r="T6" s="7">
        <v>0</v>
      </c>
      <c r="U6" s="7">
        <v>0</v>
      </c>
      <c r="V6" s="7">
        <v>0</v>
      </c>
      <c r="W6" s="7">
        <v>0</v>
      </c>
      <c r="X6" s="7">
        <f t="shared" si="3"/>
        <v>0</v>
      </c>
      <c r="Y6" t="s">
        <v>53</v>
      </c>
      <c r="Z6">
        <v>127439.71554164001</v>
      </c>
      <c r="AA6" t="s">
        <v>495</v>
      </c>
      <c r="AB6" t="e">
        <v>#N/A</v>
      </c>
      <c r="AF6">
        <v>108</v>
      </c>
      <c r="AG6" s="8">
        <v>59</v>
      </c>
      <c r="AH6">
        <v>-6</v>
      </c>
      <c r="AI6">
        <v>0</v>
      </c>
      <c r="AJ6">
        <v>0</v>
      </c>
      <c r="AK6">
        <v>-0.10169491525423729</v>
      </c>
      <c r="AL6">
        <v>-0.78113346588494326</v>
      </c>
      <c r="AM6">
        <v>6</v>
      </c>
      <c r="AN6">
        <v>0</v>
      </c>
      <c r="AO6">
        <v>-1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>
        <v>198488.36589429001</v>
      </c>
      <c r="AV6" t="s">
        <v>489</v>
      </c>
      <c r="AW6" t="str">
        <f t="shared" si="4"/>
        <v>n/a</v>
      </c>
      <c r="AY6" t="e">
        <f t="shared" si="5"/>
        <v>#N/A</v>
      </c>
      <c r="AZ6" t="e">
        <v>#N/A</v>
      </c>
      <c r="BA6">
        <v>1</v>
      </c>
      <c r="BB6">
        <v>2018</v>
      </c>
      <c r="BC6">
        <v>4</v>
      </c>
      <c r="BD6">
        <v>2018</v>
      </c>
      <c r="BE6">
        <v>7</v>
      </c>
      <c r="BF6">
        <v>2018</v>
      </c>
    </row>
    <row r="7" spans="1:58" x14ac:dyDescent="0.2">
      <c r="A7" s="7">
        <v>4</v>
      </c>
      <c r="B7" s="7">
        <v>15</v>
      </c>
      <c r="C7" s="7">
        <v>0</v>
      </c>
      <c r="D7" s="7">
        <v>0</v>
      </c>
      <c r="E7" s="7">
        <f t="shared" si="0"/>
        <v>19</v>
      </c>
      <c r="F7" s="11" t="e">
        <v>#N/A</v>
      </c>
      <c r="G7">
        <v>5</v>
      </c>
      <c r="H7">
        <v>15</v>
      </c>
      <c r="I7">
        <v>2</v>
      </c>
      <c r="J7">
        <v>0</v>
      </c>
      <c r="K7">
        <f t="shared" si="1"/>
        <v>22</v>
      </c>
      <c r="L7" t="e">
        <v>#N/A</v>
      </c>
      <c r="M7">
        <v>25258.359729110001</v>
      </c>
      <c r="N7" s="7">
        <v>0</v>
      </c>
      <c r="O7" s="7">
        <v>0</v>
      </c>
      <c r="P7" s="7">
        <v>0</v>
      </c>
      <c r="Q7" s="7">
        <v>0</v>
      </c>
      <c r="R7" s="7">
        <f t="shared" si="2"/>
        <v>0</v>
      </c>
      <c r="S7" t="e">
        <v>#N/A</v>
      </c>
      <c r="T7" s="7">
        <v>0</v>
      </c>
      <c r="U7" s="7">
        <v>0</v>
      </c>
      <c r="V7" s="7">
        <v>0</v>
      </c>
      <c r="W7" s="7">
        <v>0</v>
      </c>
      <c r="X7" s="7">
        <f t="shared" si="3"/>
        <v>0</v>
      </c>
      <c r="Y7" t="e">
        <v>#N/A</v>
      </c>
      <c r="AA7" t="s">
        <v>56</v>
      </c>
      <c r="AB7">
        <v>76</v>
      </c>
      <c r="AC7">
        <v>0</v>
      </c>
      <c r="AD7" t="s">
        <v>57</v>
      </c>
      <c r="AE7" t="s">
        <v>41</v>
      </c>
      <c r="AF7">
        <v>59</v>
      </c>
      <c r="AG7" s="8"/>
      <c r="AH7">
        <v>0</v>
      </c>
      <c r="AI7">
        <v>-19</v>
      </c>
      <c r="AJ7">
        <v>3</v>
      </c>
      <c r="AK7" t="e">
        <v>#N/A</v>
      </c>
      <c r="AL7" t="e">
        <v>#N/A</v>
      </c>
      <c r="AM7">
        <v>-22</v>
      </c>
      <c r="AN7">
        <v>1</v>
      </c>
      <c r="AO7" t="e">
        <v>#N/A</v>
      </c>
      <c r="AP7">
        <v>0</v>
      </c>
      <c r="AQ7">
        <v>0</v>
      </c>
      <c r="AR7">
        <v>0.21052631578947367</v>
      </c>
      <c r="AS7">
        <v>0.78947368421052633</v>
      </c>
      <c r="AT7">
        <v>0</v>
      </c>
      <c r="AU7">
        <v>25258.359729110001</v>
      </c>
      <c r="AV7">
        <v>11</v>
      </c>
      <c r="AW7">
        <f t="shared" si="4"/>
        <v>1</v>
      </c>
      <c r="AX7">
        <v>0</v>
      </c>
      <c r="AY7">
        <f t="shared" si="5"/>
        <v>0</v>
      </c>
      <c r="AZ7">
        <v>0</v>
      </c>
      <c r="BA7">
        <v>1</v>
      </c>
      <c r="BB7">
        <v>2020</v>
      </c>
      <c r="BC7">
        <v>3</v>
      </c>
      <c r="BD7">
        <v>2020</v>
      </c>
      <c r="BE7" t="e">
        <v>#N/A</v>
      </c>
      <c r="BF7" t="e">
        <v>#N/A</v>
      </c>
    </row>
    <row r="8" spans="1:58" x14ac:dyDescent="0.2">
      <c r="A8" s="7">
        <v>6</v>
      </c>
      <c r="B8" s="7">
        <v>15</v>
      </c>
      <c r="C8" s="7">
        <v>0</v>
      </c>
      <c r="D8" s="7">
        <v>0</v>
      </c>
      <c r="E8" s="7">
        <f t="shared" si="0"/>
        <v>21</v>
      </c>
      <c r="F8" s="11" t="s">
        <v>35</v>
      </c>
      <c r="G8">
        <v>6</v>
      </c>
      <c r="H8">
        <v>15</v>
      </c>
      <c r="I8">
        <v>0</v>
      </c>
      <c r="J8">
        <v>0</v>
      </c>
      <c r="K8">
        <f t="shared" si="1"/>
        <v>21</v>
      </c>
      <c r="L8" t="s">
        <v>35</v>
      </c>
      <c r="M8">
        <v>11144.85685932</v>
      </c>
      <c r="N8" s="7">
        <v>7</v>
      </c>
      <c r="O8" s="7">
        <v>15</v>
      </c>
      <c r="P8" s="7">
        <v>0</v>
      </c>
      <c r="Q8" s="7">
        <v>3</v>
      </c>
      <c r="R8" s="7">
        <f t="shared" si="2"/>
        <v>25</v>
      </c>
      <c r="S8" t="s">
        <v>35</v>
      </c>
      <c r="T8" s="7">
        <v>6</v>
      </c>
      <c r="U8" s="7">
        <v>15</v>
      </c>
      <c r="V8" s="7">
        <v>0</v>
      </c>
      <c r="W8" s="7">
        <v>0</v>
      </c>
      <c r="X8" s="7">
        <f t="shared" si="3"/>
        <v>21</v>
      </c>
      <c r="Y8" t="s">
        <v>35</v>
      </c>
      <c r="Z8">
        <v>25503.557329089999</v>
      </c>
      <c r="AA8" t="s">
        <v>496</v>
      </c>
      <c r="AB8" t="e">
        <v>#N/A</v>
      </c>
      <c r="AF8">
        <v>8</v>
      </c>
      <c r="AG8" s="8">
        <v>82</v>
      </c>
      <c r="AH8">
        <v>-4</v>
      </c>
      <c r="AI8">
        <v>0</v>
      </c>
      <c r="AJ8">
        <v>0</v>
      </c>
      <c r="AK8">
        <v>-4.878048780487805E-2</v>
      </c>
      <c r="AL8">
        <v>-0.44172610429938614</v>
      </c>
      <c r="AM8">
        <v>4</v>
      </c>
      <c r="AN8">
        <v>0</v>
      </c>
      <c r="AO8">
        <v>-0.16</v>
      </c>
      <c r="AP8">
        <v>-0.19047619047619047</v>
      </c>
      <c r="AQ8">
        <v>0</v>
      </c>
      <c r="AR8">
        <v>0.2857142857142857</v>
      </c>
      <c r="AS8">
        <v>0.7142857142857143</v>
      </c>
      <c r="AT8">
        <v>0</v>
      </c>
      <c r="AU8">
        <v>36648.414188409995</v>
      </c>
      <c r="AV8" t="s">
        <v>489</v>
      </c>
      <c r="AW8" t="str">
        <f t="shared" si="4"/>
        <v>n/a</v>
      </c>
      <c r="AY8" t="e">
        <f t="shared" si="5"/>
        <v>#N/A</v>
      </c>
      <c r="AZ8" t="e">
        <v>#N/A</v>
      </c>
      <c r="BA8">
        <v>3</v>
      </c>
      <c r="BB8">
        <v>2018</v>
      </c>
      <c r="BC8">
        <v>3</v>
      </c>
      <c r="BD8">
        <v>2018</v>
      </c>
      <c r="BE8">
        <v>1</v>
      </c>
      <c r="BF8">
        <v>2018</v>
      </c>
    </row>
    <row r="9" spans="1:58" x14ac:dyDescent="0.2">
      <c r="A9" s="7">
        <v>20</v>
      </c>
      <c r="B9" s="7">
        <v>36</v>
      </c>
      <c r="C9" s="7">
        <v>9</v>
      </c>
      <c r="D9" s="7">
        <v>7</v>
      </c>
      <c r="E9" s="7">
        <f t="shared" si="0"/>
        <v>72</v>
      </c>
      <c r="F9" s="11" t="s">
        <v>36</v>
      </c>
      <c r="G9">
        <v>20</v>
      </c>
      <c r="H9">
        <v>36</v>
      </c>
      <c r="I9">
        <v>9</v>
      </c>
      <c r="J9">
        <v>7</v>
      </c>
      <c r="K9">
        <f t="shared" si="1"/>
        <v>72</v>
      </c>
      <c r="L9" t="s">
        <v>36</v>
      </c>
      <c r="M9">
        <v>25302.397248559999</v>
      </c>
      <c r="N9" s="7">
        <v>10</v>
      </c>
      <c r="O9" s="7">
        <v>31</v>
      </c>
      <c r="P9" s="7">
        <v>2</v>
      </c>
      <c r="Q9" s="7">
        <v>5</v>
      </c>
      <c r="R9" s="7">
        <f t="shared" si="2"/>
        <v>48</v>
      </c>
      <c r="S9" t="s">
        <v>36</v>
      </c>
      <c r="T9" s="7">
        <v>20</v>
      </c>
      <c r="U9" s="7">
        <v>33</v>
      </c>
      <c r="V9" s="7">
        <v>9</v>
      </c>
      <c r="W9" s="7">
        <v>7</v>
      </c>
      <c r="X9" s="7">
        <f t="shared" si="3"/>
        <v>69</v>
      </c>
      <c r="Y9" t="s">
        <v>36</v>
      </c>
      <c r="Z9">
        <v>22175.994272159998</v>
      </c>
      <c r="AA9" t="s">
        <v>497</v>
      </c>
      <c r="AB9">
        <v>70</v>
      </c>
      <c r="AC9">
        <v>44</v>
      </c>
      <c r="AD9" t="s">
        <v>61</v>
      </c>
      <c r="AE9" t="s">
        <v>41</v>
      </c>
      <c r="AF9" t="e">
        <v>#N/A</v>
      </c>
      <c r="AG9" s="8">
        <v>70</v>
      </c>
      <c r="AH9">
        <v>21</v>
      </c>
      <c r="AI9">
        <v>-3</v>
      </c>
      <c r="AJ9">
        <v>0</v>
      </c>
      <c r="AK9">
        <v>0.3</v>
      </c>
      <c r="AL9">
        <v>2.5099800796022267</v>
      </c>
      <c r="AM9">
        <v>-24</v>
      </c>
      <c r="AN9">
        <v>1</v>
      </c>
      <c r="AO9">
        <v>0.4375</v>
      </c>
      <c r="AP9">
        <v>0.29166666666666669</v>
      </c>
      <c r="AQ9">
        <v>9.7222222222222224E-2</v>
      </c>
      <c r="AR9">
        <v>0.27777777777777779</v>
      </c>
      <c r="AS9">
        <v>0.5</v>
      </c>
      <c r="AT9">
        <v>0.125</v>
      </c>
      <c r="AU9">
        <v>47478.391520719997</v>
      </c>
      <c r="AV9">
        <v>8</v>
      </c>
      <c r="AW9">
        <f t="shared" si="4"/>
        <v>0</v>
      </c>
      <c r="AX9">
        <v>44</v>
      </c>
      <c r="AY9">
        <f t="shared" si="5"/>
        <v>1</v>
      </c>
      <c r="AZ9" t="e">
        <v>#N/A</v>
      </c>
      <c r="BA9">
        <v>1</v>
      </c>
      <c r="BB9">
        <v>2019</v>
      </c>
      <c r="BC9">
        <v>1</v>
      </c>
      <c r="BD9">
        <v>2019</v>
      </c>
      <c r="BE9">
        <v>1</v>
      </c>
      <c r="BF9">
        <v>2019</v>
      </c>
    </row>
    <row r="10" spans="1:58" x14ac:dyDescent="0.2">
      <c r="A10" s="7">
        <v>17</v>
      </c>
      <c r="B10" s="7">
        <v>36</v>
      </c>
      <c r="C10" s="7">
        <v>9</v>
      </c>
      <c r="D10" s="7">
        <v>8</v>
      </c>
      <c r="E10" s="7">
        <f t="shared" si="0"/>
        <v>70</v>
      </c>
      <c r="F10" s="11" t="s">
        <v>36</v>
      </c>
      <c r="G10">
        <v>17</v>
      </c>
      <c r="H10">
        <v>36</v>
      </c>
      <c r="I10">
        <v>9</v>
      </c>
      <c r="J10">
        <v>8</v>
      </c>
      <c r="K10">
        <f t="shared" si="1"/>
        <v>70</v>
      </c>
      <c r="L10" t="s">
        <v>36</v>
      </c>
      <c r="M10">
        <v>22721.812435119999</v>
      </c>
      <c r="N10" s="7">
        <v>20</v>
      </c>
      <c r="O10" s="7">
        <v>36</v>
      </c>
      <c r="P10" s="7">
        <v>9</v>
      </c>
      <c r="Q10" s="7">
        <v>8</v>
      </c>
      <c r="R10" s="7">
        <f t="shared" si="2"/>
        <v>73</v>
      </c>
      <c r="S10" t="e">
        <v>#N/A</v>
      </c>
      <c r="T10" s="7">
        <v>20</v>
      </c>
      <c r="U10" s="7">
        <v>36</v>
      </c>
      <c r="V10" s="7">
        <v>9</v>
      </c>
      <c r="W10" s="7">
        <v>8</v>
      </c>
      <c r="X10" s="7">
        <f t="shared" si="3"/>
        <v>73</v>
      </c>
      <c r="Y10" t="e">
        <v>#N/A</v>
      </c>
      <c r="Z10">
        <v>17295.38709498</v>
      </c>
      <c r="AA10" t="s">
        <v>63</v>
      </c>
      <c r="AB10">
        <v>71</v>
      </c>
      <c r="AC10">
        <v>23</v>
      </c>
      <c r="AD10" t="s">
        <v>64</v>
      </c>
      <c r="AE10" t="s">
        <v>41</v>
      </c>
      <c r="AF10" t="e">
        <v>#N/A</v>
      </c>
      <c r="AG10" s="8">
        <v>13</v>
      </c>
      <c r="AH10">
        <v>0</v>
      </c>
      <c r="AI10">
        <v>3</v>
      </c>
      <c r="AJ10">
        <v>0</v>
      </c>
      <c r="AK10">
        <v>0</v>
      </c>
      <c r="AL10">
        <v>0</v>
      </c>
      <c r="AM10">
        <v>3</v>
      </c>
      <c r="AN10">
        <v>0</v>
      </c>
      <c r="AO10">
        <v>0</v>
      </c>
      <c r="AP10">
        <v>0</v>
      </c>
      <c r="AQ10">
        <v>0.11428571428571428</v>
      </c>
      <c r="AR10">
        <v>0.24285714285714285</v>
      </c>
      <c r="AS10">
        <v>0.51428571428571423</v>
      </c>
      <c r="AT10">
        <v>0.12857142857142856</v>
      </c>
      <c r="AU10">
        <v>40017.199530099999</v>
      </c>
      <c r="AV10">
        <v>7</v>
      </c>
      <c r="AW10">
        <f t="shared" si="4"/>
        <v>0</v>
      </c>
      <c r="AX10">
        <v>23</v>
      </c>
      <c r="AY10">
        <f t="shared" si="5"/>
        <v>1</v>
      </c>
      <c r="AZ10" t="e">
        <v>#N/A</v>
      </c>
      <c r="BA10">
        <v>8</v>
      </c>
      <c r="BB10">
        <v>2020</v>
      </c>
      <c r="BC10">
        <v>8</v>
      </c>
      <c r="BD10">
        <v>2020</v>
      </c>
      <c r="BE10">
        <v>1</v>
      </c>
      <c r="BF10">
        <v>2020</v>
      </c>
    </row>
    <row r="11" spans="1:58" x14ac:dyDescent="0.2">
      <c r="A11" s="7">
        <v>7</v>
      </c>
      <c r="B11" s="7">
        <v>16</v>
      </c>
      <c r="C11" s="7">
        <v>0</v>
      </c>
      <c r="D11" s="7">
        <v>3</v>
      </c>
      <c r="E11" s="7">
        <f t="shared" si="0"/>
        <v>26</v>
      </c>
      <c r="F11" s="11" t="s">
        <v>36</v>
      </c>
      <c r="G11">
        <v>8</v>
      </c>
      <c r="H11">
        <v>15</v>
      </c>
      <c r="I11">
        <v>2</v>
      </c>
      <c r="J11">
        <v>2</v>
      </c>
      <c r="K11">
        <f t="shared" si="1"/>
        <v>27</v>
      </c>
      <c r="L11" t="s">
        <v>36</v>
      </c>
      <c r="M11">
        <v>46485.094246410001</v>
      </c>
      <c r="N11" s="7">
        <v>6</v>
      </c>
      <c r="O11" s="7">
        <v>13</v>
      </c>
      <c r="P11" s="7">
        <v>0</v>
      </c>
      <c r="Q11" s="7">
        <v>2</v>
      </c>
      <c r="R11" s="7">
        <f t="shared" si="2"/>
        <v>21</v>
      </c>
      <c r="S11" t="s">
        <v>36</v>
      </c>
      <c r="T11" s="7">
        <v>6</v>
      </c>
      <c r="U11" s="7">
        <v>13</v>
      </c>
      <c r="V11" s="7">
        <v>0</v>
      </c>
      <c r="W11" s="7">
        <v>3</v>
      </c>
      <c r="X11" s="7">
        <f t="shared" si="3"/>
        <v>22</v>
      </c>
      <c r="Y11" t="s">
        <v>36</v>
      </c>
      <c r="Z11">
        <v>26747.256379350001</v>
      </c>
      <c r="AA11" t="s">
        <v>498</v>
      </c>
      <c r="AB11">
        <v>69</v>
      </c>
      <c r="AC11">
        <v>517</v>
      </c>
      <c r="AD11" t="s">
        <v>67</v>
      </c>
      <c r="AE11" t="s">
        <v>41</v>
      </c>
      <c r="AF11">
        <v>196</v>
      </c>
      <c r="AG11" s="8">
        <v>279</v>
      </c>
      <c r="AH11">
        <v>1</v>
      </c>
      <c r="AI11">
        <v>-4</v>
      </c>
      <c r="AJ11">
        <v>1</v>
      </c>
      <c r="AK11">
        <v>3.5842293906810036E-3</v>
      </c>
      <c r="AL11">
        <v>5.9868434008924963E-2</v>
      </c>
      <c r="AM11">
        <v>-6</v>
      </c>
      <c r="AN11">
        <v>1</v>
      </c>
      <c r="AO11">
        <v>4.7619047619047616E-2</v>
      </c>
      <c r="AP11">
        <v>3.8461538461538464E-2</v>
      </c>
      <c r="AQ11">
        <v>0.11538461538461539</v>
      </c>
      <c r="AR11">
        <v>0.26923076923076922</v>
      </c>
      <c r="AS11">
        <v>0.61538461538461542</v>
      </c>
      <c r="AT11">
        <v>0</v>
      </c>
      <c r="AU11">
        <v>73232.350625760009</v>
      </c>
      <c r="AV11">
        <v>10</v>
      </c>
      <c r="AW11">
        <f t="shared" si="4"/>
        <v>1</v>
      </c>
      <c r="AX11">
        <v>517</v>
      </c>
      <c r="AY11">
        <f t="shared" si="5"/>
        <v>1</v>
      </c>
      <c r="AZ11">
        <v>2.6377551020408165</v>
      </c>
      <c r="BA11">
        <v>1</v>
      </c>
      <c r="BB11">
        <v>2019</v>
      </c>
      <c r="BC11">
        <v>7</v>
      </c>
      <c r="BD11">
        <v>2019</v>
      </c>
      <c r="BE11">
        <v>1</v>
      </c>
      <c r="BF11">
        <v>2019</v>
      </c>
    </row>
    <row r="12" spans="1:58" x14ac:dyDescent="0.2">
      <c r="A12" s="7">
        <v>18</v>
      </c>
      <c r="B12" s="7">
        <v>29</v>
      </c>
      <c r="C12" s="7">
        <v>6</v>
      </c>
      <c r="D12" s="7">
        <v>6</v>
      </c>
      <c r="E12" s="7">
        <f t="shared" si="0"/>
        <v>59</v>
      </c>
      <c r="F12" s="11" t="s">
        <v>36</v>
      </c>
      <c r="G12">
        <v>18</v>
      </c>
      <c r="H12">
        <v>29</v>
      </c>
      <c r="I12">
        <v>6</v>
      </c>
      <c r="J12">
        <v>6</v>
      </c>
      <c r="K12">
        <f t="shared" si="1"/>
        <v>59</v>
      </c>
      <c r="L12" t="s">
        <v>36</v>
      </c>
      <c r="M12">
        <v>7494.5732826399999</v>
      </c>
      <c r="N12" s="7">
        <v>9</v>
      </c>
      <c r="O12" s="7">
        <v>15</v>
      </c>
      <c r="P12" s="7">
        <v>0</v>
      </c>
      <c r="Q12" s="7">
        <v>3</v>
      </c>
      <c r="R12" s="7">
        <f t="shared" si="2"/>
        <v>27</v>
      </c>
      <c r="S12" t="s">
        <v>36</v>
      </c>
      <c r="T12" s="7">
        <v>16</v>
      </c>
      <c r="U12" s="7">
        <v>33</v>
      </c>
      <c r="V12" s="7">
        <v>6</v>
      </c>
      <c r="W12" s="7">
        <v>7</v>
      </c>
      <c r="X12" s="7">
        <f t="shared" si="3"/>
        <v>62</v>
      </c>
      <c r="Y12" t="s">
        <v>36</v>
      </c>
      <c r="Z12">
        <v>42592.886396540001</v>
      </c>
      <c r="AA12" t="s">
        <v>499</v>
      </c>
      <c r="AB12">
        <v>67</v>
      </c>
      <c r="AC12">
        <v>0</v>
      </c>
      <c r="AD12" t="s">
        <v>40</v>
      </c>
      <c r="AE12" t="s">
        <v>41</v>
      </c>
      <c r="AF12" t="e">
        <v>#N/A</v>
      </c>
      <c r="AG12" s="8">
        <v>2</v>
      </c>
      <c r="AH12">
        <v>35</v>
      </c>
      <c r="AI12">
        <v>3</v>
      </c>
      <c r="AJ12">
        <v>0</v>
      </c>
      <c r="AK12">
        <v>17.5</v>
      </c>
      <c r="AL12">
        <v>24.748737341529161</v>
      </c>
      <c r="AM12">
        <v>-32</v>
      </c>
      <c r="AN12">
        <v>1</v>
      </c>
      <c r="AO12">
        <v>1.2962962962962963</v>
      </c>
      <c r="AP12">
        <v>0.59322033898305082</v>
      </c>
      <c r="AQ12">
        <v>0.10169491525423729</v>
      </c>
      <c r="AR12">
        <v>0.30508474576271188</v>
      </c>
      <c r="AS12">
        <v>0.49152542372881358</v>
      </c>
      <c r="AT12">
        <v>0.10169491525423729</v>
      </c>
      <c r="AU12">
        <v>50087.45967918</v>
      </c>
      <c r="AV12">
        <v>12</v>
      </c>
      <c r="AW12">
        <f t="shared" si="4"/>
        <v>1</v>
      </c>
      <c r="AX12">
        <v>0</v>
      </c>
      <c r="AY12">
        <f t="shared" si="5"/>
        <v>0</v>
      </c>
      <c r="AZ12" t="e">
        <v>#N/A</v>
      </c>
      <c r="BA12">
        <v>12</v>
      </c>
      <c r="BB12">
        <v>2018</v>
      </c>
      <c r="BC12">
        <v>12</v>
      </c>
      <c r="BD12">
        <v>2018</v>
      </c>
      <c r="BE12">
        <v>1</v>
      </c>
      <c r="BF12">
        <v>2019</v>
      </c>
    </row>
    <row r="13" spans="1:58" x14ac:dyDescent="0.2">
      <c r="A13" s="7">
        <v>6</v>
      </c>
      <c r="B13" s="7">
        <v>15</v>
      </c>
      <c r="C13" s="7">
        <v>2</v>
      </c>
      <c r="D13" s="7">
        <v>6</v>
      </c>
      <c r="E13" s="7">
        <f t="shared" si="0"/>
        <v>29</v>
      </c>
      <c r="F13" s="11" t="s">
        <v>54</v>
      </c>
      <c r="G13">
        <v>2</v>
      </c>
      <c r="H13">
        <v>15</v>
      </c>
      <c r="I13">
        <v>2</v>
      </c>
      <c r="J13">
        <v>6</v>
      </c>
      <c r="K13">
        <f t="shared" si="1"/>
        <v>25</v>
      </c>
      <c r="L13" t="s">
        <v>36</v>
      </c>
      <c r="M13">
        <v>23900.519560000001</v>
      </c>
      <c r="N13" s="7">
        <v>6</v>
      </c>
      <c r="O13" s="7">
        <v>15</v>
      </c>
      <c r="P13" s="7">
        <v>0</v>
      </c>
      <c r="Q13" s="7">
        <v>5</v>
      </c>
      <c r="R13" s="7">
        <f t="shared" si="2"/>
        <v>26</v>
      </c>
      <c r="S13" t="e">
        <v>#N/A</v>
      </c>
      <c r="T13" s="7">
        <v>15</v>
      </c>
      <c r="U13" s="7">
        <v>24</v>
      </c>
      <c r="V13" s="7">
        <v>4</v>
      </c>
      <c r="W13" s="7">
        <v>5</v>
      </c>
      <c r="X13" s="7">
        <f t="shared" si="3"/>
        <v>48</v>
      </c>
      <c r="Y13" t="e">
        <v>#N/A</v>
      </c>
      <c r="Z13">
        <v>31825.704293719999</v>
      </c>
      <c r="AA13" t="s">
        <v>69</v>
      </c>
      <c r="AB13">
        <v>68</v>
      </c>
      <c r="AC13">
        <v>16</v>
      </c>
      <c r="AD13" t="s">
        <v>40</v>
      </c>
      <c r="AE13" t="s">
        <v>41</v>
      </c>
      <c r="AF13">
        <v>141</v>
      </c>
      <c r="AG13" s="8">
        <v>92</v>
      </c>
      <c r="AH13">
        <v>22</v>
      </c>
      <c r="AI13">
        <v>19</v>
      </c>
      <c r="AJ13">
        <v>-4</v>
      </c>
      <c r="AK13">
        <v>0.2391304347826087</v>
      </c>
      <c r="AL13">
        <v>2.2936585546278225</v>
      </c>
      <c r="AM13">
        <v>1</v>
      </c>
      <c r="AN13">
        <v>0</v>
      </c>
      <c r="AO13">
        <v>0.84615384615384615</v>
      </c>
      <c r="AP13">
        <v>0.75862068965517238</v>
      </c>
      <c r="AQ13">
        <v>0.20689655172413793</v>
      </c>
      <c r="AR13">
        <v>0.20689655172413793</v>
      </c>
      <c r="AS13">
        <v>0.51724137931034486</v>
      </c>
      <c r="AT13">
        <v>6.8965517241379309E-2</v>
      </c>
      <c r="AU13">
        <v>55726.223853720003</v>
      </c>
      <c r="AV13">
        <v>8</v>
      </c>
      <c r="AW13">
        <f t="shared" si="4"/>
        <v>0</v>
      </c>
      <c r="AX13">
        <v>16</v>
      </c>
      <c r="AY13">
        <f t="shared" si="5"/>
        <v>1</v>
      </c>
      <c r="AZ13">
        <v>0.11347517730496454</v>
      </c>
      <c r="BA13">
        <v>1</v>
      </c>
      <c r="BB13">
        <v>2020</v>
      </c>
      <c r="BC13">
        <v>5</v>
      </c>
      <c r="BD13">
        <v>2020</v>
      </c>
      <c r="BE13">
        <v>1</v>
      </c>
      <c r="BF13">
        <v>2020</v>
      </c>
    </row>
    <row r="14" spans="1:58" x14ac:dyDescent="0.2">
      <c r="A14" s="7">
        <v>7</v>
      </c>
      <c r="B14" s="7">
        <v>18</v>
      </c>
      <c r="C14" s="7">
        <v>1</v>
      </c>
      <c r="D14" s="7">
        <v>3</v>
      </c>
      <c r="E14" s="7">
        <f t="shared" si="0"/>
        <v>29</v>
      </c>
      <c r="F14" s="11" t="e">
        <v>#N/A</v>
      </c>
      <c r="G14">
        <v>1</v>
      </c>
      <c r="H14">
        <v>15</v>
      </c>
      <c r="I14">
        <v>0</v>
      </c>
      <c r="J14">
        <v>0</v>
      </c>
      <c r="K14">
        <f t="shared" si="1"/>
        <v>16</v>
      </c>
      <c r="L14" t="e">
        <v>#N/A</v>
      </c>
      <c r="M14">
        <v>92694.758923920017</v>
      </c>
      <c r="N14" s="7">
        <v>10</v>
      </c>
      <c r="O14" s="7">
        <v>18</v>
      </c>
      <c r="P14" s="7">
        <v>0</v>
      </c>
      <c r="Q14" s="7">
        <v>6</v>
      </c>
      <c r="R14" s="7">
        <f t="shared" si="2"/>
        <v>34</v>
      </c>
      <c r="S14" t="e">
        <v>#N/A</v>
      </c>
      <c r="T14" s="7">
        <v>10</v>
      </c>
      <c r="U14" s="7">
        <v>18</v>
      </c>
      <c r="V14" s="7">
        <v>1</v>
      </c>
      <c r="W14" s="7">
        <v>6</v>
      </c>
      <c r="X14" s="7">
        <f t="shared" si="3"/>
        <v>35</v>
      </c>
      <c r="Y14" t="e">
        <v>#N/A</v>
      </c>
      <c r="Z14">
        <v>52644.095242540003</v>
      </c>
      <c r="AA14" t="s">
        <v>70</v>
      </c>
      <c r="AB14">
        <v>61</v>
      </c>
      <c r="AC14">
        <v>0</v>
      </c>
      <c r="AD14" t="s">
        <v>40</v>
      </c>
      <c r="AE14" t="s">
        <v>41</v>
      </c>
      <c r="AF14">
        <v>107</v>
      </c>
      <c r="AG14" s="8">
        <v>286</v>
      </c>
      <c r="AH14">
        <v>1</v>
      </c>
      <c r="AI14">
        <v>6</v>
      </c>
      <c r="AJ14">
        <v>-13</v>
      </c>
      <c r="AK14">
        <v>3.4965034965034965E-3</v>
      </c>
      <c r="AL14">
        <v>5.9131239598908258E-2</v>
      </c>
      <c r="AM14">
        <v>18</v>
      </c>
      <c r="AN14">
        <v>0</v>
      </c>
      <c r="AO14">
        <v>2.9411764705882353E-2</v>
      </c>
      <c r="AP14">
        <v>3.4482758620689655E-2</v>
      </c>
      <c r="AQ14">
        <v>0.10344827586206896</v>
      </c>
      <c r="AR14">
        <v>0.2413793103448276</v>
      </c>
      <c r="AS14">
        <v>0.62068965517241381</v>
      </c>
      <c r="AT14">
        <v>3.4482758620689655E-2</v>
      </c>
      <c r="AU14">
        <v>145338.85416646002</v>
      </c>
      <c r="AV14">
        <v>13</v>
      </c>
      <c r="AW14">
        <f t="shared" si="4"/>
        <v>1</v>
      </c>
      <c r="AX14">
        <v>0</v>
      </c>
      <c r="AY14">
        <f t="shared" si="5"/>
        <v>0</v>
      </c>
      <c r="AZ14">
        <v>0</v>
      </c>
      <c r="BA14">
        <v>1</v>
      </c>
      <c r="BB14">
        <v>2020</v>
      </c>
      <c r="BC14">
        <v>4</v>
      </c>
      <c r="BD14">
        <v>2020</v>
      </c>
      <c r="BE14">
        <v>1</v>
      </c>
      <c r="BF14">
        <v>2020</v>
      </c>
    </row>
    <row r="15" spans="1:58" x14ac:dyDescent="0.2">
      <c r="A15" s="7">
        <v>2</v>
      </c>
      <c r="B15" s="7">
        <v>6</v>
      </c>
      <c r="C15" s="7">
        <v>0</v>
      </c>
      <c r="D15" s="7">
        <v>0</v>
      </c>
      <c r="E15" s="7">
        <f t="shared" si="0"/>
        <v>8</v>
      </c>
      <c r="F15" s="11" t="s">
        <v>36</v>
      </c>
      <c r="G15">
        <v>0</v>
      </c>
      <c r="H15">
        <v>13</v>
      </c>
      <c r="I15">
        <v>0</v>
      </c>
      <c r="J15">
        <v>0</v>
      </c>
      <c r="K15">
        <f t="shared" si="1"/>
        <v>13</v>
      </c>
      <c r="L15" t="s">
        <v>36</v>
      </c>
      <c r="M15">
        <v>55950.094728320022</v>
      </c>
      <c r="N15" s="7">
        <v>0</v>
      </c>
      <c r="O15" s="7">
        <v>15</v>
      </c>
      <c r="P15" s="7">
        <v>0</v>
      </c>
      <c r="Q15" s="7">
        <v>1</v>
      </c>
      <c r="R15" s="7">
        <f t="shared" si="2"/>
        <v>16</v>
      </c>
      <c r="S15" t="e">
        <v>#N/A</v>
      </c>
      <c r="T15" s="7">
        <v>0</v>
      </c>
      <c r="U15" s="7">
        <v>21</v>
      </c>
      <c r="V15" s="7">
        <v>0</v>
      </c>
      <c r="W15" s="7">
        <v>1</v>
      </c>
      <c r="X15" s="7">
        <f t="shared" si="3"/>
        <v>22</v>
      </c>
      <c r="Y15" t="e">
        <v>#N/A</v>
      </c>
      <c r="Z15">
        <v>20357.68899318</v>
      </c>
      <c r="AA15" t="s">
        <v>71</v>
      </c>
      <c r="AB15">
        <v>52</v>
      </c>
      <c r="AC15">
        <v>503</v>
      </c>
      <c r="AD15" t="s">
        <v>72</v>
      </c>
      <c r="AE15" t="s">
        <v>41</v>
      </c>
      <c r="AF15">
        <v>203</v>
      </c>
      <c r="AG15" s="8">
        <v>29</v>
      </c>
      <c r="AH15">
        <v>6</v>
      </c>
      <c r="AI15">
        <v>14</v>
      </c>
      <c r="AJ15">
        <v>5</v>
      </c>
      <c r="AK15">
        <v>0.20689655172413793</v>
      </c>
      <c r="AL15">
        <v>1.1141720290623112</v>
      </c>
      <c r="AM15">
        <v>3</v>
      </c>
      <c r="AN15">
        <v>0</v>
      </c>
      <c r="AO15">
        <v>0.375</v>
      </c>
      <c r="AP15">
        <v>0.75</v>
      </c>
      <c r="AQ15">
        <v>0</v>
      </c>
      <c r="AR15">
        <v>0.25</v>
      </c>
      <c r="AS15">
        <v>0.75</v>
      </c>
      <c r="AT15">
        <v>0</v>
      </c>
      <c r="AU15">
        <v>76307.783721500018</v>
      </c>
      <c r="AV15">
        <v>18</v>
      </c>
      <c r="AW15">
        <f t="shared" si="4"/>
        <v>1</v>
      </c>
      <c r="AX15">
        <v>503</v>
      </c>
      <c r="AY15">
        <f t="shared" si="5"/>
        <v>1</v>
      </c>
      <c r="AZ15">
        <v>2.4778325123152709</v>
      </c>
      <c r="BA15">
        <v>6</v>
      </c>
      <c r="BB15">
        <v>2019</v>
      </c>
      <c r="BC15">
        <v>1</v>
      </c>
      <c r="BD15">
        <v>2020</v>
      </c>
      <c r="BE15">
        <v>1</v>
      </c>
      <c r="BF15">
        <v>2020</v>
      </c>
    </row>
    <row r="16" spans="1:58" x14ac:dyDescent="0.2">
      <c r="A16" s="7">
        <v>10</v>
      </c>
      <c r="B16" s="7">
        <v>18</v>
      </c>
      <c r="C16" s="7">
        <v>0</v>
      </c>
      <c r="D16" s="7">
        <v>3</v>
      </c>
      <c r="E16" s="7">
        <f t="shared" si="0"/>
        <v>31</v>
      </c>
      <c r="F16" s="11" t="s">
        <v>36</v>
      </c>
      <c r="G16">
        <v>10</v>
      </c>
      <c r="H16">
        <v>18</v>
      </c>
      <c r="I16">
        <v>0</v>
      </c>
      <c r="J16">
        <v>3</v>
      </c>
      <c r="K16">
        <f t="shared" si="1"/>
        <v>31</v>
      </c>
      <c r="L16" t="s">
        <v>36</v>
      </c>
      <c r="M16">
        <v>7564.3289200000008</v>
      </c>
      <c r="N16" s="7">
        <v>9</v>
      </c>
      <c r="O16" s="7">
        <v>13</v>
      </c>
      <c r="P16" s="7">
        <v>0</v>
      </c>
      <c r="Q16" s="7">
        <v>3</v>
      </c>
      <c r="R16" s="7">
        <f t="shared" si="2"/>
        <v>25</v>
      </c>
      <c r="S16" t="s">
        <v>36</v>
      </c>
      <c r="T16" s="7">
        <v>20</v>
      </c>
      <c r="U16" s="7">
        <v>25</v>
      </c>
      <c r="V16" s="7">
        <v>8</v>
      </c>
      <c r="W16" s="7">
        <v>7</v>
      </c>
      <c r="X16" s="7">
        <f t="shared" si="3"/>
        <v>60</v>
      </c>
      <c r="Y16" t="s">
        <v>36</v>
      </c>
      <c r="Z16">
        <v>71352.667852729996</v>
      </c>
      <c r="AA16" t="s">
        <v>500</v>
      </c>
      <c r="AB16">
        <v>69</v>
      </c>
      <c r="AC16">
        <v>0</v>
      </c>
      <c r="AD16" t="s">
        <v>73</v>
      </c>
      <c r="AE16" t="s">
        <v>41</v>
      </c>
      <c r="AF16" t="e">
        <v>#N/A</v>
      </c>
      <c r="AG16" s="8">
        <v>2</v>
      </c>
      <c r="AH16">
        <v>35</v>
      </c>
      <c r="AI16">
        <v>29</v>
      </c>
      <c r="AJ16">
        <v>0</v>
      </c>
      <c r="AK16">
        <v>17.5</v>
      </c>
      <c r="AL16">
        <v>24.748737341529161</v>
      </c>
      <c r="AM16">
        <v>-6</v>
      </c>
      <c r="AN16">
        <v>1</v>
      </c>
      <c r="AO16">
        <v>1.4</v>
      </c>
      <c r="AP16">
        <v>1.1290322580645162</v>
      </c>
      <c r="AQ16">
        <v>9.6774193548387094E-2</v>
      </c>
      <c r="AR16">
        <v>0.32258064516129031</v>
      </c>
      <c r="AS16">
        <v>0.58064516129032262</v>
      </c>
      <c r="AT16">
        <v>0</v>
      </c>
      <c r="AU16">
        <v>78916.996772729995</v>
      </c>
      <c r="AV16">
        <v>5</v>
      </c>
      <c r="AW16">
        <f t="shared" si="4"/>
        <v>0</v>
      </c>
      <c r="AX16">
        <v>0</v>
      </c>
      <c r="AY16">
        <f t="shared" si="5"/>
        <v>0</v>
      </c>
      <c r="AZ16" t="e">
        <v>#N/A</v>
      </c>
      <c r="BA16">
        <v>1</v>
      </c>
      <c r="BB16">
        <v>2019</v>
      </c>
      <c r="BC16">
        <v>1</v>
      </c>
      <c r="BD16">
        <v>2019</v>
      </c>
      <c r="BE16">
        <v>1</v>
      </c>
      <c r="BF16">
        <v>2019</v>
      </c>
    </row>
    <row r="17" spans="1:58" x14ac:dyDescent="0.2">
      <c r="A17" s="7">
        <v>11</v>
      </c>
      <c r="B17" s="7">
        <v>20</v>
      </c>
      <c r="C17" s="7">
        <v>4</v>
      </c>
      <c r="D17" s="7">
        <v>5</v>
      </c>
      <c r="E17" s="7">
        <f t="shared" si="0"/>
        <v>40</v>
      </c>
      <c r="F17" s="11" t="e">
        <v>#N/A</v>
      </c>
      <c r="G17">
        <v>11</v>
      </c>
      <c r="H17">
        <v>20</v>
      </c>
      <c r="I17">
        <v>4</v>
      </c>
      <c r="J17">
        <v>5</v>
      </c>
      <c r="K17">
        <f t="shared" si="1"/>
        <v>40</v>
      </c>
      <c r="L17" t="e">
        <v>#N/A</v>
      </c>
      <c r="M17">
        <v>17999.039303199999</v>
      </c>
      <c r="N17" s="7">
        <v>8</v>
      </c>
      <c r="O17" s="7">
        <v>20</v>
      </c>
      <c r="P17" s="7">
        <v>0</v>
      </c>
      <c r="Q17" s="7">
        <v>5</v>
      </c>
      <c r="R17" s="7">
        <f t="shared" si="2"/>
        <v>33</v>
      </c>
      <c r="S17" t="e">
        <v>#N/A</v>
      </c>
      <c r="T17" s="7">
        <v>8</v>
      </c>
      <c r="U17" s="7">
        <v>20</v>
      </c>
      <c r="V17" s="7">
        <v>2</v>
      </c>
      <c r="W17" s="7">
        <v>6</v>
      </c>
      <c r="X17" s="7">
        <f t="shared" si="3"/>
        <v>36</v>
      </c>
      <c r="Y17" t="e">
        <v>#N/A</v>
      </c>
      <c r="Z17">
        <v>17014.613706470001</v>
      </c>
      <c r="AA17" t="s">
        <v>74</v>
      </c>
      <c r="AB17">
        <v>65</v>
      </c>
      <c r="AC17">
        <v>0</v>
      </c>
      <c r="AD17" t="s">
        <v>40</v>
      </c>
      <c r="AE17" t="s">
        <v>75</v>
      </c>
      <c r="AF17" t="e">
        <v>#N/A</v>
      </c>
      <c r="AG17" s="8">
        <v>274</v>
      </c>
      <c r="AH17">
        <v>3</v>
      </c>
      <c r="AI17">
        <v>-4</v>
      </c>
      <c r="AJ17">
        <v>0</v>
      </c>
      <c r="AK17">
        <v>1.0948905109489052E-2</v>
      </c>
      <c r="AL17">
        <v>0.1812366279990531</v>
      </c>
      <c r="AM17">
        <v>-7</v>
      </c>
      <c r="AN17">
        <v>1</v>
      </c>
      <c r="AO17">
        <v>9.0909090909090912E-2</v>
      </c>
      <c r="AP17">
        <v>7.4999999999999997E-2</v>
      </c>
      <c r="AQ17">
        <v>0.125</v>
      </c>
      <c r="AR17">
        <v>0.27500000000000002</v>
      </c>
      <c r="AS17">
        <v>0.5</v>
      </c>
      <c r="AT17">
        <v>0.1</v>
      </c>
      <c r="AU17">
        <v>35013.653009670001</v>
      </c>
      <c r="AV17">
        <v>7</v>
      </c>
      <c r="AW17">
        <f t="shared" si="4"/>
        <v>0</v>
      </c>
      <c r="AX17">
        <v>0</v>
      </c>
      <c r="AY17">
        <f t="shared" si="5"/>
        <v>0</v>
      </c>
      <c r="AZ17" t="e">
        <v>#N/A</v>
      </c>
      <c r="BA17">
        <v>10</v>
      </c>
      <c r="BB17">
        <v>2020</v>
      </c>
      <c r="BC17">
        <v>10</v>
      </c>
      <c r="BD17">
        <v>2020</v>
      </c>
      <c r="BE17">
        <v>2</v>
      </c>
      <c r="BF17">
        <v>2020</v>
      </c>
    </row>
    <row r="18" spans="1:58" x14ac:dyDescent="0.2">
      <c r="A18" s="7">
        <v>13</v>
      </c>
      <c r="B18" s="7">
        <v>15</v>
      </c>
      <c r="C18" s="7">
        <v>2</v>
      </c>
      <c r="D18" s="7">
        <v>4</v>
      </c>
      <c r="E18" s="7">
        <f t="shared" si="0"/>
        <v>34</v>
      </c>
      <c r="F18" s="11" t="s">
        <v>36</v>
      </c>
      <c r="G18">
        <v>13</v>
      </c>
      <c r="H18">
        <v>15</v>
      </c>
      <c r="I18">
        <v>2</v>
      </c>
      <c r="J18">
        <v>4</v>
      </c>
      <c r="K18">
        <f t="shared" si="1"/>
        <v>34</v>
      </c>
      <c r="L18" t="s">
        <v>36</v>
      </c>
      <c r="M18">
        <v>8309.0984748200008</v>
      </c>
      <c r="N18" s="7">
        <v>13</v>
      </c>
      <c r="O18" s="7">
        <v>15</v>
      </c>
      <c r="P18" s="7">
        <v>2</v>
      </c>
      <c r="Q18" s="7">
        <v>4</v>
      </c>
      <c r="R18" s="7">
        <f t="shared" si="2"/>
        <v>34</v>
      </c>
      <c r="S18" t="s">
        <v>36</v>
      </c>
      <c r="T18" s="7">
        <v>13</v>
      </c>
      <c r="U18" s="7">
        <v>15</v>
      </c>
      <c r="V18" s="7">
        <v>2</v>
      </c>
      <c r="W18" s="7">
        <v>4</v>
      </c>
      <c r="X18" s="7">
        <f t="shared" si="3"/>
        <v>34</v>
      </c>
      <c r="Y18" t="s">
        <v>36</v>
      </c>
      <c r="Z18">
        <v>14046.275698150001</v>
      </c>
      <c r="AA18" t="s">
        <v>501</v>
      </c>
      <c r="AB18">
        <v>72</v>
      </c>
      <c r="AC18">
        <v>0</v>
      </c>
      <c r="AD18" t="s">
        <v>76</v>
      </c>
      <c r="AE18" t="s">
        <v>41</v>
      </c>
      <c r="AF18" t="e">
        <v>#N/A</v>
      </c>
      <c r="AG18" s="8">
        <v>254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0.11764705882352941</v>
      </c>
      <c r="AR18">
        <v>0.38235294117647056</v>
      </c>
      <c r="AS18">
        <v>0.44117647058823528</v>
      </c>
      <c r="AT18">
        <v>5.8823529411764705E-2</v>
      </c>
      <c r="AU18">
        <v>22355.374172970001</v>
      </c>
      <c r="AV18">
        <v>4</v>
      </c>
      <c r="AW18">
        <f t="shared" si="4"/>
        <v>0</v>
      </c>
      <c r="AX18">
        <v>0</v>
      </c>
      <c r="AY18">
        <f t="shared" si="5"/>
        <v>0</v>
      </c>
      <c r="AZ18" t="e">
        <v>#N/A</v>
      </c>
      <c r="BA18">
        <v>8</v>
      </c>
      <c r="BB18">
        <v>2019</v>
      </c>
      <c r="BC18">
        <v>8</v>
      </c>
      <c r="BD18">
        <v>2019</v>
      </c>
      <c r="BE18">
        <v>1</v>
      </c>
      <c r="BF18">
        <v>2019</v>
      </c>
    </row>
    <row r="19" spans="1:58" x14ac:dyDescent="0.2">
      <c r="A19" s="7">
        <v>0</v>
      </c>
      <c r="B19" s="7">
        <v>0</v>
      </c>
      <c r="C19" s="7">
        <v>0</v>
      </c>
      <c r="D19" s="7">
        <v>0</v>
      </c>
      <c r="E19" s="7">
        <f t="shared" si="0"/>
        <v>0</v>
      </c>
      <c r="F19" s="11" t="e">
        <v>#N/A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 t="e">
        <v>#N/A</v>
      </c>
      <c r="N19" s="7">
        <v>5</v>
      </c>
      <c r="O19" s="7">
        <v>18</v>
      </c>
      <c r="P19" s="7">
        <v>0</v>
      </c>
      <c r="Q19" s="7">
        <v>3</v>
      </c>
      <c r="R19" s="7">
        <f t="shared" si="2"/>
        <v>26</v>
      </c>
      <c r="S19" t="e">
        <v>#N/A</v>
      </c>
      <c r="T19" s="7">
        <v>16</v>
      </c>
      <c r="U19" s="7">
        <v>28</v>
      </c>
      <c r="V19" s="7">
        <v>8</v>
      </c>
      <c r="W19" s="7">
        <v>7</v>
      </c>
      <c r="X19" s="7">
        <f t="shared" si="3"/>
        <v>59</v>
      </c>
      <c r="Y19" t="s">
        <v>36</v>
      </c>
      <c r="Z19">
        <v>42844.377403630002</v>
      </c>
      <c r="AA19" t="s">
        <v>77</v>
      </c>
      <c r="AB19">
        <v>65</v>
      </c>
      <c r="AC19">
        <v>0</v>
      </c>
      <c r="AD19" t="s">
        <v>73</v>
      </c>
      <c r="AE19" t="s">
        <v>75</v>
      </c>
      <c r="AF19" t="e">
        <v>#N/A</v>
      </c>
      <c r="AG19" s="8">
        <v>32</v>
      </c>
      <c r="AH19">
        <v>33</v>
      </c>
      <c r="AI19">
        <v>59</v>
      </c>
      <c r="AJ19">
        <v>0</v>
      </c>
      <c r="AK19">
        <v>1.03125</v>
      </c>
      <c r="AL19">
        <v>5.8336309447890171</v>
      </c>
      <c r="AM19">
        <v>26</v>
      </c>
      <c r="AN19">
        <v>0</v>
      </c>
      <c r="AO19">
        <v>1.2692307692307692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>
        <v>42844.377403630002</v>
      </c>
      <c r="AV19">
        <v>5</v>
      </c>
      <c r="AW19">
        <f t="shared" si="4"/>
        <v>0</v>
      </c>
      <c r="AX19">
        <v>0</v>
      </c>
      <c r="AY19">
        <f t="shared" si="5"/>
        <v>0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>
        <v>6</v>
      </c>
      <c r="BF19">
        <v>2020</v>
      </c>
    </row>
    <row r="20" spans="1:58" s="3" customFormat="1" ht="16" x14ac:dyDescent="0.2">
      <c r="A20" s="7">
        <v>4</v>
      </c>
      <c r="B20" s="7">
        <v>15</v>
      </c>
      <c r="C20" s="7">
        <v>0</v>
      </c>
      <c r="D20" s="7">
        <v>3</v>
      </c>
      <c r="E20" s="7">
        <f t="shared" si="0"/>
        <v>22</v>
      </c>
      <c r="F20" s="11" t="e">
        <v>#N/A</v>
      </c>
      <c r="G20">
        <v>4</v>
      </c>
      <c r="H20">
        <v>15</v>
      </c>
      <c r="I20">
        <v>0</v>
      </c>
      <c r="J20">
        <v>3</v>
      </c>
      <c r="K20">
        <f t="shared" si="1"/>
        <v>22</v>
      </c>
      <c r="L20" t="e">
        <v>#N/A</v>
      </c>
      <c r="M20" s="3">
        <v>11220.50938856</v>
      </c>
      <c r="N20" s="7">
        <v>4</v>
      </c>
      <c r="O20" s="7">
        <v>15</v>
      </c>
      <c r="P20" s="7">
        <v>0</v>
      </c>
      <c r="Q20" s="7">
        <v>3</v>
      </c>
      <c r="R20" s="7">
        <f t="shared" si="2"/>
        <v>22</v>
      </c>
      <c r="S20" s="3" t="s">
        <v>36</v>
      </c>
      <c r="T20" s="7">
        <v>4</v>
      </c>
      <c r="U20" s="7">
        <v>15</v>
      </c>
      <c r="V20" s="7">
        <v>0</v>
      </c>
      <c r="W20" s="7">
        <v>3</v>
      </c>
      <c r="X20" s="7">
        <f t="shared" si="3"/>
        <v>22</v>
      </c>
      <c r="Y20" s="3" t="s">
        <v>36</v>
      </c>
      <c r="Z20" s="3">
        <v>62869.556710010002</v>
      </c>
      <c r="AA20" s="3" t="s">
        <v>78</v>
      </c>
      <c r="AB20" s="3">
        <v>69</v>
      </c>
      <c r="AC20" s="3">
        <v>0</v>
      </c>
      <c r="AD20" s="3" t="s">
        <v>79</v>
      </c>
      <c r="AE20" s="3" t="s">
        <v>41</v>
      </c>
      <c r="AF20" t="e">
        <v>#N/A</v>
      </c>
      <c r="AG20" s="8">
        <v>0</v>
      </c>
      <c r="AH20" s="3">
        <v>0</v>
      </c>
      <c r="AI20" s="3">
        <v>0</v>
      </c>
      <c r="AJ20" s="3">
        <v>0</v>
      </c>
      <c r="AK20" s="3" t="e">
        <v>#N/A</v>
      </c>
      <c r="AL20" s="3" t="e">
        <v>#N/A</v>
      </c>
      <c r="AM20" s="3">
        <v>0</v>
      </c>
      <c r="AN20" s="3">
        <v>0</v>
      </c>
      <c r="AO20" s="3">
        <v>0</v>
      </c>
      <c r="AP20" s="3">
        <v>0</v>
      </c>
      <c r="AQ20" s="3">
        <v>0.13636363636363635</v>
      </c>
      <c r="AR20" s="3">
        <v>0.18181818181818182</v>
      </c>
      <c r="AS20" s="3">
        <v>0.68181818181818177</v>
      </c>
      <c r="AT20" s="3">
        <v>0</v>
      </c>
      <c r="AU20" s="3">
        <v>74090.066098570009</v>
      </c>
      <c r="AV20" s="3">
        <v>7</v>
      </c>
      <c r="AW20">
        <f t="shared" si="4"/>
        <v>0</v>
      </c>
      <c r="AX20" s="3">
        <v>0</v>
      </c>
      <c r="AY20">
        <f t="shared" si="5"/>
        <v>0</v>
      </c>
      <c r="AZ20" s="3" t="e">
        <v>#N/A</v>
      </c>
      <c r="BA20">
        <v>1</v>
      </c>
      <c r="BB20">
        <v>2020</v>
      </c>
      <c r="BC20">
        <v>1</v>
      </c>
      <c r="BD20">
        <v>2020</v>
      </c>
      <c r="BE20" s="3">
        <v>1</v>
      </c>
      <c r="BF20" s="3">
        <v>2020</v>
      </c>
    </row>
    <row r="21" spans="1:58" s="2" customFormat="1" ht="16" x14ac:dyDescent="0.2">
      <c r="A21" s="7">
        <v>18</v>
      </c>
      <c r="B21" s="7">
        <v>27</v>
      </c>
      <c r="C21" s="7">
        <v>8</v>
      </c>
      <c r="D21" s="7">
        <v>4</v>
      </c>
      <c r="E21" s="7">
        <f t="shared" si="0"/>
        <v>57</v>
      </c>
      <c r="F21" s="12" t="s">
        <v>36</v>
      </c>
      <c r="G21">
        <v>18</v>
      </c>
      <c r="H21">
        <v>27</v>
      </c>
      <c r="I21">
        <v>8</v>
      </c>
      <c r="J21">
        <v>4</v>
      </c>
      <c r="K21">
        <f t="shared" si="1"/>
        <v>57</v>
      </c>
      <c r="L21" s="2" t="s">
        <v>36</v>
      </c>
      <c r="M21" s="2">
        <v>8268.1270045199999</v>
      </c>
      <c r="N21" s="7">
        <v>4</v>
      </c>
      <c r="O21" s="7">
        <v>17</v>
      </c>
      <c r="P21" s="7">
        <v>0</v>
      </c>
      <c r="Q21" s="7">
        <v>3</v>
      </c>
      <c r="R21" s="7">
        <f t="shared" si="2"/>
        <v>24</v>
      </c>
      <c r="S21" s="2" t="s">
        <v>36</v>
      </c>
      <c r="T21" s="7">
        <v>19</v>
      </c>
      <c r="U21" s="7">
        <v>29</v>
      </c>
      <c r="V21" s="7">
        <v>6</v>
      </c>
      <c r="W21" s="7">
        <v>6</v>
      </c>
      <c r="X21" s="7">
        <f t="shared" si="3"/>
        <v>60</v>
      </c>
      <c r="Y21" s="2" t="s">
        <v>36</v>
      </c>
      <c r="Z21" s="2">
        <v>66846.92546749</v>
      </c>
      <c r="AA21" s="2" t="s">
        <v>502</v>
      </c>
      <c r="AB21" s="2">
        <v>63</v>
      </c>
      <c r="AC21" s="2">
        <v>0</v>
      </c>
      <c r="AD21" s="2" t="s">
        <v>40</v>
      </c>
      <c r="AE21" s="2" t="s">
        <v>41</v>
      </c>
      <c r="AF21" t="e">
        <v>#N/A</v>
      </c>
      <c r="AG21" s="8">
        <v>96</v>
      </c>
      <c r="AH21" s="2">
        <v>36</v>
      </c>
      <c r="AI21" s="2">
        <v>3</v>
      </c>
      <c r="AJ21" s="2">
        <v>0</v>
      </c>
      <c r="AK21" s="2">
        <v>0.375</v>
      </c>
      <c r="AL21" s="2">
        <v>3.6742346141747673</v>
      </c>
      <c r="AM21" s="2">
        <v>-33</v>
      </c>
      <c r="AN21" s="2">
        <v>1</v>
      </c>
      <c r="AO21" s="2">
        <v>1.5</v>
      </c>
      <c r="AP21" s="2">
        <v>0.63157894736842102</v>
      </c>
      <c r="AQ21" s="2">
        <v>7.0175438596491224E-2</v>
      </c>
      <c r="AR21" s="2">
        <v>0.31578947368421051</v>
      </c>
      <c r="AS21" s="2">
        <v>0.47368421052631576</v>
      </c>
      <c r="AT21" s="2">
        <v>0.14035087719298245</v>
      </c>
      <c r="AU21" s="2">
        <v>75115.052472009993</v>
      </c>
      <c r="AV21" s="2">
        <v>14</v>
      </c>
      <c r="AW21">
        <f t="shared" si="4"/>
        <v>1</v>
      </c>
      <c r="AX21" s="2">
        <v>0</v>
      </c>
      <c r="AY21">
        <f t="shared" si="5"/>
        <v>0</v>
      </c>
      <c r="AZ21" s="2" t="e">
        <v>#N/A</v>
      </c>
      <c r="BA21" s="2">
        <v>12</v>
      </c>
      <c r="BB21" s="2">
        <v>2018</v>
      </c>
      <c r="BC21" s="2">
        <v>12</v>
      </c>
      <c r="BD21" s="2">
        <v>2018</v>
      </c>
      <c r="BE21" s="2">
        <v>12</v>
      </c>
      <c r="BF21" s="2">
        <v>2018</v>
      </c>
    </row>
    <row r="22" spans="1:58" x14ac:dyDescent="0.2">
      <c r="A22" s="7">
        <v>3</v>
      </c>
      <c r="B22" s="7">
        <v>15</v>
      </c>
      <c r="C22" s="7">
        <v>0</v>
      </c>
      <c r="D22" s="7">
        <v>3</v>
      </c>
      <c r="E22" s="7">
        <f t="shared" si="0"/>
        <v>21</v>
      </c>
      <c r="F22" s="11" t="s">
        <v>36</v>
      </c>
      <c r="G22">
        <v>3</v>
      </c>
      <c r="H22">
        <v>15</v>
      </c>
      <c r="I22">
        <v>0</v>
      </c>
      <c r="J22">
        <v>3</v>
      </c>
      <c r="K22">
        <f t="shared" si="1"/>
        <v>21</v>
      </c>
      <c r="L22" t="s">
        <v>36</v>
      </c>
      <c r="M22">
        <v>10617.828906320001</v>
      </c>
      <c r="N22" s="7">
        <v>5</v>
      </c>
      <c r="O22" s="7">
        <v>15</v>
      </c>
      <c r="P22" s="7">
        <v>0</v>
      </c>
      <c r="Q22" s="7">
        <v>3</v>
      </c>
      <c r="R22" s="7">
        <f t="shared" si="2"/>
        <v>23</v>
      </c>
      <c r="S22" t="s">
        <v>36</v>
      </c>
      <c r="T22" s="7">
        <v>5</v>
      </c>
      <c r="U22" s="7">
        <v>15</v>
      </c>
      <c r="V22" s="7">
        <v>0</v>
      </c>
      <c r="W22" s="7">
        <v>3</v>
      </c>
      <c r="X22" s="7">
        <f t="shared" si="3"/>
        <v>23</v>
      </c>
      <c r="Y22" t="s">
        <v>36</v>
      </c>
      <c r="Z22">
        <v>37207.223084960002</v>
      </c>
      <c r="AA22" t="s">
        <v>503</v>
      </c>
      <c r="AB22">
        <v>71</v>
      </c>
      <c r="AC22">
        <v>0</v>
      </c>
      <c r="AD22" t="s">
        <v>73</v>
      </c>
      <c r="AE22" t="s">
        <v>41</v>
      </c>
      <c r="AF22" t="e">
        <v>#N/A</v>
      </c>
      <c r="AG22" s="8">
        <v>0</v>
      </c>
      <c r="AH22">
        <v>0</v>
      </c>
      <c r="AI22">
        <v>2</v>
      </c>
      <c r="AJ22">
        <v>0</v>
      </c>
      <c r="AK22" t="e">
        <v>#N/A</v>
      </c>
      <c r="AL22" t="e">
        <v>#N/A</v>
      </c>
      <c r="AM22">
        <v>2</v>
      </c>
      <c r="AN22">
        <v>0</v>
      </c>
      <c r="AO22">
        <v>0</v>
      </c>
      <c r="AP22">
        <v>0</v>
      </c>
      <c r="AQ22">
        <v>0.14285714285714285</v>
      </c>
      <c r="AR22">
        <v>0.14285714285714285</v>
      </c>
      <c r="AS22">
        <v>0.7142857142857143</v>
      </c>
      <c r="AT22">
        <v>0</v>
      </c>
      <c r="AU22">
        <v>47825.051991280001</v>
      </c>
      <c r="AV22">
        <v>6</v>
      </c>
      <c r="AW22">
        <f t="shared" si="4"/>
        <v>0</v>
      </c>
      <c r="AX22">
        <v>0</v>
      </c>
      <c r="AY22">
        <f t="shared" si="5"/>
        <v>0</v>
      </c>
      <c r="AZ22" t="e">
        <v>#N/A</v>
      </c>
      <c r="BA22">
        <v>1</v>
      </c>
      <c r="BB22">
        <v>2019</v>
      </c>
      <c r="BC22">
        <v>1</v>
      </c>
      <c r="BD22">
        <v>2019</v>
      </c>
      <c r="BE22">
        <v>1</v>
      </c>
      <c r="BF22">
        <v>2019</v>
      </c>
    </row>
    <row r="23" spans="1:58" x14ac:dyDescent="0.2">
      <c r="A23" s="7">
        <v>0</v>
      </c>
      <c r="B23" s="7">
        <v>17</v>
      </c>
      <c r="C23" s="7">
        <v>0</v>
      </c>
      <c r="D23" s="7">
        <v>3</v>
      </c>
      <c r="E23" s="7">
        <f t="shared" si="0"/>
        <v>20</v>
      </c>
      <c r="F23" s="11" t="e">
        <v>#N/A</v>
      </c>
      <c r="G23">
        <v>0</v>
      </c>
      <c r="H23">
        <v>17</v>
      </c>
      <c r="I23">
        <v>0</v>
      </c>
      <c r="J23">
        <v>4</v>
      </c>
      <c r="K23">
        <f t="shared" si="1"/>
        <v>21</v>
      </c>
      <c r="L23" t="e">
        <v>#N/A</v>
      </c>
      <c r="M23">
        <v>29233.498908779999</v>
      </c>
      <c r="N23" s="7">
        <v>3</v>
      </c>
      <c r="O23" s="7">
        <v>17</v>
      </c>
      <c r="P23" s="7">
        <v>0</v>
      </c>
      <c r="Q23" s="7">
        <v>3</v>
      </c>
      <c r="R23" s="7">
        <f t="shared" si="2"/>
        <v>23</v>
      </c>
      <c r="S23" t="e">
        <v>#N/A</v>
      </c>
      <c r="T23" s="7">
        <v>3</v>
      </c>
      <c r="U23" s="7">
        <v>17</v>
      </c>
      <c r="V23" s="7">
        <v>0</v>
      </c>
      <c r="W23" s="7">
        <v>3</v>
      </c>
      <c r="X23" s="7">
        <f t="shared" si="3"/>
        <v>23</v>
      </c>
      <c r="Y23" t="e">
        <v>#N/A</v>
      </c>
      <c r="Z23">
        <v>12841.299335240001</v>
      </c>
      <c r="AA23" t="s">
        <v>81</v>
      </c>
      <c r="AB23">
        <v>60</v>
      </c>
      <c r="AC23">
        <v>6</v>
      </c>
      <c r="AD23" t="s">
        <v>82</v>
      </c>
      <c r="AE23" t="s">
        <v>41</v>
      </c>
      <c r="AF23">
        <v>141</v>
      </c>
      <c r="AG23" s="8">
        <v>213</v>
      </c>
      <c r="AH23">
        <v>0</v>
      </c>
      <c r="AI23">
        <v>3</v>
      </c>
      <c r="AJ23">
        <v>1</v>
      </c>
      <c r="AK23">
        <v>0</v>
      </c>
      <c r="AL23">
        <v>0</v>
      </c>
      <c r="AM23">
        <v>2</v>
      </c>
      <c r="AN23">
        <v>0</v>
      </c>
      <c r="AO23">
        <v>0</v>
      </c>
      <c r="AP23">
        <v>0</v>
      </c>
      <c r="AQ23">
        <v>0.15</v>
      </c>
      <c r="AR23">
        <v>0</v>
      </c>
      <c r="AS23">
        <v>0.85</v>
      </c>
      <c r="AT23">
        <v>0</v>
      </c>
      <c r="AU23">
        <v>42074.798244019999</v>
      </c>
      <c r="AV23">
        <v>9</v>
      </c>
      <c r="AW23">
        <f t="shared" si="4"/>
        <v>0</v>
      </c>
      <c r="AX23">
        <v>6</v>
      </c>
      <c r="AY23">
        <f t="shared" si="5"/>
        <v>1</v>
      </c>
      <c r="AZ23">
        <v>4.2553191489361701E-2</v>
      </c>
      <c r="BA23">
        <v>1</v>
      </c>
      <c r="BB23">
        <v>2020</v>
      </c>
      <c r="BC23">
        <v>5</v>
      </c>
      <c r="BD23">
        <v>2020</v>
      </c>
      <c r="BE23">
        <v>1</v>
      </c>
      <c r="BF23">
        <v>2020</v>
      </c>
    </row>
    <row r="24" spans="1:58" x14ac:dyDescent="0.2">
      <c r="A24" s="7">
        <v>20</v>
      </c>
      <c r="B24" s="7">
        <v>40</v>
      </c>
      <c r="C24" s="7">
        <v>10</v>
      </c>
      <c r="D24" s="7">
        <v>18</v>
      </c>
      <c r="E24" s="7">
        <f t="shared" si="0"/>
        <v>88</v>
      </c>
      <c r="F24" s="11" t="s">
        <v>36</v>
      </c>
      <c r="G24">
        <v>20</v>
      </c>
      <c r="H24">
        <v>40</v>
      </c>
      <c r="I24">
        <v>10</v>
      </c>
      <c r="J24">
        <v>18</v>
      </c>
      <c r="K24">
        <f t="shared" si="1"/>
        <v>88</v>
      </c>
      <c r="L24" t="s">
        <v>36</v>
      </c>
      <c r="M24">
        <v>3302.0871299999999</v>
      </c>
      <c r="N24" s="7">
        <v>0</v>
      </c>
      <c r="O24" s="7">
        <v>0</v>
      </c>
      <c r="P24" s="7">
        <v>0</v>
      </c>
      <c r="Q24" s="7">
        <v>0</v>
      </c>
      <c r="R24" s="7">
        <f t="shared" si="2"/>
        <v>0</v>
      </c>
      <c r="S24" t="e">
        <v>#N/A</v>
      </c>
      <c r="T24" s="7">
        <v>0</v>
      </c>
      <c r="U24" s="7">
        <v>0</v>
      </c>
      <c r="V24" s="7">
        <v>0</v>
      </c>
      <c r="W24" s="7">
        <v>0</v>
      </c>
      <c r="X24" s="7">
        <f t="shared" si="3"/>
        <v>0</v>
      </c>
      <c r="Y24" t="e">
        <v>#N/A</v>
      </c>
      <c r="AA24" t="s">
        <v>504</v>
      </c>
      <c r="AB24" t="e">
        <v>#N/A</v>
      </c>
      <c r="AF24" t="e">
        <v>#N/A</v>
      </c>
      <c r="AG24" s="8"/>
      <c r="AH24">
        <v>0</v>
      </c>
      <c r="AI24">
        <v>-88</v>
      </c>
      <c r="AJ24">
        <v>0</v>
      </c>
      <c r="AK24" t="e">
        <v>#N/A</v>
      </c>
      <c r="AL24" t="e">
        <v>#N/A</v>
      </c>
      <c r="AM24">
        <v>-88</v>
      </c>
      <c r="AN24">
        <v>1</v>
      </c>
      <c r="AO24" t="e">
        <v>#N/A</v>
      </c>
      <c r="AP24">
        <v>0</v>
      </c>
      <c r="AQ24">
        <v>0.20454545454545456</v>
      </c>
      <c r="AR24">
        <v>0.22727272727272727</v>
      </c>
      <c r="AS24">
        <v>0.45454545454545453</v>
      </c>
      <c r="AT24">
        <v>0.11363636363636363</v>
      </c>
      <c r="AU24">
        <v>3302.0871299999999</v>
      </c>
      <c r="AV24" t="s">
        <v>489</v>
      </c>
      <c r="AW24" t="str">
        <f t="shared" si="4"/>
        <v>n/a</v>
      </c>
      <c r="AY24" t="e">
        <f t="shared" si="5"/>
        <v>#N/A</v>
      </c>
      <c r="AZ24" t="e">
        <v>#N/A</v>
      </c>
      <c r="BA24">
        <v>3</v>
      </c>
      <c r="BB24">
        <v>2018</v>
      </c>
      <c r="BC24">
        <v>3</v>
      </c>
      <c r="BD24">
        <v>2018</v>
      </c>
      <c r="BE24" t="e">
        <v>#N/A</v>
      </c>
      <c r="BF24" t="e">
        <v>#N/A</v>
      </c>
    </row>
    <row r="25" spans="1:58" x14ac:dyDescent="0.2">
      <c r="A25" s="7">
        <v>15</v>
      </c>
      <c r="B25" s="7">
        <v>30</v>
      </c>
      <c r="C25" s="7">
        <v>9</v>
      </c>
      <c r="D25" s="7">
        <v>6</v>
      </c>
      <c r="E25" s="7">
        <f t="shared" si="0"/>
        <v>60</v>
      </c>
      <c r="F25" s="11" t="s">
        <v>36</v>
      </c>
      <c r="G25">
        <v>15</v>
      </c>
      <c r="H25">
        <v>30</v>
      </c>
      <c r="I25">
        <v>9</v>
      </c>
      <c r="J25">
        <v>6</v>
      </c>
      <c r="K25">
        <f t="shared" si="1"/>
        <v>60</v>
      </c>
      <c r="L25" t="s">
        <v>36</v>
      </c>
      <c r="M25">
        <v>21064.791192010001</v>
      </c>
      <c r="N25" s="7">
        <v>12</v>
      </c>
      <c r="O25" s="7">
        <v>22</v>
      </c>
      <c r="P25" s="7">
        <v>4</v>
      </c>
      <c r="Q25" s="7">
        <v>3</v>
      </c>
      <c r="R25" s="7">
        <f t="shared" si="2"/>
        <v>41</v>
      </c>
      <c r="S25" t="s">
        <v>36</v>
      </c>
      <c r="T25" s="7">
        <v>20</v>
      </c>
      <c r="U25" s="7">
        <v>37</v>
      </c>
      <c r="V25" s="7">
        <v>8</v>
      </c>
      <c r="W25" s="7">
        <v>5</v>
      </c>
      <c r="X25" s="7">
        <f t="shared" si="3"/>
        <v>70</v>
      </c>
      <c r="Y25" t="s">
        <v>36</v>
      </c>
      <c r="Z25">
        <v>24352.521680000002</v>
      </c>
      <c r="AA25" t="s">
        <v>505</v>
      </c>
      <c r="AB25">
        <v>69</v>
      </c>
      <c r="AC25">
        <v>0</v>
      </c>
      <c r="AD25" t="s">
        <v>85</v>
      </c>
      <c r="AE25" t="s">
        <v>41</v>
      </c>
      <c r="AF25" t="e">
        <v>#N/A</v>
      </c>
      <c r="AG25" s="8">
        <v>62</v>
      </c>
      <c r="AH25">
        <v>29</v>
      </c>
      <c r="AI25">
        <v>10</v>
      </c>
      <c r="AJ25">
        <v>0</v>
      </c>
      <c r="AK25">
        <v>0.46774193548387094</v>
      </c>
      <c r="AL25">
        <v>3.6830036830055244</v>
      </c>
      <c r="AM25">
        <v>-19</v>
      </c>
      <c r="AN25">
        <v>1</v>
      </c>
      <c r="AO25">
        <v>0.70731707317073167</v>
      </c>
      <c r="AP25">
        <v>0.48333333333333334</v>
      </c>
      <c r="AQ25">
        <v>0.1</v>
      </c>
      <c r="AR25">
        <v>0.25</v>
      </c>
      <c r="AS25">
        <v>0.5</v>
      </c>
      <c r="AT25">
        <v>0.15</v>
      </c>
      <c r="AU25">
        <v>45417.312872010007</v>
      </c>
      <c r="AV25">
        <v>8</v>
      </c>
      <c r="AW25">
        <f t="shared" si="4"/>
        <v>0</v>
      </c>
      <c r="AX25">
        <v>0</v>
      </c>
      <c r="AY25">
        <f t="shared" si="5"/>
        <v>0</v>
      </c>
      <c r="AZ25" t="e">
        <v>#N/A</v>
      </c>
      <c r="BA25">
        <v>12</v>
      </c>
      <c r="BB25">
        <v>2018</v>
      </c>
      <c r="BC25">
        <v>12</v>
      </c>
      <c r="BD25">
        <v>2018</v>
      </c>
      <c r="BE25">
        <v>9</v>
      </c>
      <c r="BF25">
        <v>2019</v>
      </c>
    </row>
    <row r="26" spans="1:58" x14ac:dyDescent="0.2">
      <c r="A26" s="7">
        <v>6</v>
      </c>
      <c r="B26" s="7">
        <v>18</v>
      </c>
      <c r="C26" s="7">
        <v>2</v>
      </c>
      <c r="D26" s="7">
        <v>3</v>
      </c>
      <c r="E26" s="7">
        <f t="shared" si="0"/>
        <v>29</v>
      </c>
      <c r="F26" s="11" t="s">
        <v>36</v>
      </c>
      <c r="G26">
        <v>6</v>
      </c>
      <c r="H26">
        <v>18</v>
      </c>
      <c r="I26">
        <v>2</v>
      </c>
      <c r="J26">
        <v>3</v>
      </c>
      <c r="K26">
        <f t="shared" si="1"/>
        <v>29</v>
      </c>
      <c r="L26" t="s">
        <v>36</v>
      </c>
      <c r="M26">
        <v>14299.52190354</v>
      </c>
      <c r="N26" s="7">
        <v>11</v>
      </c>
      <c r="O26" s="7">
        <v>21</v>
      </c>
      <c r="P26" s="7">
        <v>4</v>
      </c>
      <c r="Q26" s="7">
        <v>3</v>
      </c>
      <c r="R26" s="7">
        <f t="shared" si="2"/>
        <v>39</v>
      </c>
      <c r="S26" t="s">
        <v>36</v>
      </c>
      <c r="T26" s="7">
        <v>16</v>
      </c>
      <c r="U26" s="7">
        <v>19</v>
      </c>
      <c r="V26" s="7">
        <v>4</v>
      </c>
      <c r="W26" s="7">
        <v>3</v>
      </c>
      <c r="X26" s="7">
        <f t="shared" si="3"/>
        <v>42</v>
      </c>
      <c r="Y26" t="s">
        <v>36</v>
      </c>
      <c r="Z26">
        <v>38753.296855089997</v>
      </c>
      <c r="AA26" t="s">
        <v>505</v>
      </c>
      <c r="AB26">
        <v>70</v>
      </c>
      <c r="AC26">
        <v>0</v>
      </c>
      <c r="AD26" t="s">
        <v>76</v>
      </c>
      <c r="AE26" t="s">
        <v>41</v>
      </c>
      <c r="AF26" t="e">
        <v>#N/A</v>
      </c>
      <c r="AG26" s="8">
        <v>228</v>
      </c>
      <c r="AH26">
        <v>3</v>
      </c>
      <c r="AI26">
        <v>13</v>
      </c>
      <c r="AJ26">
        <v>0</v>
      </c>
      <c r="AK26">
        <v>1.3157894736842105E-2</v>
      </c>
      <c r="AL26">
        <v>0.19867985355975656</v>
      </c>
      <c r="AM26">
        <v>10</v>
      </c>
      <c r="AN26">
        <v>0</v>
      </c>
      <c r="AO26">
        <v>7.6923076923076927E-2</v>
      </c>
      <c r="AP26">
        <v>0.10344827586206896</v>
      </c>
      <c r="AQ26">
        <v>0.10344827586206896</v>
      </c>
      <c r="AR26">
        <v>0.20689655172413793</v>
      </c>
      <c r="AS26">
        <v>0.62068965517241381</v>
      </c>
      <c r="AT26">
        <v>6.8965517241379309E-2</v>
      </c>
      <c r="AU26">
        <v>53052.818758629997</v>
      </c>
      <c r="AV26">
        <v>7</v>
      </c>
      <c r="AW26">
        <f t="shared" si="4"/>
        <v>0</v>
      </c>
      <c r="AX26">
        <v>0</v>
      </c>
      <c r="AY26">
        <f t="shared" si="5"/>
        <v>0</v>
      </c>
      <c r="AZ26" t="e">
        <v>#N/A</v>
      </c>
      <c r="BA26">
        <v>5</v>
      </c>
      <c r="BB26">
        <v>2019</v>
      </c>
      <c r="BC26">
        <v>5</v>
      </c>
      <c r="BD26">
        <v>2019</v>
      </c>
      <c r="BE26">
        <v>1</v>
      </c>
      <c r="BF26">
        <v>2019</v>
      </c>
    </row>
    <row r="27" spans="1:58" x14ac:dyDescent="0.2">
      <c r="A27" s="7">
        <v>11</v>
      </c>
      <c r="B27" s="7">
        <v>15</v>
      </c>
      <c r="C27" s="7">
        <v>0</v>
      </c>
      <c r="D27" s="7">
        <v>0</v>
      </c>
      <c r="E27" s="7">
        <f t="shared" si="0"/>
        <v>26</v>
      </c>
      <c r="F27" s="11" t="e">
        <v>#N/A</v>
      </c>
      <c r="G27">
        <v>11</v>
      </c>
      <c r="H27">
        <v>15</v>
      </c>
      <c r="I27">
        <v>0</v>
      </c>
      <c r="J27">
        <v>0</v>
      </c>
      <c r="K27">
        <f t="shared" si="1"/>
        <v>26</v>
      </c>
      <c r="L27" t="e">
        <v>#N/A</v>
      </c>
      <c r="M27">
        <v>12731.67969176</v>
      </c>
      <c r="N27" s="7">
        <v>11</v>
      </c>
      <c r="O27" s="7">
        <v>15</v>
      </c>
      <c r="P27" s="7">
        <v>0</v>
      </c>
      <c r="Q27" s="7">
        <v>5</v>
      </c>
      <c r="R27" s="7">
        <f t="shared" si="2"/>
        <v>31</v>
      </c>
      <c r="S27" t="e">
        <v>#N/A</v>
      </c>
      <c r="T27" s="7">
        <v>12</v>
      </c>
      <c r="U27" s="7">
        <v>17</v>
      </c>
      <c r="V27" s="7">
        <v>3</v>
      </c>
      <c r="W27" s="7">
        <v>5</v>
      </c>
      <c r="X27" s="7">
        <f t="shared" si="3"/>
        <v>37</v>
      </c>
      <c r="Y27" t="e">
        <v>#N/A</v>
      </c>
      <c r="Z27">
        <v>52016.448070890001</v>
      </c>
      <c r="AA27" t="s">
        <v>86</v>
      </c>
      <c r="AB27">
        <v>67</v>
      </c>
      <c r="AC27">
        <v>0</v>
      </c>
      <c r="AD27" t="s">
        <v>40</v>
      </c>
      <c r="AE27" t="s">
        <v>41</v>
      </c>
      <c r="AF27" t="e">
        <v>#N/A</v>
      </c>
      <c r="AG27" s="8">
        <v>2</v>
      </c>
      <c r="AH27">
        <v>6</v>
      </c>
      <c r="AI27">
        <v>11</v>
      </c>
      <c r="AJ27">
        <v>0</v>
      </c>
      <c r="AK27">
        <v>3</v>
      </c>
      <c r="AL27">
        <v>4.2426406871192848</v>
      </c>
      <c r="AM27">
        <v>5</v>
      </c>
      <c r="AN27">
        <v>0</v>
      </c>
      <c r="AO27">
        <v>0.19354838709677419</v>
      </c>
      <c r="AP27">
        <v>0.23076923076923078</v>
      </c>
      <c r="AQ27">
        <v>0</v>
      </c>
      <c r="AR27">
        <v>0.42307692307692307</v>
      </c>
      <c r="AS27">
        <v>0.57692307692307687</v>
      </c>
      <c r="AT27">
        <v>0</v>
      </c>
      <c r="AU27">
        <v>64748.127762650001</v>
      </c>
      <c r="AV27">
        <v>13</v>
      </c>
      <c r="AW27">
        <f t="shared" si="4"/>
        <v>1</v>
      </c>
      <c r="AX27">
        <v>0</v>
      </c>
      <c r="AY27">
        <f t="shared" si="5"/>
        <v>0</v>
      </c>
      <c r="AZ27" t="e">
        <v>#N/A</v>
      </c>
      <c r="BA27">
        <v>6</v>
      </c>
      <c r="BB27">
        <v>2020</v>
      </c>
      <c r="BC27">
        <v>6</v>
      </c>
      <c r="BD27">
        <v>2020</v>
      </c>
      <c r="BE27">
        <v>1</v>
      </c>
      <c r="BF27">
        <v>2020</v>
      </c>
    </row>
    <row r="28" spans="1:58" x14ac:dyDescent="0.2">
      <c r="A28" s="7">
        <v>18</v>
      </c>
      <c r="B28" s="7">
        <v>40</v>
      </c>
      <c r="C28" s="7">
        <v>9</v>
      </c>
      <c r="D28" s="7">
        <v>20</v>
      </c>
      <c r="E28" s="7">
        <f t="shared" si="0"/>
        <v>87</v>
      </c>
      <c r="F28" s="11" t="e">
        <v>#N/A</v>
      </c>
      <c r="G28">
        <v>18</v>
      </c>
      <c r="H28">
        <v>40</v>
      </c>
      <c r="I28">
        <v>9</v>
      </c>
      <c r="J28">
        <v>20</v>
      </c>
      <c r="K28">
        <f t="shared" si="1"/>
        <v>87</v>
      </c>
      <c r="L28" t="e">
        <v>#N/A</v>
      </c>
      <c r="M28">
        <v>9543.4603694100006</v>
      </c>
      <c r="N28" s="7">
        <v>20</v>
      </c>
      <c r="O28" s="7">
        <v>40</v>
      </c>
      <c r="P28" s="7">
        <v>9</v>
      </c>
      <c r="Q28" s="7">
        <v>20</v>
      </c>
      <c r="R28" s="7">
        <f t="shared" si="2"/>
        <v>89</v>
      </c>
      <c r="S28" t="e">
        <v>#N/A</v>
      </c>
      <c r="T28" s="7">
        <v>20</v>
      </c>
      <c r="U28" s="7">
        <v>40</v>
      </c>
      <c r="V28" s="7">
        <v>9</v>
      </c>
      <c r="W28" s="7">
        <v>20</v>
      </c>
      <c r="X28" s="7">
        <f t="shared" si="3"/>
        <v>89</v>
      </c>
      <c r="Y28" t="e">
        <v>#N/A</v>
      </c>
      <c r="Z28">
        <v>17596.977321779999</v>
      </c>
      <c r="AA28" t="s">
        <v>87</v>
      </c>
      <c r="AB28">
        <v>66</v>
      </c>
      <c r="AC28">
        <v>0</v>
      </c>
      <c r="AD28" t="s">
        <v>57</v>
      </c>
      <c r="AE28" t="s">
        <v>41</v>
      </c>
      <c r="AF28" t="e">
        <v>#N/A</v>
      </c>
      <c r="AG28" s="8">
        <v>131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0.22988505747126436</v>
      </c>
      <c r="AR28">
        <v>0.20689655172413793</v>
      </c>
      <c r="AS28">
        <v>0.45977011494252873</v>
      </c>
      <c r="AT28">
        <v>0.10344827586206896</v>
      </c>
      <c r="AU28">
        <v>27140.43769119</v>
      </c>
      <c r="AV28">
        <v>4</v>
      </c>
      <c r="AW28">
        <f t="shared" si="4"/>
        <v>0</v>
      </c>
      <c r="AX28">
        <v>0</v>
      </c>
      <c r="AY28">
        <f t="shared" si="5"/>
        <v>0</v>
      </c>
      <c r="AZ28" t="e">
        <v>#N/A</v>
      </c>
      <c r="BA28">
        <v>4</v>
      </c>
      <c r="BB28">
        <v>2020</v>
      </c>
      <c r="BC28">
        <v>4</v>
      </c>
      <c r="BD28">
        <v>2020</v>
      </c>
      <c r="BE28">
        <v>1</v>
      </c>
      <c r="BF28">
        <v>2020</v>
      </c>
    </row>
    <row r="29" spans="1:58" x14ac:dyDescent="0.2">
      <c r="A29" s="7">
        <v>8</v>
      </c>
      <c r="B29" s="7">
        <v>22</v>
      </c>
      <c r="C29" s="7">
        <v>2</v>
      </c>
      <c r="D29" s="7">
        <v>6</v>
      </c>
      <c r="E29" s="7">
        <f t="shared" si="0"/>
        <v>38</v>
      </c>
      <c r="F29" s="11" t="s">
        <v>36</v>
      </c>
      <c r="G29">
        <v>8</v>
      </c>
      <c r="H29">
        <v>22</v>
      </c>
      <c r="I29">
        <v>2</v>
      </c>
      <c r="J29">
        <v>6</v>
      </c>
      <c r="K29">
        <f t="shared" si="1"/>
        <v>38</v>
      </c>
      <c r="L29" t="s">
        <v>36</v>
      </c>
      <c r="M29">
        <v>11814.773566960001</v>
      </c>
      <c r="N29" s="7">
        <v>16</v>
      </c>
      <c r="O29" s="7">
        <v>29</v>
      </c>
      <c r="P29" s="7">
        <v>9</v>
      </c>
      <c r="Q29" s="7">
        <v>6</v>
      </c>
      <c r="R29" s="7">
        <f t="shared" si="2"/>
        <v>60</v>
      </c>
      <c r="S29" t="s">
        <v>36</v>
      </c>
      <c r="T29" s="7">
        <v>8</v>
      </c>
      <c r="U29" s="7">
        <v>22</v>
      </c>
      <c r="V29" s="7">
        <v>2</v>
      </c>
      <c r="W29" s="7">
        <v>6</v>
      </c>
      <c r="X29" s="7">
        <f t="shared" si="3"/>
        <v>38</v>
      </c>
      <c r="Y29" t="s">
        <v>36</v>
      </c>
      <c r="Z29">
        <v>24111.247574239998</v>
      </c>
      <c r="AA29" t="s">
        <v>506</v>
      </c>
      <c r="AB29" t="e">
        <v>#N/A</v>
      </c>
      <c r="AF29" t="e">
        <v>#N/A</v>
      </c>
      <c r="AG29" s="8">
        <v>60</v>
      </c>
      <c r="AH29">
        <v>-22</v>
      </c>
      <c r="AI29">
        <v>0</v>
      </c>
      <c r="AJ29">
        <v>0</v>
      </c>
      <c r="AK29">
        <v>-0.36666666666666664</v>
      </c>
      <c r="AL29">
        <v>-2.8401877872187722</v>
      </c>
      <c r="AM29">
        <v>22</v>
      </c>
      <c r="AN29">
        <v>0</v>
      </c>
      <c r="AO29">
        <v>-0.36666666666666664</v>
      </c>
      <c r="AP29">
        <v>-0.57894736842105265</v>
      </c>
      <c r="AQ29">
        <v>0.15789473684210525</v>
      </c>
      <c r="AR29">
        <v>0.21052631578947367</v>
      </c>
      <c r="AS29">
        <v>0.57894736842105265</v>
      </c>
      <c r="AT29">
        <v>5.2631578947368418E-2</v>
      </c>
      <c r="AU29">
        <v>35926.021141199999</v>
      </c>
      <c r="AV29" t="s">
        <v>489</v>
      </c>
      <c r="AW29" t="str">
        <f t="shared" si="4"/>
        <v>n/a</v>
      </c>
      <c r="AY29" t="e">
        <f t="shared" si="5"/>
        <v>#N/A</v>
      </c>
      <c r="AZ29" t="e">
        <v>#N/A</v>
      </c>
      <c r="BA29">
        <v>6</v>
      </c>
      <c r="BB29">
        <v>2018</v>
      </c>
      <c r="BC29">
        <v>6</v>
      </c>
      <c r="BD29">
        <v>2018</v>
      </c>
      <c r="BE29">
        <v>10</v>
      </c>
      <c r="BF29">
        <v>2018</v>
      </c>
    </row>
    <row r="30" spans="1:58" x14ac:dyDescent="0.2">
      <c r="A30" s="7">
        <v>9</v>
      </c>
      <c r="B30" s="7">
        <v>13</v>
      </c>
      <c r="C30" s="7">
        <v>0</v>
      </c>
      <c r="D30" s="7">
        <v>0</v>
      </c>
      <c r="E30" s="7">
        <f t="shared" si="0"/>
        <v>22</v>
      </c>
      <c r="F30" s="11" t="s">
        <v>36</v>
      </c>
      <c r="G30">
        <v>9</v>
      </c>
      <c r="H30">
        <v>13</v>
      </c>
      <c r="I30">
        <v>0</v>
      </c>
      <c r="J30">
        <v>0</v>
      </c>
      <c r="K30">
        <f t="shared" si="1"/>
        <v>22</v>
      </c>
      <c r="L30" t="s">
        <v>36</v>
      </c>
      <c r="M30">
        <v>27676.972727600001</v>
      </c>
      <c r="N30" s="7">
        <v>7</v>
      </c>
      <c r="O30" s="7">
        <v>13</v>
      </c>
      <c r="P30" s="7">
        <v>1</v>
      </c>
      <c r="Q30" s="7">
        <v>3</v>
      </c>
      <c r="R30" s="7">
        <f t="shared" si="2"/>
        <v>24</v>
      </c>
      <c r="S30" t="s">
        <v>36</v>
      </c>
      <c r="T30" s="7">
        <v>0</v>
      </c>
      <c r="U30" s="7">
        <v>13</v>
      </c>
      <c r="V30" s="7">
        <v>0</v>
      </c>
      <c r="W30" s="7">
        <v>0</v>
      </c>
      <c r="X30" s="7">
        <f t="shared" si="3"/>
        <v>13</v>
      </c>
      <c r="Y30" t="s">
        <v>54</v>
      </c>
      <c r="Z30">
        <v>234638.48125133</v>
      </c>
      <c r="AA30" t="s">
        <v>507</v>
      </c>
      <c r="AB30">
        <v>67</v>
      </c>
      <c r="AC30">
        <v>25</v>
      </c>
      <c r="AD30" t="s">
        <v>88</v>
      </c>
      <c r="AE30" t="s">
        <v>41</v>
      </c>
      <c r="AF30" t="e">
        <v>#N/A</v>
      </c>
      <c r="AG30" s="8">
        <v>5</v>
      </c>
      <c r="AH30">
        <v>-11</v>
      </c>
      <c r="AI30">
        <v>-9</v>
      </c>
      <c r="AJ30">
        <v>0</v>
      </c>
      <c r="AK30">
        <v>-2.2000000000000002</v>
      </c>
      <c r="AL30">
        <v>-4.919349550499537</v>
      </c>
      <c r="AM30">
        <v>2</v>
      </c>
      <c r="AN30">
        <v>0</v>
      </c>
      <c r="AO30">
        <v>-0.45833333333333331</v>
      </c>
      <c r="AP30">
        <v>-0.5</v>
      </c>
      <c r="AQ30">
        <v>0</v>
      </c>
      <c r="AR30">
        <v>0.40909090909090912</v>
      </c>
      <c r="AS30">
        <v>0.59090909090909094</v>
      </c>
      <c r="AT30">
        <v>0</v>
      </c>
      <c r="AU30">
        <v>262315.45397893002</v>
      </c>
      <c r="AV30">
        <v>13</v>
      </c>
      <c r="AW30">
        <f t="shared" si="4"/>
        <v>1</v>
      </c>
      <c r="AX30">
        <v>25</v>
      </c>
      <c r="AY30">
        <f t="shared" si="5"/>
        <v>1</v>
      </c>
      <c r="AZ30" t="e">
        <v>#N/A</v>
      </c>
      <c r="BA30">
        <v>2</v>
      </c>
      <c r="BB30">
        <v>2019</v>
      </c>
      <c r="BC30">
        <v>2</v>
      </c>
      <c r="BD30">
        <v>2019</v>
      </c>
      <c r="BE30">
        <v>1</v>
      </c>
      <c r="BF30">
        <v>2019</v>
      </c>
    </row>
    <row r="31" spans="1:58" x14ac:dyDescent="0.2">
      <c r="A31" s="7">
        <v>1</v>
      </c>
      <c r="B31" s="7">
        <v>2</v>
      </c>
      <c r="C31" s="7">
        <v>2</v>
      </c>
      <c r="D31" s="7">
        <v>0</v>
      </c>
      <c r="E31" s="7">
        <f t="shared" si="0"/>
        <v>5</v>
      </c>
      <c r="F31" s="11" t="s">
        <v>80</v>
      </c>
      <c r="G31">
        <v>1</v>
      </c>
      <c r="H31">
        <v>2</v>
      </c>
      <c r="I31">
        <v>2</v>
      </c>
      <c r="J31">
        <v>0</v>
      </c>
      <c r="K31">
        <f t="shared" si="1"/>
        <v>5</v>
      </c>
      <c r="L31" t="s">
        <v>80</v>
      </c>
      <c r="M31">
        <v>43663.064634140013</v>
      </c>
      <c r="N31" s="7">
        <v>1</v>
      </c>
      <c r="O31" s="7">
        <v>2</v>
      </c>
      <c r="P31" s="7">
        <v>2</v>
      </c>
      <c r="Q31" s="7">
        <v>0</v>
      </c>
      <c r="R31" s="7">
        <f t="shared" si="2"/>
        <v>5</v>
      </c>
      <c r="S31" t="s">
        <v>80</v>
      </c>
      <c r="T31" s="7">
        <v>3</v>
      </c>
      <c r="U31" s="7">
        <v>7</v>
      </c>
      <c r="V31" s="7">
        <v>0</v>
      </c>
      <c r="W31" s="7">
        <v>1</v>
      </c>
      <c r="X31" s="7">
        <f t="shared" si="3"/>
        <v>11</v>
      </c>
      <c r="Y31" t="s">
        <v>51</v>
      </c>
      <c r="Z31">
        <v>72859.948357510002</v>
      </c>
      <c r="AA31" t="s">
        <v>508</v>
      </c>
      <c r="AB31" t="e">
        <v>#N/A</v>
      </c>
      <c r="AF31" t="e">
        <v>#N/A</v>
      </c>
      <c r="AG31" s="8">
        <v>2</v>
      </c>
      <c r="AH31">
        <v>6</v>
      </c>
      <c r="AI31">
        <v>6</v>
      </c>
      <c r="AJ31">
        <v>0</v>
      </c>
      <c r="AK31">
        <v>3</v>
      </c>
      <c r="AL31">
        <v>4.2426406871192848</v>
      </c>
      <c r="AM31">
        <v>0</v>
      </c>
      <c r="AN31">
        <v>0</v>
      </c>
      <c r="AO31">
        <v>1.2</v>
      </c>
      <c r="AP31">
        <v>1.2</v>
      </c>
      <c r="AQ31">
        <v>0</v>
      </c>
      <c r="AR31">
        <v>0.2</v>
      </c>
      <c r="AS31">
        <v>0.4</v>
      </c>
      <c r="AT31">
        <v>0.4</v>
      </c>
      <c r="AU31">
        <v>116523.01299165002</v>
      </c>
      <c r="AV31" t="s">
        <v>489</v>
      </c>
      <c r="AW31" t="str">
        <f t="shared" si="4"/>
        <v>n/a</v>
      </c>
      <c r="AY31" t="e">
        <f t="shared" si="5"/>
        <v>#N/A</v>
      </c>
      <c r="AZ31" t="e">
        <v>#N/A</v>
      </c>
      <c r="BA31">
        <v>8</v>
      </c>
      <c r="BB31">
        <v>2018</v>
      </c>
      <c r="BC31">
        <v>8</v>
      </c>
      <c r="BD31">
        <v>2018</v>
      </c>
      <c r="BE31">
        <v>5</v>
      </c>
      <c r="BF31">
        <v>2018</v>
      </c>
    </row>
    <row r="32" spans="1:58" x14ac:dyDescent="0.2">
      <c r="A32" s="7">
        <v>16</v>
      </c>
      <c r="B32" s="7">
        <v>10</v>
      </c>
      <c r="C32" s="7">
        <v>4</v>
      </c>
      <c r="D32" s="7">
        <v>4</v>
      </c>
      <c r="E32" s="7">
        <f t="shared" si="0"/>
        <v>34</v>
      </c>
      <c r="F32" s="11" t="e">
        <v>#N/A</v>
      </c>
      <c r="G32">
        <v>16</v>
      </c>
      <c r="H32">
        <v>10</v>
      </c>
      <c r="I32">
        <v>4</v>
      </c>
      <c r="J32">
        <v>4</v>
      </c>
      <c r="K32">
        <f t="shared" si="1"/>
        <v>34</v>
      </c>
      <c r="L32" t="e">
        <v>#N/A</v>
      </c>
      <c r="M32">
        <v>10658.26914988</v>
      </c>
      <c r="N32" s="7">
        <v>0</v>
      </c>
      <c r="O32" s="7">
        <v>0</v>
      </c>
      <c r="P32" s="7">
        <v>4</v>
      </c>
      <c r="Q32" s="7">
        <v>4</v>
      </c>
      <c r="R32" s="7">
        <f t="shared" si="2"/>
        <v>8</v>
      </c>
      <c r="S32" t="e">
        <v>#N/A</v>
      </c>
      <c r="T32" s="7">
        <v>0</v>
      </c>
      <c r="U32" s="7">
        <v>0</v>
      </c>
      <c r="V32" s="7">
        <v>4</v>
      </c>
      <c r="W32" s="7">
        <v>4</v>
      </c>
      <c r="X32" s="7">
        <f t="shared" si="3"/>
        <v>8</v>
      </c>
      <c r="Y32" t="e">
        <v>#N/A</v>
      </c>
      <c r="Z32">
        <v>14867.69845894</v>
      </c>
      <c r="AA32" t="s">
        <v>89</v>
      </c>
      <c r="AB32">
        <v>66</v>
      </c>
      <c r="AC32">
        <v>0</v>
      </c>
      <c r="AD32" t="s">
        <v>40</v>
      </c>
      <c r="AE32" t="s">
        <v>41</v>
      </c>
      <c r="AF32">
        <v>13</v>
      </c>
      <c r="AG32" s="8">
        <v>0</v>
      </c>
      <c r="AH32">
        <v>0</v>
      </c>
      <c r="AI32">
        <v>-26</v>
      </c>
      <c r="AJ32">
        <v>0</v>
      </c>
      <c r="AK32" t="e">
        <v>#N/A</v>
      </c>
      <c r="AL32" t="e">
        <v>#N/A</v>
      </c>
      <c r="AM32">
        <v>-26</v>
      </c>
      <c r="AN32">
        <v>1</v>
      </c>
      <c r="AO32">
        <v>0</v>
      </c>
      <c r="AP32">
        <v>0</v>
      </c>
      <c r="AQ32">
        <v>0.11764705882352941</v>
      </c>
      <c r="AR32">
        <v>0.47058823529411764</v>
      </c>
      <c r="AS32">
        <v>0.29411764705882354</v>
      </c>
      <c r="AT32">
        <v>0.11764705882352941</v>
      </c>
      <c r="AU32">
        <v>25525.967608819999</v>
      </c>
      <c r="AV32">
        <v>11</v>
      </c>
      <c r="AW32">
        <f t="shared" si="4"/>
        <v>1</v>
      </c>
      <c r="AX32">
        <v>0</v>
      </c>
      <c r="AY32">
        <f t="shared" si="5"/>
        <v>0</v>
      </c>
      <c r="AZ32">
        <v>0</v>
      </c>
      <c r="BA32">
        <v>9</v>
      </c>
      <c r="BB32">
        <v>2020</v>
      </c>
      <c r="BC32">
        <v>9</v>
      </c>
      <c r="BD32">
        <v>2020</v>
      </c>
      <c r="BE32">
        <v>8</v>
      </c>
      <c r="BF32">
        <v>2020</v>
      </c>
    </row>
    <row r="33" spans="1:58" x14ac:dyDescent="0.2">
      <c r="A33" s="7">
        <v>3</v>
      </c>
      <c r="B33" s="7">
        <v>2</v>
      </c>
      <c r="C33" s="7">
        <v>0</v>
      </c>
      <c r="D33" s="7">
        <v>0</v>
      </c>
      <c r="E33" s="7">
        <f t="shared" si="0"/>
        <v>5</v>
      </c>
      <c r="F33" s="11" t="s">
        <v>36</v>
      </c>
      <c r="G33">
        <v>3</v>
      </c>
      <c r="H33">
        <v>2</v>
      </c>
      <c r="I33">
        <v>0</v>
      </c>
      <c r="J33">
        <v>0</v>
      </c>
      <c r="K33">
        <f t="shared" si="1"/>
        <v>5</v>
      </c>
      <c r="L33" t="s">
        <v>36</v>
      </c>
      <c r="M33">
        <v>24057.787775500001</v>
      </c>
      <c r="N33" s="7">
        <v>3</v>
      </c>
      <c r="O33" s="7">
        <v>2</v>
      </c>
      <c r="P33" s="7">
        <v>0</v>
      </c>
      <c r="Q33" s="7">
        <v>0</v>
      </c>
      <c r="R33" s="7">
        <f t="shared" si="2"/>
        <v>5</v>
      </c>
      <c r="S33" t="s">
        <v>36</v>
      </c>
      <c r="T33" s="7">
        <v>6</v>
      </c>
      <c r="U33" s="7">
        <v>8</v>
      </c>
      <c r="V33" s="7">
        <v>0</v>
      </c>
      <c r="W33" s="7">
        <v>2</v>
      </c>
      <c r="X33" s="7">
        <f t="shared" si="3"/>
        <v>16</v>
      </c>
      <c r="Y33" t="s">
        <v>36</v>
      </c>
      <c r="Z33">
        <v>85634.71588684</v>
      </c>
      <c r="AA33" t="s">
        <v>509</v>
      </c>
      <c r="AB33">
        <v>56</v>
      </c>
      <c r="AC33">
        <v>339</v>
      </c>
      <c r="AD33" t="s">
        <v>46</v>
      </c>
      <c r="AE33" t="s">
        <v>41</v>
      </c>
      <c r="AF33" t="e">
        <v>#N/A</v>
      </c>
      <c r="AG33" s="8">
        <v>103</v>
      </c>
      <c r="AH33">
        <v>11</v>
      </c>
      <c r="AI33">
        <v>11</v>
      </c>
      <c r="AJ33">
        <v>0</v>
      </c>
      <c r="AK33">
        <v>0.10679611650485436</v>
      </c>
      <c r="AL33">
        <v>1.0838622059807226</v>
      </c>
      <c r="AM33">
        <v>0</v>
      </c>
      <c r="AN33">
        <v>0</v>
      </c>
      <c r="AO33">
        <v>2.2000000000000002</v>
      </c>
      <c r="AP33">
        <v>2.2000000000000002</v>
      </c>
      <c r="AQ33">
        <v>0</v>
      </c>
      <c r="AR33">
        <v>0.6</v>
      </c>
      <c r="AS33">
        <v>0.4</v>
      </c>
      <c r="AT33">
        <v>0</v>
      </c>
      <c r="AU33">
        <v>109692.50366233999</v>
      </c>
      <c r="AV33">
        <v>12</v>
      </c>
      <c r="AW33">
        <f t="shared" si="4"/>
        <v>1</v>
      </c>
      <c r="AX33">
        <v>339</v>
      </c>
      <c r="AY33">
        <f t="shared" si="5"/>
        <v>1</v>
      </c>
      <c r="AZ33" t="e">
        <v>#N/A</v>
      </c>
      <c r="BA33">
        <v>10</v>
      </c>
      <c r="BB33">
        <v>2019</v>
      </c>
      <c r="BC33">
        <v>10</v>
      </c>
      <c r="BD33">
        <v>2019</v>
      </c>
      <c r="BE33">
        <v>1</v>
      </c>
      <c r="BF33">
        <v>2019</v>
      </c>
    </row>
    <row r="34" spans="1:58" x14ac:dyDescent="0.2">
      <c r="A34" s="7">
        <v>0</v>
      </c>
      <c r="B34" s="7">
        <v>0</v>
      </c>
      <c r="C34" s="7">
        <v>0</v>
      </c>
      <c r="D34" s="7">
        <v>0</v>
      </c>
      <c r="E34" s="7">
        <f t="shared" si="0"/>
        <v>0</v>
      </c>
      <c r="F34" s="11" t="e">
        <v>#N/A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 t="e">
        <v>#N/A</v>
      </c>
      <c r="N34" s="7">
        <v>1</v>
      </c>
      <c r="O34" s="7">
        <v>11</v>
      </c>
      <c r="P34" s="7">
        <v>0</v>
      </c>
      <c r="Q34" s="7">
        <v>0</v>
      </c>
      <c r="R34" s="7">
        <f t="shared" si="2"/>
        <v>12</v>
      </c>
      <c r="S34" t="s">
        <v>36</v>
      </c>
      <c r="T34" s="7">
        <v>1</v>
      </c>
      <c r="U34" s="7">
        <v>11</v>
      </c>
      <c r="V34" s="7">
        <v>0</v>
      </c>
      <c r="W34" s="7">
        <v>3</v>
      </c>
      <c r="X34" s="7">
        <f t="shared" si="3"/>
        <v>15</v>
      </c>
      <c r="Y34" t="s">
        <v>36</v>
      </c>
      <c r="Z34">
        <v>7931.4745666899998</v>
      </c>
      <c r="AA34" t="s">
        <v>510</v>
      </c>
      <c r="AB34">
        <v>57</v>
      </c>
      <c r="AC34">
        <v>0</v>
      </c>
      <c r="AD34" t="s">
        <v>90</v>
      </c>
      <c r="AE34" t="s">
        <v>41</v>
      </c>
      <c r="AF34" t="e">
        <v>#N/A</v>
      </c>
      <c r="AG34" s="8">
        <v>248</v>
      </c>
      <c r="AH34">
        <v>3</v>
      </c>
      <c r="AI34">
        <v>15</v>
      </c>
      <c r="AJ34">
        <v>0</v>
      </c>
      <c r="AK34">
        <v>1.2096774193548387E-2</v>
      </c>
      <c r="AL34">
        <v>0.19050019050028574</v>
      </c>
      <c r="AM34">
        <v>12</v>
      </c>
      <c r="AN34">
        <v>0</v>
      </c>
      <c r="AO34">
        <v>0.25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>
        <v>7931.4745666899998</v>
      </c>
      <c r="AV34">
        <v>12</v>
      </c>
      <c r="AW34">
        <f t="shared" si="4"/>
        <v>1</v>
      </c>
      <c r="AX34">
        <v>0</v>
      </c>
      <c r="AY34">
        <f t="shared" si="5"/>
        <v>0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>
        <v>12</v>
      </c>
      <c r="BF34">
        <v>2018</v>
      </c>
    </row>
    <row r="35" spans="1:58" x14ac:dyDescent="0.2">
      <c r="A35" s="7">
        <v>13</v>
      </c>
      <c r="B35" s="7">
        <v>22</v>
      </c>
      <c r="C35" s="7">
        <v>4</v>
      </c>
      <c r="D35" s="7">
        <v>5</v>
      </c>
      <c r="E35" s="7">
        <f t="shared" si="0"/>
        <v>44</v>
      </c>
      <c r="F35" s="11" t="s">
        <v>36</v>
      </c>
      <c r="G35">
        <v>13</v>
      </c>
      <c r="H35">
        <v>22</v>
      </c>
      <c r="I35">
        <v>4</v>
      </c>
      <c r="J35">
        <v>5</v>
      </c>
      <c r="K35">
        <f t="shared" si="1"/>
        <v>44</v>
      </c>
      <c r="L35" t="s">
        <v>36</v>
      </c>
      <c r="M35">
        <v>6966.8282659099996</v>
      </c>
      <c r="N35" s="7">
        <v>5</v>
      </c>
      <c r="O35" s="7">
        <v>21</v>
      </c>
      <c r="P35" s="7">
        <v>0</v>
      </c>
      <c r="Q35" s="7">
        <v>3</v>
      </c>
      <c r="R35" s="7">
        <f t="shared" si="2"/>
        <v>29</v>
      </c>
      <c r="S35" t="s">
        <v>36</v>
      </c>
      <c r="T35" s="7">
        <v>20</v>
      </c>
      <c r="U35" s="7">
        <v>35</v>
      </c>
      <c r="V35" s="7">
        <v>9</v>
      </c>
      <c r="W35" s="7">
        <v>7</v>
      </c>
      <c r="X35" s="7">
        <f t="shared" si="3"/>
        <v>71</v>
      </c>
      <c r="Y35" t="s">
        <v>36</v>
      </c>
      <c r="Z35">
        <v>48985.676826119998</v>
      </c>
      <c r="AA35" t="s">
        <v>511</v>
      </c>
      <c r="AB35">
        <v>58</v>
      </c>
      <c r="AC35">
        <v>0</v>
      </c>
      <c r="AD35" t="s">
        <v>73</v>
      </c>
      <c r="AE35" t="s">
        <v>41</v>
      </c>
      <c r="AF35">
        <v>53</v>
      </c>
      <c r="AG35" s="8">
        <v>153</v>
      </c>
      <c r="AH35">
        <v>42</v>
      </c>
      <c r="AI35">
        <v>27</v>
      </c>
      <c r="AJ35">
        <v>0</v>
      </c>
      <c r="AK35">
        <v>0.27450980392156865</v>
      </c>
      <c r="AL35">
        <v>3.3954987505086618</v>
      </c>
      <c r="AM35">
        <v>-15</v>
      </c>
      <c r="AN35">
        <v>1</v>
      </c>
      <c r="AO35">
        <v>1.4482758620689655</v>
      </c>
      <c r="AP35">
        <v>0.95454545454545459</v>
      </c>
      <c r="AQ35">
        <v>0.11363636363636363</v>
      </c>
      <c r="AR35">
        <v>0.29545454545454547</v>
      </c>
      <c r="AS35">
        <v>0.5</v>
      </c>
      <c r="AT35">
        <v>9.0909090909090912E-2</v>
      </c>
      <c r="AU35">
        <v>55952.505092029998</v>
      </c>
      <c r="AV35">
        <v>4</v>
      </c>
      <c r="AW35">
        <f t="shared" si="4"/>
        <v>0</v>
      </c>
      <c r="AX35">
        <v>0</v>
      </c>
      <c r="AY35">
        <f t="shared" si="5"/>
        <v>0</v>
      </c>
      <c r="AZ35">
        <v>0</v>
      </c>
      <c r="BA35">
        <v>1</v>
      </c>
      <c r="BB35">
        <v>2019</v>
      </c>
      <c r="BC35">
        <v>2</v>
      </c>
      <c r="BD35">
        <v>2019</v>
      </c>
      <c r="BE35">
        <v>1</v>
      </c>
      <c r="BF35">
        <v>2019</v>
      </c>
    </row>
    <row r="36" spans="1:58" x14ac:dyDescent="0.2">
      <c r="A36" s="7">
        <v>6</v>
      </c>
      <c r="B36" s="7">
        <v>18</v>
      </c>
      <c r="C36" s="7">
        <v>3</v>
      </c>
      <c r="D36" s="7">
        <v>8</v>
      </c>
      <c r="E36" s="7">
        <f t="shared" si="0"/>
        <v>35</v>
      </c>
      <c r="F36" s="11" t="s">
        <v>36</v>
      </c>
      <c r="G36">
        <v>6</v>
      </c>
      <c r="H36">
        <v>18</v>
      </c>
      <c r="I36">
        <v>3</v>
      </c>
      <c r="J36">
        <v>8</v>
      </c>
      <c r="K36">
        <f t="shared" si="1"/>
        <v>35</v>
      </c>
      <c r="L36" t="s">
        <v>36</v>
      </c>
      <c r="M36">
        <v>6404.2686400000002</v>
      </c>
      <c r="N36" s="7">
        <v>7</v>
      </c>
      <c r="O36" s="7">
        <v>18</v>
      </c>
      <c r="P36" s="7">
        <v>2</v>
      </c>
      <c r="Q36" s="7">
        <v>3</v>
      </c>
      <c r="R36" s="7">
        <f t="shared" si="2"/>
        <v>30</v>
      </c>
      <c r="S36" t="s">
        <v>36</v>
      </c>
      <c r="T36" s="7">
        <v>20</v>
      </c>
      <c r="U36" s="7">
        <v>36</v>
      </c>
      <c r="V36" s="7">
        <v>8</v>
      </c>
      <c r="W36" s="7">
        <v>6</v>
      </c>
      <c r="X36" s="7">
        <f t="shared" si="3"/>
        <v>70</v>
      </c>
      <c r="Y36" t="e">
        <v>#N/A</v>
      </c>
      <c r="Z36">
        <v>26683.669760000001</v>
      </c>
      <c r="AA36" t="s">
        <v>511</v>
      </c>
      <c r="AB36">
        <v>59</v>
      </c>
      <c r="AC36">
        <v>0</v>
      </c>
      <c r="AD36" t="s">
        <v>73</v>
      </c>
      <c r="AE36" t="s">
        <v>41</v>
      </c>
      <c r="AF36" t="e">
        <v>#N/A</v>
      </c>
      <c r="AG36" s="8">
        <v>244</v>
      </c>
      <c r="AH36">
        <v>40</v>
      </c>
      <c r="AI36">
        <v>35</v>
      </c>
      <c r="AJ36">
        <v>0</v>
      </c>
      <c r="AK36">
        <v>0.16393442622950818</v>
      </c>
      <c r="AL36">
        <v>2.5607375986579197</v>
      </c>
      <c r="AM36">
        <v>-5</v>
      </c>
      <c r="AN36">
        <v>1</v>
      </c>
      <c r="AO36">
        <v>1.3333333333333333</v>
      </c>
      <c r="AP36">
        <v>1.1428571428571428</v>
      </c>
      <c r="AQ36">
        <v>0.22857142857142856</v>
      </c>
      <c r="AR36">
        <v>0.17142857142857143</v>
      </c>
      <c r="AS36">
        <v>0.51428571428571423</v>
      </c>
      <c r="AT36">
        <v>8.5714285714285715E-2</v>
      </c>
      <c r="AU36">
        <v>33087.938399999999</v>
      </c>
      <c r="AV36">
        <v>3</v>
      </c>
      <c r="AW36">
        <f t="shared" si="4"/>
        <v>0</v>
      </c>
      <c r="AX36">
        <v>0</v>
      </c>
      <c r="AY36">
        <f t="shared" si="5"/>
        <v>0</v>
      </c>
      <c r="AZ36" t="e">
        <v>#N/A</v>
      </c>
      <c r="BA36">
        <v>4</v>
      </c>
      <c r="BB36">
        <v>2019</v>
      </c>
      <c r="BC36">
        <v>4</v>
      </c>
      <c r="BD36">
        <v>2019</v>
      </c>
      <c r="BE36">
        <v>2</v>
      </c>
      <c r="BF36">
        <v>2020</v>
      </c>
    </row>
    <row r="37" spans="1:58" x14ac:dyDescent="0.2">
      <c r="A37" s="7">
        <v>19</v>
      </c>
      <c r="B37" s="7">
        <v>31</v>
      </c>
      <c r="C37" s="7">
        <v>8</v>
      </c>
      <c r="D37" s="7">
        <v>4</v>
      </c>
      <c r="E37" s="7">
        <f t="shared" si="0"/>
        <v>62</v>
      </c>
      <c r="F37" s="11" t="e">
        <v>#N/A</v>
      </c>
      <c r="G37">
        <v>19</v>
      </c>
      <c r="H37">
        <v>31</v>
      </c>
      <c r="I37">
        <v>8</v>
      </c>
      <c r="J37">
        <v>4</v>
      </c>
      <c r="K37">
        <f t="shared" si="1"/>
        <v>62</v>
      </c>
      <c r="L37" t="e">
        <v>#N/A</v>
      </c>
      <c r="M37">
        <v>6595.8030600000002</v>
      </c>
      <c r="N37" s="7">
        <v>8</v>
      </c>
      <c r="O37" s="7">
        <v>18</v>
      </c>
      <c r="P37" s="7">
        <v>0</v>
      </c>
      <c r="Q37" s="7">
        <v>3</v>
      </c>
      <c r="R37" s="7">
        <f t="shared" si="2"/>
        <v>29</v>
      </c>
      <c r="S37" t="e">
        <v>#N/A</v>
      </c>
      <c r="T37" s="7">
        <v>20</v>
      </c>
      <c r="U37" s="7">
        <v>20</v>
      </c>
      <c r="V37" s="7">
        <v>9</v>
      </c>
      <c r="W37" s="7">
        <v>7</v>
      </c>
      <c r="X37" s="7">
        <f t="shared" si="3"/>
        <v>56</v>
      </c>
      <c r="Y37" t="e">
        <v>#N/A</v>
      </c>
      <c r="Z37">
        <v>34830.964414449998</v>
      </c>
      <c r="AA37" t="s">
        <v>91</v>
      </c>
      <c r="AB37">
        <v>60</v>
      </c>
      <c r="AC37">
        <v>0</v>
      </c>
      <c r="AD37" t="s">
        <v>79</v>
      </c>
      <c r="AE37" t="s">
        <v>41</v>
      </c>
      <c r="AF37" t="e">
        <v>#N/A</v>
      </c>
      <c r="AG37" s="8">
        <v>81</v>
      </c>
      <c r="AH37">
        <v>27</v>
      </c>
      <c r="AI37">
        <v>-6</v>
      </c>
      <c r="AJ37">
        <v>0</v>
      </c>
      <c r="AK37">
        <v>0.33333333333333331</v>
      </c>
      <c r="AL37">
        <v>3</v>
      </c>
      <c r="AM37">
        <v>-33</v>
      </c>
      <c r="AN37">
        <v>1</v>
      </c>
      <c r="AO37">
        <v>0.93103448275862066</v>
      </c>
      <c r="AP37">
        <v>0.43548387096774194</v>
      </c>
      <c r="AQ37">
        <v>6.4516129032258063E-2</v>
      </c>
      <c r="AR37">
        <v>0.30645161290322581</v>
      </c>
      <c r="AS37">
        <v>0.5</v>
      </c>
      <c r="AT37">
        <v>0.12903225806451613</v>
      </c>
      <c r="AU37">
        <v>41426.767474449996</v>
      </c>
      <c r="AV37">
        <v>8</v>
      </c>
      <c r="AW37">
        <f t="shared" si="4"/>
        <v>0</v>
      </c>
      <c r="AX37">
        <v>0</v>
      </c>
      <c r="AY37">
        <f t="shared" si="5"/>
        <v>0</v>
      </c>
      <c r="AZ37" t="e">
        <v>#N/A</v>
      </c>
      <c r="BA37">
        <v>1</v>
      </c>
      <c r="BB37">
        <v>2020</v>
      </c>
      <c r="BC37">
        <v>1</v>
      </c>
      <c r="BD37">
        <v>2020</v>
      </c>
      <c r="BE37">
        <v>1</v>
      </c>
      <c r="BF37">
        <v>2020</v>
      </c>
    </row>
    <row r="38" spans="1:58" x14ac:dyDescent="0.2">
      <c r="A38" s="7">
        <v>12</v>
      </c>
      <c r="B38" s="7">
        <v>30</v>
      </c>
      <c r="C38" s="7">
        <v>0</v>
      </c>
      <c r="D38" s="7">
        <v>2</v>
      </c>
      <c r="E38" s="7">
        <f t="shared" si="0"/>
        <v>44</v>
      </c>
      <c r="F38" s="11" t="e">
        <v>#N/A</v>
      </c>
      <c r="G38">
        <v>12</v>
      </c>
      <c r="H38">
        <v>30</v>
      </c>
      <c r="I38">
        <v>0</v>
      </c>
      <c r="J38">
        <v>2</v>
      </c>
      <c r="K38">
        <f t="shared" si="1"/>
        <v>44</v>
      </c>
      <c r="L38" t="e">
        <v>#N/A</v>
      </c>
      <c r="M38">
        <v>7773.5746333600009</v>
      </c>
      <c r="N38" s="7">
        <v>17</v>
      </c>
      <c r="O38" s="7">
        <v>34</v>
      </c>
      <c r="P38" s="7">
        <v>9</v>
      </c>
      <c r="Q38" s="7">
        <v>5</v>
      </c>
      <c r="R38" s="7">
        <f t="shared" si="2"/>
        <v>65</v>
      </c>
      <c r="S38" t="e">
        <v>#N/A</v>
      </c>
      <c r="T38" s="7">
        <v>17</v>
      </c>
      <c r="U38" s="7">
        <v>34</v>
      </c>
      <c r="V38" s="7">
        <v>9</v>
      </c>
      <c r="W38" s="7">
        <v>7</v>
      </c>
      <c r="X38" s="7">
        <f t="shared" si="3"/>
        <v>67</v>
      </c>
      <c r="Y38" t="e">
        <v>#N/A</v>
      </c>
      <c r="Z38">
        <v>32360.69903213</v>
      </c>
      <c r="AA38" t="s">
        <v>91</v>
      </c>
      <c r="AB38">
        <v>61</v>
      </c>
      <c r="AC38">
        <v>0</v>
      </c>
      <c r="AD38" t="s">
        <v>40</v>
      </c>
      <c r="AE38" t="s">
        <v>41</v>
      </c>
      <c r="AF38" t="e">
        <v>#N/A</v>
      </c>
      <c r="AG38" s="8">
        <v>292</v>
      </c>
      <c r="AH38">
        <v>2</v>
      </c>
      <c r="AI38">
        <v>23</v>
      </c>
      <c r="AJ38">
        <v>0</v>
      </c>
      <c r="AK38">
        <v>6.8493150684931503E-3</v>
      </c>
      <c r="AL38">
        <v>0.11704114719613057</v>
      </c>
      <c r="AM38">
        <v>21</v>
      </c>
      <c r="AN38">
        <v>0</v>
      </c>
      <c r="AO38">
        <v>3.0769230769230771E-2</v>
      </c>
      <c r="AP38">
        <v>4.5454545454545456E-2</v>
      </c>
      <c r="AQ38">
        <v>4.5454545454545456E-2</v>
      </c>
      <c r="AR38">
        <v>0.27272727272727271</v>
      </c>
      <c r="AS38">
        <v>0.68181818181818177</v>
      </c>
      <c r="AT38">
        <v>0</v>
      </c>
      <c r="AU38">
        <v>40134.27366549</v>
      </c>
      <c r="AV38">
        <v>9</v>
      </c>
      <c r="AW38">
        <f t="shared" si="4"/>
        <v>0</v>
      </c>
      <c r="AX38">
        <v>0</v>
      </c>
      <c r="AY38">
        <f t="shared" si="5"/>
        <v>0</v>
      </c>
      <c r="AZ38" t="e">
        <v>#N/A</v>
      </c>
      <c r="BA38">
        <v>1</v>
      </c>
      <c r="BB38">
        <v>2020</v>
      </c>
      <c r="BC38">
        <v>1</v>
      </c>
      <c r="BD38">
        <v>2020</v>
      </c>
      <c r="BE38">
        <v>1</v>
      </c>
      <c r="BF38">
        <v>2020</v>
      </c>
    </row>
    <row r="39" spans="1:58" x14ac:dyDescent="0.2">
      <c r="A39" s="7">
        <v>16</v>
      </c>
      <c r="B39" s="7">
        <v>35</v>
      </c>
      <c r="C39" s="7">
        <v>2</v>
      </c>
      <c r="D39" s="7">
        <v>0</v>
      </c>
      <c r="E39" s="7">
        <f t="shared" si="0"/>
        <v>53</v>
      </c>
      <c r="F39" s="11" t="s">
        <v>36</v>
      </c>
      <c r="G39">
        <v>16</v>
      </c>
      <c r="H39">
        <v>35</v>
      </c>
      <c r="I39">
        <v>2</v>
      </c>
      <c r="J39">
        <v>0</v>
      </c>
      <c r="K39">
        <f t="shared" si="1"/>
        <v>53</v>
      </c>
      <c r="L39" t="s">
        <v>36</v>
      </c>
      <c r="M39">
        <v>8852.8982092300012</v>
      </c>
      <c r="N39" s="7">
        <v>16</v>
      </c>
      <c r="O39" s="7">
        <v>35</v>
      </c>
      <c r="P39" s="7">
        <v>2</v>
      </c>
      <c r="Q39" s="7">
        <v>0</v>
      </c>
      <c r="R39" s="7">
        <f t="shared" si="2"/>
        <v>53</v>
      </c>
      <c r="S39" t="s">
        <v>36</v>
      </c>
      <c r="T39" s="7">
        <v>16</v>
      </c>
      <c r="U39" s="7">
        <v>35</v>
      </c>
      <c r="V39" s="7">
        <v>2</v>
      </c>
      <c r="W39" s="7">
        <v>0</v>
      </c>
      <c r="X39" s="7">
        <f t="shared" si="3"/>
        <v>53</v>
      </c>
      <c r="Y39" t="s">
        <v>36</v>
      </c>
      <c r="Z39">
        <v>5179.0391078600014</v>
      </c>
      <c r="AA39" t="s">
        <v>512</v>
      </c>
      <c r="AB39">
        <v>63</v>
      </c>
      <c r="AC39">
        <v>0</v>
      </c>
      <c r="AD39" t="s">
        <v>92</v>
      </c>
      <c r="AE39" t="s">
        <v>41</v>
      </c>
      <c r="AF39" t="e">
        <v>#N/A</v>
      </c>
      <c r="AG39" s="8">
        <v>0</v>
      </c>
      <c r="AH39">
        <v>0</v>
      </c>
      <c r="AI39">
        <v>0</v>
      </c>
      <c r="AJ39">
        <v>0</v>
      </c>
      <c r="AK39" t="e">
        <v>#N/A</v>
      </c>
      <c r="AL39" t="e">
        <v>#N/A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0.30188679245283018</v>
      </c>
      <c r="AS39">
        <v>0.660377358490566</v>
      </c>
      <c r="AT39">
        <v>3.7735849056603772E-2</v>
      </c>
      <c r="AU39">
        <v>14031.937317090003</v>
      </c>
      <c r="AV39">
        <v>9</v>
      </c>
      <c r="AW39">
        <f t="shared" si="4"/>
        <v>0</v>
      </c>
      <c r="AX39">
        <v>0</v>
      </c>
      <c r="AY39">
        <f t="shared" si="5"/>
        <v>0</v>
      </c>
      <c r="AZ39" t="e">
        <v>#N/A</v>
      </c>
      <c r="BA39">
        <v>6</v>
      </c>
      <c r="BB39">
        <v>2019</v>
      </c>
      <c r="BC39">
        <v>6</v>
      </c>
      <c r="BD39">
        <v>2019</v>
      </c>
      <c r="BE39">
        <v>7</v>
      </c>
      <c r="BF39">
        <v>2019</v>
      </c>
    </row>
    <row r="40" spans="1:58" x14ac:dyDescent="0.2">
      <c r="A40" s="7">
        <v>0</v>
      </c>
      <c r="B40" s="7">
        <v>5</v>
      </c>
      <c r="C40" s="7">
        <v>0</v>
      </c>
      <c r="D40" s="7">
        <v>0</v>
      </c>
      <c r="E40" s="7">
        <f t="shared" si="0"/>
        <v>5</v>
      </c>
      <c r="F40" s="11" t="s">
        <v>36</v>
      </c>
      <c r="G40">
        <v>0</v>
      </c>
      <c r="H40">
        <v>0</v>
      </c>
      <c r="I40">
        <v>0</v>
      </c>
      <c r="J40">
        <v>3</v>
      </c>
      <c r="K40">
        <f t="shared" si="1"/>
        <v>3</v>
      </c>
      <c r="L40" t="s">
        <v>36</v>
      </c>
      <c r="M40">
        <v>22241.609434279999</v>
      </c>
      <c r="N40" s="7">
        <v>0</v>
      </c>
      <c r="O40" s="7">
        <v>0</v>
      </c>
      <c r="P40" s="7">
        <v>0</v>
      </c>
      <c r="Q40" s="7">
        <v>0</v>
      </c>
      <c r="R40" s="7">
        <f t="shared" si="2"/>
        <v>0</v>
      </c>
      <c r="S40" t="e">
        <v>#N/A</v>
      </c>
      <c r="T40" s="7">
        <v>0</v>
      </c>
      <c r="U40" s="7">
        <v>0</v>
      </c>
      <c r="V40" s="7">
        <v>0</v>
      </c>
      <c r="W40" s="7">
        <v>0</v>
      </c>
      <c r="X40" s="7">
        <f t="shared" si="3"/>
        <v>0</v>
      </c>
      <c r="Y40" t="e">
        <v>#N/A</v>
      </c>
      <c r="AA40" t="s">
        <v>513</v>
      </c>
      <c r="AB40">
        <v>60</v>
      </c>
      <c r="AC40">
        <v>0</v>
      </c>
      <c r="AD40" t="s">
        <v>93</v>
      </c>
      <c r="AE40" t="s">
        <v>41</v>
      </c>
      <c r="AF40">
        <v>42</v>
      </c>
      <c r="AG40" s="8"/>
      <c r="AH40">
        <v>0</v>
      </c>
      <c r="AI40">
        <v>-5</v>
      </c>
      <c r="AJ40">
        <v>-2</v>
      </c>
      <c r="AK40" t="e">
        <v>#N/A</v>
      </c>
      <c r="AL40" t="e">
        <v>#N/A</v>
      </c>
      <c r="AM40">
        <v>-3</v>
      </c>
      <c r="AN40">
        <v>1</v>
      </c>
      <c r="AO40" t="e">
        <v>#N/A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22241.609434279999</v>
      </c>
      <c r="AV40">
        <v>9</v>
      </c>
      <c r="AW40">
        <f t="shared" si="4"/>
        <v>0</v>
      </c>
      <c r="AX40">
        <v>0</v>
      </c>
      <c r="AY40">
        <f t="shared" si="5"/>
        <v>0</v>
      </c>
      <c r="AZ40">
        <v>0</v>
      </c>
      <c r="BA40">
        <v>3</v>
      </c>
      <c r="BB40">
        <v>2019</v>
      </c>
      <c r="BC40">
        <v>4</v>
      </c>
      <c r="BD40">
        <v>2019</v>
      </c>
      <c r="BE40" t="e">
        <v>#N/A</v>
      </c>
      <c r="BF40" t="e">
        <v>#N/A</v>
      </c>
    </row>
    <row r="41" spans="1:58" x14ac:dyDescent="0.2">
      <c r="A41" s="7">
        <v>10</v>
      </c>
      <c r="B41" s="7">
        <v>30</v>
      </c>
      <c r="C41" s="7">
        <v>1</v>
      </c>
      <c r="D41" s="7">
        <v>2</v>
      </c>
      <c r="E41" s="7">
        <f t="shared" si="0"/>
        <v>43</v>
      </c>
      <c r="F41" s="11" t="s">
        <v>36</v>
      </c>
      <c r="G41">
        <v>10</v>
      </c>
      <c r="H41">
        <v>30</v>
      </c>
      <c r="I41">
        <v>0</v>
      </c>
      <c r="J41">
        <v>3</v>
      </c>
      <c r="K41">
        <f t="shared" si="1"/>
        <v>43</v>
      </c>
      <c r="L41" t="s">
        <v>36</v>
      </c>
      <c r="M41">
        <v>7236.8532399999986</v>
      </c>
      <c r="N41" s="7">
        <v>10</v>
      </c>
      <c r="O41" s="7">
        <v>32</v>
      </c>
      <c r="P41" s="7">
        <v>6</v>
      </c>
      <c r="Q41" s="7">
        <v>4</v>
      </c>
      <c r="R41" s="7">
        <f t="shared" si="2"/>
        <v>52</v>
      </c>
      <c r="S41" t="s">
        <v>36</v>
      </c>
      <c r="T41" s="7">
        <v>20</v>
      </c>
      <c r="U41" s="7">
        <v>32</v>
      </c>
      <c r="V41" s="7">
        <v>9</v>
      </c>
      <c r="W41" s="7">
        <v>4</v>
      </c>
      <c r="X41" s="7">
        <f t="shared" si="3"/>
        <v>65</v>
      </c>
      <c r="Y41" t="s">
        <v>36</v>
      </c>
      <c r="Z41">
        <v>17774.525034509999</v>
      </c>
      <c r="AA41" t="s">
        <v>514</v>
      </c>
      <c r="AB41">
        <v>60</v>
      </c>
      <c r="AC41">
        <v>0</v>
      </c>
      <c r="AD41" t="s">
        <v>73</v>
      </c>
      <c r="AE41" t="s">
        <v>41</v>
      </c>
      <c r="AF41">
        <v>81</v>
      </c>
      <c r="AG41" s="8">
        <v>139</v>
      </c>
      <c r="AH41">
        <v>13</v>
      </c>
      <c r="AI41">
        <v>22</v>
      </c>
      <c r="AJ41">
        <v>0</v>
      </c>
      <c r="AK41">
        <v>9.3525179856115109E-2</v>
      </c>
      <c r="AL41">
        <v>1.1026456085839622</v>
      </c>
      <c r="AM41">
        <v>9</v>
      </c>
      <c r="AN41">
        <v>0</v>
      </c>
      <c r="AO41">
        <v>0.25</v>
      </c>
      <c r="AP41">
        <v>0.30232558139534882</v>
      </c>
      <c r="AQ41">
        <v>4.6511627906976744E-2</v>
      </c>
      <c r="AR41">
        <v>0.23255813953488372</v>
      </c>
      <c r="AS41">
        <v>0.69767441860465118</v>
      </c>
      <c r="AT41">
        <v>2.3255813953488372E-2</v>
      </c>
      <c r="AU41">
        <v>25011.378274509996</v>
      </c>
      <c r="AV41">
        <v>4</v>
      </c>
      <c r="AW41">
        <f t="shared" si="4"/>
        <v>0</v>
      </c>
      <c r="AX41">
        <v>0</v>
      </c>
      <c r="AY41">
        <f t="shared" si="5"/>
        <v>0</v>
      </c>
      <c r="AZ41">
        <v>0</v>
      </c>
      <c r="BA41">
        <v>1</v>
      </c>
      <c r="BB41">
        <v>2019</v>
      </c>
      <c r="BC41">
        <v>3</v>
      </c>
      <c r="BD41">
        <v>2019</v>
      </c>
      <c r="BE41">
        <v>1</v>
      </c>
      <c r="BF41">
        <v>2019</v>
      </c>
    </row>
    <row r="42" spans="1:58" x14ac:dyDescent="0.2">
      <c r="A42" s="7">
        <v>5</v>
      </c>
      <c r="B42" s="7">
        <v>10</v>
      </c>
      <c r="C42" s="7">
        <v>4</v>
      </c>
      <c r="D42" s="7">
        <v>8</v>
      </c>
      <c r="E42" s="7">
        <f t="shared" si="0"/>
        <v>27</v>
      </c>
      <c r="F42" s="11" t="s">
        <v>36</v>
      </c>
      <c r="G42">
        <v>5</v>
      </c>
      <c r="H42">
        <v>10</v>
      </c>
      <c r="I42">
        <v>4</v>
      </c>
      <c r="J42">
        <v>8</v>
      </c>
      <c r="K42">
        <f t="shared" si="1"/>
        <v>27</v>
      </c>
      <c r="L42" t="s">
        <v>36</v>
      </c>
      <c r="M42">
        <v>7208.5912210000006</v>
      </c>
      <c r="N42" s="7">
        <v>6</v>
      </c>
      <c r="O42" s="7">
        <v>15</v>
      </c>
      <c r="P42" s="7">
        <v>0</v>
      </c>
      <c r="Q42" s="7">
        <v>3</v>
      </c>
      <c r="R42" s="7">
        <f t="shared" si="2"/>
        <v>24</v>
      </c>
      <c r="S42" t="e">
        <v>#N/A</v>
      </c>
      <c r="T42" s="7">
        <v>18</v>
      </c>
      <c r="U42" s="7">
        <v>26</v>
      </c>
      <c r="V42" s="7">
        <v>7</v>
      </c>
      <c r="W42" s="7">
        <v>7</v>
      </c>
      <c r="X42" s="7">
        <f t="shared" si="3"/>
        <v>58</v>
      </c>
      <c r="Y42" t="e">
        <v>#N/A</v>
      </c>
      <c r="Z42">
        <v>56949.48440442</v>
      </c>
      <c r="AA42" t="s">
        <v>94</v>
      </c>
      <c r="AB42">
        <v>55</v>
      </c>
      <c r="AC42">
        <v>0</v>
      </c>
      <c r="AD42" t="s">
        <v>79</v>
      </c>
      <c r="AE42" t="s">
        <v>41</v>
      </c>
      <c r="AF42" t="e">
        <v>#N/A</v>
      </c>
      <c r="AG42" s="8">
        <v>276</v>
      </c>
      <c r="AH42">
        <v>34</v>
      </c>
      <c r="AI42">
        <v>31</v>
      </c>
      <c r="AJ42">
        <v>0</v>
      </c>
      <c r="AK42">
        <v>0.12318840579710146</v>
      </c>
      <c r="AL42">
        <v>2.0465595024580763</v>
      </c>
      <c r="AM42">
        <v>-3</v>
      </c>
      <c r="AN42">
        <v>1</v>
      </c>
      <c r="AO42">
        <v>1.4166666666666667</v>
      </c>
      <c r="AP42">
        <v>1.2592592592592593</v>
      </c>
      <c r="AQ42">
        <v>0.29629629629629628</v>
      </c>
      <c r="AR42">
        <v>0.18518518518518517</v>
      </c>
      <c r="AS42">
        <v>0.37037037037037035</v>
      </c>
      <c r="AT42">
        <v>0.14814814814814814</v>
      </c>
      <c r="AU42">
        <v>64158.075625420002</v>
      </c>
      <c r="AV42">
        <v>6</v>
      </c>
      <c r="AW42">
        <f t="shared" si="4"/>
        <v>0</v>
      </c>
      <c r="AX42">
        <v>0</v>
      </c>
      <c r="AY42">
        <f t="shared" si="5"/>
        <v>0</v>
      </c>
      <c r="AZ42" t="e">
        <v>#N/A</v>
      </c>
      <c r="BA42">
        <v>9</v>
      </c>
      <c r="BB42">
        <v>2020</v>
      </c>
      <c r="BC42">
        <v>9</v>
      </c>
      <c r="BD42">
        <v>2020</v>
      </c>
      <c r="BE42">
        <v>1</v>
      </c>
      <c r="BF42">
        <v>2020</v>
      </c>
    </row>
    <row r="43" spans="1:58" x14ac:dyDescent="0.2">
      <c r="A43" s="7">
        <v>8</v>
      </c>
      <c r="B43" s="7">
        <v>7</v>
      </c>
      <c r="C43" s="7">
        <v>4</v>
      </c>
      <c r="D43" s="7">
        <v>0</v>
      </c>
      <c r="E43" s="7">
        <f t="shared" si="0"/>
        <v>19</v>
      </c>
      <c r="F43" s="11" t="s">
        <v>66</v>
      </c>
      <c r="G43">
        <v>8</v>
      </c>
      <c r="H43">
        <v>7</v>
      </c>
      <c r="I43">
        <v>4</v>
      </c>
      <c r="J43">
        <v>0</v>
      </c>
      <c r="K43">
        <f t="shared" si="1"/>
        <v>19</v>
      </c>
      <c r="L43" t="s">
        <v>66</v>
      </c>
      <c r="M43">
        <v>83990.931180900006</v>
      </c>
      <c r="N43" s="7">
        <v>8</v>
      </c>
      <c r="O43" s="7">
        <v>7</v>
      </c>
      <c r="P43" s="7">
        <v>4</v>
      </c>
      <c r="Q43" s="7">
        <v>0</v>
      </c>
      <c r="R43" s="7">
        <f t="shared" si="2"/>
        <v>19</v>
      </c>
      <c r="S43" t="s">
        <v>66</v>
      </c>
      <c r="T43" s="7">
        <v>11</v>
      </c>
      <c r="U43" s="7">
        <v>7</v>
      </c>
      <c r="V43" s="7">
        <v>2</v>
      </c>
      <c r="W43" s="7">
        <v>4</v>
      </c>
      <c r="X43" s="7">
        <f t="shared" si="3"/>
        <v>24</v>
      </c>
      <c r="Y43" t="s">
        <v>66</v>
      </c>
      <c r="Z43">
        <v>32765.547559639999</v>
      </c>
      <c r="AA43" t="s">
        <v>515</v>
      </c>
      <c r="AB43" t="e">
        <v>#N/A</v>
      </c>
      <c r="AF43" t="e">
        <v>#N/A</v>
      </c>
      <c r="AG43" s="8">
        <v>124</v>
      </c>
      <c r="AH43">
        <v>5</v>
      </c>
      <c r="AI43">
        <v>5</v>
      </c>
      <c r="AJ43">
        <v>0</v>
      </c>
      <c r="AK43">
        <v>4.0322580645161289E-2</v>
      </c>
      <c r="AL43">
        <v>0.44901325506693729</v>
      </c>
      <c r="AM43">
        <v>0</v>
      </c>
      <c r="AN43">
        <v>0</v>
      </c>
      <c r="AO43">
        <v>0.26315789473684209</v>
      </c>
      <c r="AP43">
        <v>0.26315789473684209</v>
      </c>
      <c r="AQ43">
        <v>0</v>
      </c>
      <c r="AR43">
        <v>0.42105263157894735</v>
      </c>
      <c r="AS43">
        <v>0.36842105263157893</v>
      </c>
      <c r="AT43">
        <v>0.21052631578947367</v>
      </c>
      <c r="AU43">
        <v>116756.47874054001</v>
      </c>
      <c r="AV43" t="s">
        <v>489</v>
      </c>
      <c r="AW43" t="str">
        <f t="shared" si="4"/>
        <v>n/a</v>
      </c>
      <c r="AY43" t="e">
        <f t="shared" si="5"/>
        <v>#N/A</v>
      </c>
      <c r="AZ43" t="e">
        <v>#N/A</v>
      </c>
      <c r="BA43">
        <v>10</v>
      </c>
      <c r="BB43">
        <v>2018</v>
      </c>
      <c r="BC43">
        <v>10</v>
      </c>
      <c r="BD43">
        <v>2018</v>
      </c>
      <c r="BE43">
        <v>8</v>
      </c>
      <c r="BF43">
        <v>2018</v>
      </c>
    </row>
    <row r="44" spans="1:58" x14ac:dyDescent="0.2">
      <c r="A44" s="7">
        <v>20</v>
      </c>
      <c r="B44" s="7">
        <v>24</v>
      </c>
      <c r="C44" s="7">
        <v>6</v>
      </c>
      <c r="D44" s="7">
        <v>6</v>
      </c>
      <c r="E44" s="7">
        <f t="shared" si="0"/>
        <v>56</v>
      </c>
      <c r="F44" s="11" t="s">
        <v>36</v>
      </c>
      <c r="G44">
        <v>13</v>
      </c>
      <c r="H44">
        <v>10</v>
      </c>
      <c r="I44">
        <v>0</v>
      </c>
      <c r="J44">
        <v>3</v>
      </c>
      <c r="K44">
        <f t="shared" si="1"/>
        <v>26</v>
      </c>
      <c r="L44" t="s">
        <v>36</v>
      </c>
      <c r="M44">
        <v>11718.54011444</v>
      </c>
      <c r="N44" s="7">
        <v>13</v>
      </c>
      <c r="O44" s="7">
        <v>10</v>
      </c>
      <c r="P44" s="7">
        <v>0</v>
      </c>
      <c r="Q44" s="7">
        <v>3</v>
      </c>
      <c r="R44" s="7">
        <f t="shared" si="2"/>
        <v>26</v>
      </c>
      <c r="S44" t="s">
        <v>36</v>
      </c>
      <c r="T44" s="7">
        <v>19</v>
      </c>
      <c r="U44" s="7">
        <v>25</v>
      </c>
      <c r="V44" s="7">
        <v>9</v>
      </c>
      <c r="W44" s="7">
        <v>7</v>
      </c>
      <c r="X44" s="7">
        <f t="shared" si="3"/>
        <v>60</v>
      </c>
      <c r="Y44" t="s">
        <v>36</v>
      </c>
      <c r="Z44">
        <v>34487.446478680002</v>
      </c>
      <c r="AA44" t="s">
        <v>516</v>
      </c>
      <c r="AB44" t="e">
        <v>#N/A</v>
      </c>
      <c r="AF44">
        <v>77</v>
      </c>
      <c r="AG44" s="8">
        <v>99</v>
      </c>
      <c r="AH44">
        <v>34</v>
      </c>
      <c r="AI44">
        <v>4</v>
      </c>
      <c r="AJ44">
        <v>-30</v>
      </c>
      <c r="AK44">
        <v>0.34343434343434343</v>
      </c>
      <c r="AL44">
        <v>3.4171285718813209</v>
      </c>
      <c r="AM44">
        <v>0</v>
      </c>
      <c r="AN44">
        <v>0</v>
      </c>
      <c r="AO44">
        <v>1.3076923076923077</v>
      </c>
      <c r="AP44">
        <v>0.6071428571428571</v>
      </c>
      <c r="AQ44">
        <v>0.10714285714285714</v>
      </c>
      <c r="AR44">
        <v>0.35714285714285715</v>
      </c>
      <c r="AS44">
        <v>0.42857142857142855</v>
      </c>
      <c r="AT44">
        <v>0.10714285714285714</v>
      </c>
      <c r="AU44">
        <v>46205.986593120004</v>
      </c>
      <c r="AV44" t="s">
        <v>489</v>
      </c>
      <c r="AW44" t="str">
        <f t="shared" si="4"/>
        <v>n/a</v>
      </c>
      <c r="AY44" t="e">
        <f t="shared" si="5"/>
        <v>#N/A</v>
      </c>
      <c r="AZ44" t="e">
        <v>#N/A</v>
      </c>
      <c r="BA44">
        <v>1</v>
      </c>
      <c r="BB44">
        <v>2018</v>
      </c>
      <c r="BC44">
        <v>3</v>
      </c>
      <c r="BD44">
        <v>2018</v>
      </c>
      <c r="BE44">
        <v>3</v>
      </c>
      <c r="BF44">
        <v>2018</v>
      </c>
    </row>
    <row r="45" spans="1:58" x14ac:dyDescent="0.2">
      <c r="A45" s="7">
        <v>0</v>
      </c>
      <c r="B45" s="7">
        <v>0</v>
      </c>
      <c r="C45" s="7">
        <v>0</v>
      </c>
      <c r="D45" s="7">
        <v>0</v>
      </c>
      <c r="E45" s="7">
        <f t="shared" si="0"/>
        <v>0</v>
      </c>
      <c r="F45" s="11" t="e">
        <v>#N/A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 t="e">
        <v>#N/A</v>
      </c>
      <c r="N45" s="7">
        <v>19</v>
      </c>
      <c r="O45" s="7">
        <v>17</v>
      </c>
      <c r="P45" s="7">
        <v>9</v>
      </c>
      <c r="Q45" s="7">
        <v>7</v>
      </c>
      <c r="R45" s="7">
        <f t="shared" si="2"/>
        <v>52</v>
      </c>
      <c r="S45" t="s">
        <v>36</v>
      </c>
      <c r="T45" s="7">
        <v>8</v>
      </c>
      <c r="U45" s="7">
        <v>16</v>
      </c>
      <c r="V45" s="7">
        <v>0</v>
      </c>
      <c r="W45" s="7">
        <v>3</v>
      </c>
      <c r="X45" s="7">
        <f t="shared" si="3"/>
        <v>27</v>
      </c>
      <c r="Y45" t="s">
        <v>36</v>
      </c>
      <c r="Z45">
        <v>38696.630064049998</v>
      </c>
      <c r="AA45" t="s">
        <v>517</v>
      </c>
      <c r="AB45">
        <v>59</v>
      </c>
      <c r="AC45">
        <v>0</v>
      </c>
      <c r="AD45" t="s">
        <v>79</v>
      </c>
      <c r="AE45" t="s">
        <v>41</v>
      </c>
      <c r="AF45" t="e">
        <v>#N/A</v>
      </c>
      <c r="AG45" s="8">
        <v>112</v>
      </c>
      <c r="AH45">
        <v>-25</v>
      </c>
      <c r="AI45">
        <v>27</v>
      </c>
      <c r="AJ45">
        <v>0</v>
      </c>
      <c r="AK45">
        <v>-0.22321428571428573</v>
      </c>
      <c r="AL45">
        <v>-2.3622779563076701</v>
      </c>
      <c r="AM45">
        <v>52</v>
      </c>
      <c r="AN45">
        <v>0</v>
      </c>
      <c r="AO45">
        <v>-0.48076923076923078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>
        <v>38696.630064049998</v>
      </c>
      <c r="AV45">
        <v>6</v>
      </c>
      <c r="AW45">
        <f t="shared" si="4"/>
        <v>0</v>
      </c>
      <c r="AX45">
        <v>0</v>
      </c>
      <c r="AY45">
        <f t="shared" si="5"/>
        <v>0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>
        <v>8</v>
      </c>
      <c r="BF45">
        <v>2019</v>
      </c>
    </row>
    <row r="46" spans="1:58" x14ac:dyDescent="0.2">
      <c r="A46" s="7">
        <v>1</v>
      </c>
      <c r="B46" s="7">
        <v>15</v>
      </c>
      <c r="C46" s="7">
        <v>0</v>
      </c>
      <c r="D46" s="7">
        <v>0</v>
      </c>
      <c r="E46" s="7">
        <f t="shared" si="0"/>
        <v>16</v>
      </c>
      <c r="F46" s="11" t="s">
        <v>36</v>
      </c>
      <c r="G46">
        <v>1</v>
      </c>
      <c r="H46">
        <v>15</v>
      </c>
      <c r="I46">
        <v>0</v>
      </c>
      <c r="J46">
        <v>0</v>
      </c>
      <c r="K46">
        <f t="shared" si="1"/>
        <v>16</v>
      </c>
      <c r="L46" t="s">
        <v>36</v>
      </c>
      <c r="M46">
        <v>10406.22101972</v>
      </c>
      <c r="N46" s="7">
        <v>1</v>
      </c>
      <c r="O46" s="7">
        <v>15</v>
      </c>
      <c r="P46" s="7">
        <v>0</v>
      </c>
      <c r="Q46" s="7">
        <v>0</v>
      </c>
      <c r="R46" s="7">
        <f t="shared" si="2"/>
        <v>16</v>
      </c>
      <c r="S46" t="s">
        <v>36</v>
      </c>
      <c r="T46" s="7">
        <v>1</v>
      </c>
      <c r="U46" s="7">
        <v>15</v>
      </c>
      <c r="V46" s="7">
        <v>0</v>
      </c>
      <c r="W46" s="7">
        <v>0</v>
      </c>
      <c r="X46" s="7">
        <f t="shared" si="3"/>
        <v>16</v>
      </c>
      <c r="Y46" t="s">
        <v>36</v>
      </c>
      <c r="Z46">
        <v>3391.79794786</v>
      </c>
      <c r="AA46" t="s">
        <v>518</v>
      </c>
      <c r="AB46">
        <v>55</v>
      </c>
      <c r="AC46">
        <v>0</v>
      </c>
      <c r="AD46" t="s">
        <v>95</v>
      </c>
      <c r="AE46" t="s">
        <v>41</v>
      </c>
      <c r="AF46" t="e">
        <v>#N/A</v>
      </c>
      <c r="AG46" s="8">
        <v>0</v>
      </c>
      <c r="AH46">
        <v>0</v>
      </c>
      <c r="AI46">
        <v>0</v>
      </c>
      <c r="AJ46">
        <v>0</v>
      </c>
      <c r="AK46" t="e">
        <v>#N/A</v>
      </c>
      <c r="AL46" t="e">
        <v>#N/A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6.25E-2</v>
      </c>
      <c r="AS46">
        <v>0.9375</v>
      </c>
      <c r="AT46">
        <v>0</v>
      </c>
      <c r="AU46">
        <v>13798.018967579999</v>
      </c>
      <c r="AV46">
        <v>5</v>
      </c>
      <c r="AW46">
        <f t="shared" si="4"/>
        <v>0</v>
      </c>
      <c r="AX46">
        <v>0</v>
      </c>
      <c r="AY46">
        <f t="shared" si="5"/>
        <v>0</v>
      </c>
      <c r="AZ46" t="e">
        <v>#N/A</v>
      </c>
      <c r="BA46">
        <v>8</v>
      </c>
      <c r="BB46">
        <v>2019</v>
      </c>
      <c r="BC46">
        <v>8</v>
      </c>
      <c r="BD46">
        <v>2019</v>
      </c>
      <c r="BE46">
        <v>3</v>
      </c>
      <c r="BF46">
        <v>2019</v>
      </c>
    </row>
    <row r="47" spans="1:58" x14ac:dyDescent="0.2">
      <c r="A47" s="7">
        <v>16</v>
      </c>
      <c r="B47" s="7">
        <v>16</v>
      </c>
      <c r="C47" s="7">
        <v>8</v>
      </c>
      <c r="D47" s="7">
        <v>7</v>
      </c>
      <c r="E47" s="7">
        <f t="shared" si="0"/>
        <v>47</v>
      </c>
      <c r="F47" s="11" t="s">
        <v>36</v>
      </c>
      <c r="G47">
        <v>16</v>
      </c>
      <c r="H47">
        <v>16</v>
      </c>
      <c r="I47">
        <v>8</v>
      </c>
      <c r="J47">
        <v>7</v>
      </c>
      <c r="K47">
        <f t="shared" si="1"/>
        <v>47</v>
      </c>
      <c r="L47" t="s">
        <v>36</v>
      </c>
      <c r="M47">
        <v>6385.7212870200001</v>
      </c>
      <c r="N47" s="7">
        <v>7</v>
      </c>
      <c r="O47" s="7">
        <v>15</v>
      </c>
      <c r="P47" s="7">
        <v>2</v>
      </c>
      <c r="Q47" s="7">
        <v>3</v>
      </c>
      <c r="R47" s="7">
        <f t="shared" si="2"/>
        <v>27</v>
      </c>
      <c r="S47" t="s">
        <v>36</v>
      </c>
      <c r="T47" s="7">
        <v>12</v>
      </c>
      <c r="U47" s="7">
        <v>15</v>
      </c>
      <c r="V47" s="7">
        <v>1</v>
      </c>
      <c r="W47" s="7">
        <v>6</v>
      </c>
      <c r="X47" s="7">
        <f t="shared" si="3"/>
        <v>34</v>
      </c>
      <c r="Y47" t="e">
        <v>#N/A</v>
      </c>
      <c r="Z47">
        <v>47718.607750540003</v>
      </c>
      <c r="AA47" t="s">
        <v>96</v>
      </c>
      <c r="AB47">
        <v>70</v>
      </c>
      <c r="AC47">
        <v>0</v>
      </c>
      <c r="AD47" t="s">
        <v>79</v>
      </c>
      <c r="AE47" t="s">
        <v>75</v>
      </c>
      <c r="AF47" t="e">
        <v>#N/A</v>
      </c>
      <c r="AG47" s="8">
        <v>56</v>
      </c>
      <c r="AH47">
        <v>7</v>
      </c>
      <c r="AI47">
        <v>-13</v>
      </c>
      <c r="AJ47">
        <v>0</v>
      </c>
      <c r="AK47">
        <v>0.125</v>
      </c>
      <c r="AL47">
        <v>0.93541434669348533</v>
      </c>
      <c r="AM47">
        <v>-20</v>
      </c>
      <c r="AN47">
        <v>1</v>
      </c>
      <c r="AO47">
        <v>0.25925925925925924</v>
      </c>
      <c r="AP47">
        <v>0.14893617021276595</v>
      </c>
      <c r="AQ47">
        <v>0.14893617021276595</v>
      </c>
      <c r="AR47">
        <v>0.34042553191489361</v>
      </c>
      <c r="AS47">
        <v>0.34042553191489361</v>
      </c>
      <c r="AT47">
        <v>0.1702127659574468</v>
      </c>
      <c r="AU47">
        <v>54104.329037560005</v>
      </c>
      <c r="AV47">
        <v>9</v>
      </c>
      <c r="AW47">
        <f t="shared" si="4"/>
        <v>0</v>
      </c>
      <c r="AX47">
        <v>0</v>
      </c>
      <c r="AY47">
        <f t="shared" si="5"/>
        <v>0</v>
      </c>
      <c r="AZ47" t="e">
        <v>#N/A</v>
      </c>
      <c r="BA47">
        <v>8</v>
      </c>
      <c r="BB47">
        <v>2020</v>
      </c>
      <c r="BC47">
        <v>8</v>
      </c>
      <c r="BD47">
        <v>2020</v>
      </c>
      <c r="BE47">
        <v>1</v>
      </c>
      <c r="BF47">
        <v>2020</v>
      </c>
    </row>
    <row r="48" spans="1:58" x14ac:dyDescent="0.2">
      <c r="A48" s="7">
        <v>8</v>
      </c>
      <c r="B48" s="7">
        <v>29</v>
      </c>
      <c r="C48" s="7">
        <v>6</v>
      </c>
      <c r="D48" s="7">
        <v>5</v>
      </c>
      <c r="E48" s="7">
        <f t="shared" si="0"/>
        <v>48</v>
      </c>
      <c r="F48" s="11" t="s">
        <v>36</v>
      </c>
      <c r="G48">
        <v>8</v>
      </c>
      <c r="H48">
        <v>26</v>
      </c>
      <c r="I48">
        <v>2</v>
      </c>
      <c r="J48">
        <v>0</v>
      </c>
      <c r="K48">
        <f t="shared" si="1"/>
        <v>36</v>
      </c>
      <c r="L48" t="e">
        <v>#N/A</v>
      </c>
      <c r="M48">
        <v>30851.736541999999</v>
      </c>
      <c r="N48" s="7">
        <v>20</v>
      </c>
      <c r="O48" s="7">
        <v>33</v>
      </c>
      <c r="P48" s="7">
        <v>9</v>
      </c>
      <c r="Q48" s="7">
        <v>7</v>
      </c>
      <c r="R48" s="7">
        <f t="shared" si="2"/>
        <v>69</v>
      </c>
      <c r="S48" t="s">
        <v>36</v>
      </c>
      <c r="T48" s="7">
        <v>20</v>
      </c>
      <c r="U48" s="7">
        <v>33</v>
      </c>
      <c r="V48" s="7">
        <v>9</v>
      </c>
      <c r="W48" s="7">
        <v>7</v>
      </c>
      <c r="X48" s="7">
        <f t="shared" si="3"/>
        <v>69</v>
      </c>
      <c r="Y48" t="s">
        <v>36</v>
      </c>
      <c r="Z48">
        <v>9462.5774500000007</v>
      </c>
      <c r="AA48" t="s">
        <v>519</v>
      </c>
      <c r="AB48">
        <v>60</v>
      </c>
      <c r="AC48">
        <v>40</v>
      </c>
      <c r="AD48" t="s">
        <v>97</v>
      </c>
      <c r="AE48" t="s">
        <v>41</v>
      </c>
      <c r="AF48">
        <v>313</v>
      </c>
      <c r="AG48" s="8">
        <v>60</v>
      </c>
      <c r="AH48">
        <v>0</v>
      </c>
      <c r="AI48">
        <v>21</v>
      </c>
      <c r="AJ48">
        <v>-12</v>
      </c>
      <c r="AK48">
        <v>0</v>
      </c>
      <c r="AL48">
        <v>0</v>
      </c>
      <c r="AM48">
        <v>33</v>
      </c>
      <c r="AN48">
        <v>0</v>
      </c>
      <c r="AO48">
        <v>0</v>
      </c>
      <c r="AP48">
        <v>0</v>
      </c>
      <c r="AQ48">
        <v>0.10416666666666667</v>
      </c>
      <c r="AR48">
        <v>0.16666666666666666</v>
      </c>
      <c r="AS48">
        <v>0.60416666666666663</v>
      </c>
      <c r="AT48">
        <v>0.125</v>
      </c>
      <c r="AU48">
        <v>40314.313991999996</v>
      </c>
      <c r="AV48">
        <v>6</v>
      </c>
      <c r="AW48">
        <f t="shared" si="4"/>
        <v>0</v>
      </c>
      <c r="AX48">
        <v>40</v>
      </c>
      <c r="AY48">
        <f t="shared" si="5"/>
        <v>1</v>
      </c>
      <c r="AZ48">
        <v>0.12779552715654952</v>
      </c>
      <c r="BA48">
        <v>1</v>
      </c>
      <c r="BB48">
        <v>2019</v>
      </c>
      <c r="BC48">
        <v>11</v>
      </c>
      <c r="BD48">
        <v>2019</v>
      </c>
      <c r="BE48">
        <v>1</v>
      </c>
      <c r="BF48">
        <v>2020</v>
      </c>
    </row>
    <row r="49" spans="1:58" x14ac:dyDescent="0.2">
      <c r="A49" s="7">
        <v>0</v>
      </c>
      <c r="B49" s="7">
        <v>0</v>
      </c>
      <c r="C49" s="7">
        <v>0</v>
      </c>
      <c r="D49" s="7">
        <v>0</v>
      </c>
      <c r="E49" s="7">
        <f t="shared" si="0"/>
        <v>0</v>
      </c>
      <c r="F49" s="11" t="s">
        <v>36</v>
      </c>
      <c r="G49">
        <v>1</v>
      </c>
      <c r="H49">
        <v>17</v>
      </c>
      <c r="I49">
        <v>0</v>
      </c>
      <c r="J49">
        <v>0</v>
      </c>
      <c r="K49">
        <f t="shared" si="1"/>
        <v>18</v>
      </c>
      <c r="L49" t="s">
        <v>36</v>
      </c>
      <c r="M49">
        <v>49948.094390170008</v>
      </c>
      <c r="N49" s="7">
        <v>0</v>
      </c>
      <c r="O49" s="7">
        <v>17</v>
      </c>
      <c r="P49" s="7">
        <v>0</v>
      </c>
      <c r="Q49" s="7">
        <v>3</v>
      </c>
      <c r="R49" s="7">
        <f t="shared" si="2"/>
        <v>20</v>
      </c>
      <c r="S49" t="s">
        <v>42</v>
      </c>
      <c r="T49" s="7">
        <v>0</v>
      </c>
      <c r="U49" s="7">
        <v>19</v>
      </c>
      <c r="V49" s="7">
        <v>0</v>
      </c>
      <c r="W49" s="7">
        <v>3</v>
      </c>
      <c r="X49" s="7">
        <f t="shared" si="3"/>
        <v>22</v>
      </c>
      <c r="Y49" t="s">
        <v>42</v>
      </c>
      <c r="Z49">
        <v>69868.720661160012</v>
      </c>
      <c r="AA49" t="s">
        <v>520</v>
      </c>
      <c r="AB49">
        <v>65</v>
      </c>
      <c r="AC49">
        <v>455</v>
      </c>
      <c r="AD49" t="s">
        <v>98</v>
      </c>
      <c r="AE49" t="s">
        <v>41</v>
      </c>
      <c r="AF49">
        <v>130</v>
      </c>
      <c r="AG49" s="8">
        <v>190</v>
      </c>
      <c r="AH49">
        <v>2</v>
      </c>
      <c r="AI49">
        <v>22</v>
      </c>
      <c r="AJ49">
        <v>18</v>
      </c>
      <c r="AK49">
        <v>1.0526315789473684E-2</v>
      </c>
      <c r="AL49">
        <v>0.14509525002200233</v>
      </c>
      <c r="AM49">
        <v>2</v>
      </c>
      <c r="AN49">
        <v>0</v>
      </c>
      <c r="AO49">
        <v>0.1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>
        <v>119816.81505133002</v>
      </c>
      <c r="AV49">
        <v>17</v>
      </c>
      <c r="AW49">
        <f t="shared" si="4"/>
        <v>1</v>
      </c>
      <c r="AX49">
        <v>455</v>
      </c>
      <c r="AY49">
        <f t="shared" si="5"/>
        <v>1</v>
      </c>
      <c r="AZ49">
        <v>3.5</v>
      </c>
      <c r="BA49">
        <v>1</v>
      </c>
      <c r="BB49">
        <v>2019</v>
      </c>
      <c r="BC49">
        <v>5</v>
      </c>
      <c r="BD49">
        <v>2019</v>
      </c>
      <c r="BE49">
        <v>2</v>
      </c>
      <c r="BF49">
        <v>2019</v>
      </c>
    </row>
    <row r="50" spans="1:58" x14ac:dyDescent="0.2">
      <c r="A50" s="7">
        <v>8</v>
      </c>
      <c r="B50" s="7">
        <v>21</v>
      </c>
      <c r="C50" s="7">
        <v>0</v>
      </c>
      <c r="D50" s="7">
        <v>2</v>
      </c>
      <c r="E50" s="7">
        <f t="shared" si="0"/>
        <v>31</v>
      </c>
      <c r="F50" s="11" t="s">
        <v>36</v>
      </c>
      <c r="G50">
        <v>6</v>
      </c>
      <c r="H50">
        <v>21</v>
      </c>
      <c r="I50">
        <v>0</v>
      </c>
      <c r="J50">
        <v>0</v>
      </c>
      <c r="K50">
        <f t="shared" si="1"/>
        <v>27</v>
      </c>
      <c r="L50" t="s">
        <v>36</v>
      </c>
      <c r="M50">
        <v>20748.29818269</v>
      </c>
      <c r="N50" s="7">
        <v>19</v>
      </c>
      <c r="O50" s="7">
        <v>33</v>
      </c>
      <c r="P50" s="7">
        <v>8</v>
      </c>
      <c r="Q50" s="7">
        <v>8</v>
      </c>
      <c r="R50" s="7">
        <f t="shared" si="2"/>
        <v>68</v>
      </c>
      <c r="S50" t="s">
        <v>36</v>
      </c>
      <c r="T50" s="7">
        <v>8</v>
      </c>
      <c r="U50" s="7">
        <v>21</v>
      </c>
      <c r="V50" s="7">
        <v>0</v>
      </c>
      <c r="W50" s="7">
        <v>2</v>
      </c>
      <c r="X50" s="7">
        <f t="shared" si="3"/>
        <v>31</v>
      </c>
      <c r="Y50" t="s">
        <v>36</v>
      </c>
      <c r="Z50">
        <v>30590.604407890001</v>
      </c>
      <c r="AA50" t="s">
        <v>521</v>
      </c>
      <c r="AB50" t="e">
        <v>#N/A</v>
      </c>
      <c r="AF50">
        <v>170</v>
      </c>
      <c r="AG50" s="8">
        <v>109</v>
      </c>
      <c r="AH50">
        <v>-37</v>
      </c>
      <c r="AI50">
        <v>0</v>
      </c>
      <c r="AJ50">
        <v>-4</v>
      </c>
      <c r="AK50">
        <v>-0.33944954128440369</v>
      </c>
      <c r="AL50">
        <v>-3.5439572553182601</v>
      </c>
      <c r="AM50">
        <v>41</v>
      </c>
      <c r="AN50">
        <v>0</v>
      </c>
      <c r="AO50">
        <v>-0.54411764705882348</v>
      </c>
      <c r="AP50">
        <v>-1.1935483870967742</v>
      </c>
      <c r="AQ50">
        <v>6.4516129032258063E-2</v>
      </c>
      <c r="AR50">
        <v>0.25806451612903225</v>
      </c>
      <c r="AS50">
        <v>0.67741935483870963</v>
      </c>
      <c r="AT50">
        <v>0</v>
      </c>
      <c r="AU50">
        <v>51338.902590580001</v>
      </c>
      <c r="AV50" t="s">
        <v>489</v>
      </c>
      <c r="AW50" t="str">
        <f t="shared" si="4"/>
        <v>n/a</v>
      </c>
      <c r="AY50" t="e">
        <f t="shared" si="5"/>
        <v>#N/A</v>
      </c>
      <c r="AZ50" t="e">
        <v>#N/A</v>
      </c>
      <c r="BA50">
        <v>1</v>
      </c>
      <c r="BB50">
        <v>2018</v>
      </c>
      <c r="BC50">
        <v>6</v>
      </c>
      <c r="BD50">
        <v>2018</v>
      </c>
      <c r="BE50">
        <v>8</v>
      </c>
      <c r="BF50">
        <v>2018</v>
      </c>
    </row>
    <row r="51" spans="1:58" x14ac:dyDescent="0.2">
      <c r="A51" s="7">
        <v>11</v>
      </c>
      <c r="B51" s="7">
        <v>24</v>
      </c>
      <c r="C51" s="7">
        <v>0</v>
      </c>
      <c r="D51" s="7">
        <v>0</v>
      </c>
      <c r="E51" s="7">
        <f t="shared" si="0"/>
        <v>35</v>
      </c>
      <c r="F51" s="11" t="s">
        <v>39</v>
      </c>
      <c r="G51">
        <v>11</v>
      </c>
      <c r="H51">
        <v>24</v>
      </c>
      <c r="I51">
        <v>0</v>
      </c>
      <c r="J51">
        <v>0</v>
      </c>
      <c r="K51">
        <f t="shared" si="1"/>
        <v>35</v>
      </c>
      <c r="L51" t="s">
        <v>39</v>
      </c>
      <c r="M51">
        <v>15665.6871882</v>
      </c>
      <c r="N51" s="7">
        <v>11</v>
      </c>
      <c r="O51" s="7">
        <v>24</v>
      </c>
      <c r="P51" s="7">
        <v>0</v>
      </c>
      <c r="Q51" s="7">
        <v>5</v>
      </c>
      <c r="R51" s="7">
        <f t="shared" si="2"/>
        <v>40</v>
      </c>
      <c r="S51" t="s">
        <v>39</v>
      </c>
      <c r="T51" s="7">
        <v>18</v>
      </c>
      <c r="U51" s="7">
        <v>28</v>
      </c>
      <c r="V51" s="7">
        <v>7</v>
      </c>
      <c r="W51" s="7">
        <v>7</v>
      </c>
      <c r="X51" s="7">
        <f t="shared" si="3"/>
        <v>60</v>
      </c>
      <c r="Y51" t="s">
        <v>39</v>
      </c>
      <c r="Z51">
        <v>24906.119051350001</v>
      </c>
      <c r="AA51" t="s">
        <v>522</v>
      </c>
      <c r="AB51" t="e">
        <v>#N/A</v>
      </c>
      <c r="AF51">
        <v>196</v>
      </c>
      <c r="AG51" s="8">
        <v>20</v>
      </c>
      <c r="AH51">
        <v>20</v>
      </c>
      <c r="AI51">
        <v>25</v>
      </c>
      <c r="AJ51">
        <v>0</v>
      </c>
      <c r="AK51">
        <v>1</v>
      </c>
      <c r="AL51">
        <v>4.4721359549995796</v>
      </c>
      <c r="AM51">
        <v>5</v>
      </c>
      <c r="AN51">
        <v>0</v>
      </c>
      <c r="AO51">
        <v>0.5</v>
      </c>
      <c r="AP51">
        <v>0.5714285714285714</v>
      </c>
      <c r="AQ51">
        <v>0</v>
      </c>
      <c r="AR51">
        <v>0.31428571428571428</v>
      </c>
      <c r="AS51">
        <v>0.68571428571428572</v>
      </c>
      <c r="AT51">
        <v>0</v>
      </c>
      <c r="AU51">
        <v>40571.806239550002</v>
      </c>
      <c r="AV51" t="s">
        <v>489</v>
      </c>
      <c r="AW51" t="str">
        <f t="shared" si="4"/>
        <v>n/a</v>
      </c>
      <c r="AY51" t="e">
        <f t="shared" si="5"/>
        <v>#N/A</v>
      </c>
      <c r="AZ51" t="e">
        <v>#N/A</v>
      </c>
      <c r="BA51">
        <v>1</v>
      </c>
      <c r="BB51">
        <v>2018</v>
      </c>
      <c r="BC51">
        <v>8</v>
      </c>
      <c r="BD51">
        <v>2018</v>
      </c>
      <c r="BE51">
        <v>1</v>
      </c>
      <c r="BF51">
        <v>2018</v>
      </c>
    </row>
    <row r="52" spans="1:58" x14ac:dyDescent="0.2">
      <c r="A52" s="7">
        <v>12</v>
      </c>
      <c r="B52" s="7">
        <v>11</v>
      </c>
      <c r="C52" s="7">
        <v>2</v>
      </c>
      <c r="D52" s="7">
        <v>3</v>
      </c>
      <c r="E52" s="7">
        <f t="shared" si="0"/>
        <v>28</v>
      </c>
      <c r="F52" s="11" t="s">
        <v>36</v>
      </c>
      <c r="G52">
        <v>20</v>
      </c>
      <c r="H52">
        <v>20</v>
      </c>
      <c r="I52">
        <v>6</v>
      </c>
      <c r="J52">
        <v>0</v>
      </c>
      <c r="K52">
        <f t="shared" si="1"/>
        <v>46</v>
      </c>
      <c r="L52" t="s">
        <v>36</v>
      </c>
      <c r="M52">
        <v>50651.4416126</v>
      </c>
      <c r="N52" s="7">
        <v>12</v>
      </c>
      <c r="O52" s="7">
        <v>19</v>
      </c>
      <c r="P52" s="7">
        <v>0</v>
      </c>
      <c r="Q52" s="7">
        <v>0</v>
      </c>
      <c r="R52" s="7">
        <f t="shared" si="2"/>
        <v>31</v>
      </c>
      <c r="S52" t="s">
        <v>36</v>
      </c>
      <c r="T52" s="7">
        <v>12</v>
      </c>
      <c r="U52" s="7">
        <v>17</v>
      </c>
      <c r="V52" s="7">
        <v>1</v>
      </c>
      <c r="W52" s="7">
        <v>5</v>
      </c>
      <c r="X52" s="7">
        <f t="shared" si="3"/>
        <v>35</v>
      </c>
      <c r="Y52" t="s">
        <v>36</v>
      </c>
      <c r="Z52">
        <v>68474.720538649999</v>
      </c>
      <c r="AA52" t="s">
        <v>523</v>
      </c>
      <c r="AB52">
        <v>66</v>
      </c>
      <c r="AC52">
        <v>0</v>
      </c>
      <c r="AD52" t="s">
        <v>99</v>
      </c>
      <c r="AE52" t="s">
        <v>41</v>
      </c>
      <c r="AF52">
        <v>162</v>
      </c>
      <c r="AG52" s="8">
        <v>427</v>
      </c>
      <c r="AH52">
        <v>4</v>
      </c>
      <c r="AI52">
        <v>7</v>
      </c>
      <c r="AJ52">
        <v>18</v>
      </c>
      <c r="AK52">
        <v>9.3676814988290398E-3</v>
      </c>
      <c r="AL52">
        <v>0.1935735673983309</v>
      </c>
      <c r="AM52">
        <v>-15</v>
      </c>
      <c r="AN52">
        <v>1</v>
      </c>
      <c r="AO52">
        <v>0.12903225806451613</v>
      </c>
      <c r="AP52">
        <v>0.14285714285714285</v>
      </c>
      <c r="AQ52">
        <v>0.10714285714285714</v>
      </c>
      <c r="AR52">
        <v>0.42857142857142855</v>
      </c>
      <c r="AS52">
        <v>0.39285714285714285</v>
      </c>
      <c r="AT52">
        <v>7.1428571428571425E-2</v>
      </c>
      <c r="AU52">
        <v>119126.16215125</v>
      </c>
      <c r="AV52">
        <v>15</v>
      </c>
      <c r="AW52">
        <f t="shared" si="4"/>
        <v>1</v>
      </c>
      <c r="AX52">
        <v>0</v>
      </c>
      <c r="AY52">
        <f t="shared" si="5"/>
        <v>0</v>
      </c>
      <c r="AZ52">
        <v>0</v>
      </c>
      <c r="BA52">
        <v>5</v>
      </c>
      <c r="BB52">
        <v>2018</v>
      </c>
      <c r="BC52">
        <v>10</v>
      </c>
      <c r="BD52">
        <v>2018</v>
      </c>
      <c r="BE52">
        <v>1</v>
      </c>
      <c r="BF52">
        <v>2018</v>
      </c>
    </row>
    <row r="53" spans="1:58" x14ac:dyDescent="0.2">
      <c r="A53" s="7">
        <v>20</v>
      </c>
      <c r="B53" s="7">
        <v>26</v>
      </c>
      <c r="C53" s="7">
        <v>4</v>
      </c>
      <c r="D53" s="7">
        <v>0</v>
      </c>
      <c r="E53" s="7">
        <f t="shared" si="0"/>
        <v>50</v>
      </c>
      <c r="F53" s="11" t="s">
        <v>36</v>
      </c>
      <c r="G53">
        <v>20</v>
      </c>
      <c r="H53">
        <v>26</v>
      </c>
      <c r="I53">
        <v>7</v>
      </c>
      <c r="J53">
        <v>8</v>
      </c>
      <c r="K53">
        <f t="shared" si="1"/>
        <v>61</v>
      </c>
      <c r="L53" t="s">
        <v>36</v>
      </c>
      <c r="M53">
        <v>15752.943615239999</v>
      </c>
      <c r="N53" s="7">
        <v>0</v>
      </c>
      <c r="O53" s="7">
        <v>0</v>
      </c>
      <c r="P53" s="7">
        <v>0</v>
      </c>
      <c r="Q53" s="7">
        <v>0</v>
      </c>
      <c r="R53" s="7">
        <f t="shared" si="2"/>
        <v>0</v>
      </c>
      <c r="S53" t="e">
        <v>#N/A</v>
      </c>
      <c r="T53" s="7">
        <v>0</v>
      </c>
      <c r="U53" s="7">
        <v>0</v>
      </c>
      <c r="V53" s="7">
        <v>0</v>
      </c>
      <c r="W53" s="7">
        <v>0</v>
      </c>
      <c r="X53" s="7">
        <f t="shared" si="3"/>
        <v>0</v>
      </c>
      <c r="Y53" t="e">
        <v>#N/A</v>
      </c>
      <c r="AA53" t="s">
        <v>100</v>
      </c>
      <c r="AB53">
        <v>64</v>
      </c>
      <c r="AC53">
        <v>21</v>
      </c>
      <c r="AD53" t="s">
        <v>101</v>
      </c>
      <c r="AE53" t="s">
        <v>41</v>
      </c>
      <c r="AF53">
        <v>121</v>
      </c>
      <c r="AG53" s="8"/>
      <c r="AH53">
        <v>0</v>
      </c>
      <c r="AI53">
        <v>-50</v>
      </c>
      <c r="AJ53">
        <v>11</v>
      </c>
      <c r="AK53" t="e">
        <v>#N/A</v>
      </c>
      <c r="AL53" t="e">
        <v>#N/A</v>
      </c>
      <c r="AM53">
        <v>-61</v>
      </c>
      <c r="AN53">
        <v>1</v>
      </c>
      <c r="AO53" t="e">
        <v>#N/A</v>
      </c>
      <c r="AP53">
        <v>0</v>
      </c>
      <c r="AQ53">
        <v>0</v>
      </c>
      <c r="AR53">
        <v>0.4</v>
      </c>
      <c r="AS53">
        <v>0.52</v>
      </c>
      <c r="AT53">
        <v>0.08</v>
      </c>
      <c r="AU53">
        <v>15752.943615239999</v>
      </c>
      <c r="AV53">
        <v>9</v>
      </c>
      <c r="AW53">
        <f t="shared" si="4"/>
        <v>0</v>
      </c>
      <c r="AX53">
        <v>21</v>
      </c>
      <c r="AY53">
        <f t="shared" si="5"/>
        <v>1</v>
      </c>
      <c r="AZ53">
        <v>0.17355371900826447</v>
      </c>
      <c r="BA53">
        <v>2</v>
      </c>
      <c r="BB53">
        <v>2020</v>
      </c>
      <c r="BC53">
        <v>6</v>
      </c>
      <c r="BD53">
        <v>2020</v>
      </c>
      <c r="BE53" t="e">
        <v>#N/A</v>
      </c>
      <c r="BF53" t="e">
        <v>#N/A</v>
      </c>
    </row>
    <row r="54" spans="1:58" x14ac:dyDescent="0.2">
      <c r="A54" s="7">
        <v>5</v>
      </c>
      <c r="B54" s="7">
        <v>19</v>
      </c>
      <c r="C54" s="7">
        <v>2</v>
      </c>
      <c r="D54" s="7">
        <v>6</v>
      </c>
      <c r="E54" s="7">
        <f t="shared" si="0"/>
        <v>32</v>
      </c>
      <c r="F54" s="11" t="s">
        <v>36</v>
      </c>
      <c r="G54">
        <v>5</v>
      </c>
      <c r="H54">
        <v>19</v>
      </c>
      <c r="I54">
        <v>2</v>
      </c>
      <c r="J54">
        <v>6</v>
      </c>
      <c r="K54">
        <f t="shared" si="1"/>
        <v>32</v>
      </c>
      <c r="L54" t="s">
        <v>36</v>
      </c>
      <c r="M54">
        <v>14066.59914588</v>
      </c>
      <c r="N54" s="7">
        <v>6</v>
      </c>
      <c r="O54" s="7">
        <v>18</v>
      </c>
      <c r="P54" s="7">
        <v>2</v>
      </c>
      <c r="Q54" s="7">
        <v>4</v>
      </c>
      <c r="R54" s="7">
        <f t="shared" si="2"/>
        <v>30</v>
      </c>
      <c r="S54" t="s">
        <v>36</v>
      </c>
      <c r="T54" s="7">
        <v>19</v>
      </c>
      <c r="U54" s="7">
        <v>35</v>
      </c>
      <c r="V54" s="7">
        <v>9</v>
      </c>
      <c r="W54" s="7">
        <v>7</v>
      </c>
      <c r="X54" s="7">
        <f t="shared" si="3"/>
        <v>70</v>
      </c>
      <c r="Y54" t="s">
        <v>36</v>
      </c>
      <c r="Z54">
        <v>63706.092575000002</v>
      </c>
      <c r="AA54" t="s">
        <v>524</v>
      </c>
      <c r="AB54">
        <v>59</v>
      </c>
      <c r="AC54">
        <v>0</v>
      </c>
      <c r="AD54" t="s">
        <v>40</v>
      </c>
      <c r="AE54" t="s">
        <v>41</v>
      </c>
      <c r="AF54" t="e">
        <v>#N/A</v>
      </c>
      <c r="AG54" s="8">
        <v>80</v>
      </c>
      <c r="AH54">
        <v>40</v>
      </c>
      <c r="AI54">
        <v>38</v>
      </c>
      <c r="AJ54">
        <v>0</v>
      </c>
      <c r="AK54">
        <v>0.5</v>
      </c>
      <c r="AL54">
        <v>4.4721359549995796</v>
      </c>
      <c r="AM54">
        <v>-2</v>
      </c>
      <c r="AN54">
        <v>1</v>
      </c>
      <c r="AO54">
        <v>1.3333333333333333</v>
      </c>
      <c r="AP54">
        <v>1.25</v>
      </c>
      <c r="AQ54">
        <v>0.1875</v>
      </c>
      <c r="AR54">
        <v>0.15625</v>
      </c>
      <c r="AS54">
        <v>0.59375</v>
      </c>
      <c r="AT54">
        <v>6.25E-2</v>
      </c>
      <c r="AU54">
        <v>77772.691720880001</v>
      </c>
      <c r="AV54">
        <v>6</v>
      </c>
      <c r="AW54">
        <f t="shared" si="4"/>
        <v>0</v>
      </c>
      <c r="AX54">
        <v>0</v>
      </c>
      <c r="AY54">
        <f t="shared" si="5"/>
        <v>0</v>
      </c>
      <c r="AZ54" t="e">
        <v>#N/A</v>
      </c>
      <c r="BA54">
        <v>1</v>
      </c>
      <c r="BB54">
        <v>2018</v>
      </c>
      <c r="BC54">
        <v>1</v>
      </c>
      <c r="BD54">
        <v>2018</v>
      </c>
      <c r="BE54">
        <v>1</v>
      </c>
      <c r="BF54">
        <v>2019</v>
      </c>
    </row>
    <row r="55" spans="1:58" x14ac:dyDescent="0.2">
      <c r="A55" s="7">
        <v>17</v>
      </c>
      <c r="B55" s="7">
        <v>32</v>
      </c>
      <c r="C55" s="7">
        <v>4</v>
      </c>
      <c r="D55" s="7">
        <v>0</v>
      </c>
      <c r="E55" s="7">
        <f t="shared" si="0"/>
        <v>53</v>
      </c>
      <c r="F55" s="11" t="s">
        <v>36</v>
      </c>
      <c r="G55">
        <v>17</v>
      </c>
      <c r="H55">
        <v>32</v>
      </c>
      <c r="I55">
        <v>4</v>
      </c>
      <c r="J55">
        <v>0</v>
      </c>
      <c r="K55">
        <f t="shared" si="1"/>
        <v>53</v>
      </c>
      <c r="L55" t="s">
        <v>36</v>
      </c>
      <c r="M55">
        <v>10582.2187182</v>
      </c>
      <c r="N55" s="7">
        <v>17</v>
      </c>
      <c r="O55" s="7">
        <v>32</v>
      </c>
      <c r="P55" s="7">
        <v>4</v>
      </c>
      <c r="Q55" s="7">
        <v>0</v>
      </c>
      <c r="R55" s="7">
        <f t="shared" si="2"/>
        <v>53</v>
      </c>
      <c r="S55" t="s">
        <v>36</v>
      </c>
      <c r="T55" s="7">
        <v>17</v>
      </c>
      <c r="U55" s="7">
        <v>32</v>
      </c>
      <c r="V55" s="7">
        <v>4</v>
      </c>
      <c r="W55" s="7">
        <v>0</v>
      </c>
      <c r="X55" s="7">
        <f t="shared" si="3"/>
        <v>53</v>
      </c>
      <c r="Y55" t="s">
        <v>36</v>
      </c>
      <c r="Z55">
        <v>16979.380019870001</v>
      </c>
      <c r="AA55" t="s">
        <v>525</v>
      </c>
      <c r="AB55" t="e">
        <v>#N/A</v>
      </c>
      <c r="AF55" t="e">
        <v>#N/A</v>
      </c>
      <c r="AG55" s="8">
        <v>75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0.32075471698113206</v>
      </c>
      <c r="AS55">
        <v>0.60377358490566035</v>
      </c>
      <c r="AT55">
        <v>7.5471698113207544E-2</v>
      </c>
      <c r="AU55">
        <v>27561.598738070003</v>
      </c>
      <c r="AV55" t="s">
        <v>489</v>
      </c>
      <c r="AW55" t="str">
        <f t="shared" si="4"/>
        <v>n/a</v>
      </c>
      <c r="AY55" t="e">
        <f t="shared" si="5"/>
        <v>#N/A</v>
      </c>
      <c r="AZ55" t="e">
        <v>#N/A</v>
      </c>
      <c r="BA55">
        <v>7</v>
      </c>
      <c r="BB55">
        <v>2018</v>
      </c>
      <c r="BC55">
        <v>7</v>
      </c>
      <c r="BD55">
        <v>2018</v>
      </c>
      <c r="BE55">
        <v>6</v>
      </c>
      <c r="BF55">
        <v>2018</v>
      </c>
    </row>
    <row r="56" spans="1:58" x14ac:dyDescent="0.2">
      <c r="A56" s="7">
        <v>8</v>
      </c>
      <c r="B56" s="7">
        <v>15</v>
      </c>
      <c r="C56" s="7">
        <v>2</v>
      </c>
      <c r="D56" s="7">
        <v>0</v>
      </c>
      <c r="E56" s="7">
        <f t="shared" si="0"/>
        <v>25</v>
      </c>
      <c r="F56" s="11" t="s">
        <v>36</v>
      </c>
      <c r="G56">
        <v>8</v>
      </c>
      <c r="H56">
        <v>15</v>
      </c>
      <c r="I56">
        <v>2</v>
      </c>
      <c r="J56">
        <v>0</v>
      </c>
      <c r="K56">
        <f t="shared" si="1"/>
        <v>25</v>
      </c>
      <c r="L56" t="s">
        <v>36</v>
      </c>
      <c r="M56">
        <v>13778.155942380001</v>
      </c>
      <c r="N56" s="7">
        <v>14</v>
      </c>
      <c r="O56" s="7">
        <v>15</v>
      </c>
      <c r="P56" s="7">
        <v>4</v>
      </c>
      <c r="Q56" s="7">
        <v>0</v>
      </c>
      <c r="R56" s="7">
        <f t="shared" si="2"/>
        <v>33</v>
      </c>
      <c r="S56" t="s">
        <v>36</v>
      </c>
      <c r="T56" s="7">
        <v>14</v>
      </c>
      <c r="U56" s="7">
        <v>15</v>
      </c>
      <c r="V56" s="7">
        <v>4</v>
      </c>
      <c r="W56" s="7">
        <v>0</v>
      </c>
      <c r="X56" s="7">
        <f t="shared" si="3"/>
        <v>33</v>
      </c>
      <c r="Y56" t="s">
        <v>36</v>
      </c>
      <c r="Z56">
        <v>9175.9569256699997</v>
      </c>
      <c r="AA56" t="s">
        <v>526</v>
      </c>
      <c r="AB56">
        <v>65</v>
      </c>
      <c r="AC56">
        <v>0</v>
      </c>
      <c r="AD56" t="s">
        <v>103</v>
      </c>
      <c r="AE56" t="s">
        <v>75</v>
      </c>
      <c r="AF56" t="e">
        <v>#N/A</v>
      </c>
      <c r="AG56" s="8">
        <v>0</v>
      </c>
      <c r="AH56">
        <v>0</v>
      </c>
      <c r="AI56">
        <v>8</v>
      </c>
      <c r="AJ56">
        <v>0</v>
      </c>
      <c r="AK56" t="e">
        <v>#N/A</v>
      </c>
      <c r="AL56" t="e">
        <v>#N/A</v>
      </c>
      <c r="AM56">
        <v>8</v>
      </c>
      <c r="AN56">
        <v>0</v>
      </c>
      <c r="AO56">
        <v>0</v>
      </c>
      <c r="AP56">
        <v>0</v>
      </c>
      <c r="AQ56">
        <v>0</v>
      </c>
      <c r="AR56">
        <v>0.32</v>
      </c>
      <c r="AS56">
        <v>0.6</v>
      </c>
      <c r="AT56">
        <v>0.08</v>
      </c>
      <c r="AU56">
        <v>22954.112868050001</v>
      </c>
      <c r="AV56">
        <v>11</v>
      </c>
      <c r="AW56">
        <f t="shared" si="4"/>
        <v>1</v>
      </c>
      <c r="AX56">
        <v>0</v>
      </c>
      <c r="AY56">
        <f t="shared" si="5"/>
        <v>0</v>
      </c>
      <c r="AZ56" t="e">
        <v>#N/A</v>
      </c>
      <c r="BA56">
        <v>10</v>
      </c>
      <c r="BB56">
        <v>2019</v>
      </c>
      <c r="BC56">
        <v>10</v>
      </c>
      <c r="BD56">
        <v>2019</v>
      </c>
      <c r="BE56">
        <v>12</v>
      </c>
      <c r="BF56">
        <v>2019</v>
      </c>
    </row>
    <row r="57" spans="1:58" x14ac:dyDescent="0.2">
      <c r="A57" s="7">
        <v>9</v>
      </c>
      <c r="B57" s="7">
        <v>11</v>
      </c>
      <c r="C57" s="7">
        <v>2</v>
      </c>
      <c r="D57" s="7">
        <v>5</v>
      </c>
      <c r="E57" s="7">
        <f t="shared" si="0"/>
        <v>27</v>
      </c>
      <c r="F57" s="11" t="s">
        <v>36</v>
      </c>
      <c r="G57">
        <v>9</v>
      </c>
      <c r="H57">
        <v>11</v>
      </c>
      <c r="I57">
        <v>2</v>
      </c>
      <c r="J57">
        <v>5</v>
      </c>
      <c r="K57">
        <f t="shared" si="1"/>
        <v>27</v>
      </c>
      <c r="L57" t="s">
        <v>36</v>
      </c>
      <c r="M57">
        <v>20960.122053970001</v>
      </c>
      <c r="N57" s="7">
        <v>9</v>
      </c>
      <c r="O57" s="7">
        <v>11</v>
      </c>
      <c r="P57" s="7">
        <v>2</v>
      </c>
      <c r="Q57" s="7">
        <v>5</v>
      </c>
      <c r="R57" s="7">
        <f t="shared" si="2"/>
        <v>27</v>
      </c>
      <c r="S57" t="e">
        <v>#N/A</v>
      </c>
      <c r="T57" s="7">
        <v>7</v>
      </c>
      <c r="U57" s="7">
        <v>13</v>
      </c>
      <c r="V57" s="7">
        <v>2</v>
      </c>
      <c r="W57" s="7">
        <v>5</v>
      </c>
      <c r="X57" s="7">
        <f t="shared" si="3"/>
        <v>27</v>
      </c>
      <c r="Y57" t="e">
        <v>#N/A</v>
      </c>
      <c r="Z57">
        <v>70805.599042030008</v>
      </c>
      <c r="AA57" t="s">
        <v>104</v>
      </c>
      <c r="AB57">
        <v>63</v>
      </c>
      <c r="AC57">
        <v>0</v>
      </c>
      <c r="AD57" t="s">
        <v>105</v>
      </c>
      <c r="AE57" t="s">
        <v>41</v>
      </c>
      <c r="AF57" t="e">
        <v>#N/A</v>
      </c>
      <c r="AG57" s="8">
        <v>172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0.18518518518518517</v>
      </c>
      <c r="AR57">
        <v>0.33333333333333331</v>
      </c>
      <c r="AS57">
        <v>0.40740740740740738</v>
      </c>
      <c r="AT57">
        <v>7.407407407407407E-2</v>
      </c>
      <c r="AU57">
        <v>91765.721096000008</v>
      </c>
      <c r="AV57">
        <v>13</v>
      </c>
      <c r="AW57">
        <f t="shared" si="4"/>
        <v>1</v>
      </c>
      <c r="AX57">
        <v>0</v>
      </c>
      <c r="AY57">
        <f t="shared" si="5"/>
        <v>0</v>
      </c>
      <c r="AZ57" t="e">
        <v>#N/A</v>
      </c>
      <c r="BA57">
        <v>6</v>
      </c>
      <c r="BB57">
        <v>2020</v>
      </c>
      <c r="BC57">
        <v>6</v>
      </c>
      <c r="BD57">
        <v>2020</v>
      </c>
      <c r="BE57">
        <v>1</v>
      </c>
      <c r="BF57">
        <v>2020</v>
      </c>
    </row>
    <row r="58" spans="1:58" x14ac:dyDescent="0.2">
      <c r="A58" s="7">
        <v>19</v>
      </c>
      <c r="B58" s="7">
        <v>36</v>
      </c>
      <c r="C58" s="7">
        <v>6</v>
      </c>
      <c r="D58" s="7">
        <v>3</v>
      </c>
      <c r="E58" s="7">
        <f t="shared" si="0"/>
        <v>64</v>
      </c>
      <c r="F58" s="11" t="s">
        <v>36</v>
      </c>
      <c r="G58">
        <v>19</v>
      </c>
      <c r="H58">
        <v>36</v>
      </c>
      <c r="I58">
        <v>6</v>
      </c>
      <c r="J58">
        <v>3</v>
      </c>
      <c r="K58">
        <f t="shared" si="1"/>
        <v>64</v>
      </c>
      <c r="L58" t="s">
        <v>36</v>
      </c>
      <c r="M58">
        <v>8435.1387706000005</v>
      </c>
      <c r="N58" s="7">
        <v>18</v>
      </c>
      <c r="O58" s="7">
        <v>40</v>
      </c>
      <c r="P58" s="7">
        <v>6</v>
      </c>
      <c r="Q58" s="7">
        <v>5</v>
      </c>
      <c r="R58" s="7">
        <f t="shared" si="2"/>
        <v>69</v>
      </c>
      <c r="S58" t="s">
        <v>36</v>
      </c>
      <c r="T58" s="7">
        <v>19</v>
      </c>
      <c r="U58" s="7">
        <v>35</v>
      </c>
      <c r="V58" s="7">
        <v>8</v>
      </c>
      <c r="W58" s="7">
        <v>7</v>
      </c>
      <c r="X58" s="7">
        <f t="shared" si="3"/>
        <v>69</v>
      </c>
      <c r="Y58" t="s">
        <v>36</v>
      </c>
      <c r="Z58">
        <v>28068.277519120002</v>
      </c>
      <c r="AA58" t="s">
        <v>527</v>
      </c>
      <c r="AB58">
        <v>59</v>
      </c>
      <c r="AC58">
        <v>0</v>
      </c>
      <c r="AD58" t="s">
        <v>73</v>
      </c>
      <c r="AE58" t="s">
        <v>41</v>
      </c>
      <c r="AF58" t="e">
        <v>#N/A</v>
      </c>
      <c r="AG58" s="8">
        <v>152</v>
      </c>
      <c r="AH58">
        <v>0</v>
      </c>
      <c r="AI58">
        <v>5</v>
      </c>
      <c r="AJ58">
        <v>0</v>
      </c>
      <c r="AK58">
        <v>0</v>
      </c>
      <c r="AL58">
        <v>0</v>
      </c>
      <c r="AM58">
        <v>5</v>
      </c>
      <c r="AN58">
        <v>0</v>
      </c>
      <c r="AO58">
        <v>0</v>
      </c>
      <c r="AP58">
        <v>0</v>
      </c>
      <c r="AQ58">
        <v>4.6875E-2</v>
      </c>
      <c r="AR58">
        <v>0.296875</v>
      </c>
      <c r="AS58">
        <v>0.5625</v>
      </c>
      <c r="AT58">
        <v>9.375E-2</v>
      </c>
      <c r="AU58">
        <v>36503.41628972</v>
      </c>
      <c r="AV58">
        <v>5</v>
      </c>
      <c r="AW58">
        <f t="shared" si="4"/>
        <v>0</v>
      </c>
      <c r="AX58">
        <v>0</v>
      </c>
      <c r="AY58">
        <f t="shared" si="5"/>
        <v>0</v>
      </c>
      <c r="AZ58" t="e">
        <v>#N/A</v>
      </c>
      <c r="BA58">
        <v>3</v>
      </c>
      <c r="BB58">
        <v>2019</v>
      </c>
      <c r="BC58">
        <v>3</v>
      </c>
      <c r="BD58">
        <v>2019</v>
      </c>
      <c r="BE58">
        <v>1</v>
      </c>
      <c r="BF58">
        <v>2019</v>
      </c>
    </row>
    <row r="59" spans="1:58" x14ac:dyDescent="0.2">
      <c r="A59" s="7">
        <v>10</v>
      </c>
      <c r="B59" s="7">
        <v>18</v>
      </c>
      <c r="C59" s="7">
        <v>0</v>
      </c>
      <c r="D59" s="7">
        <v>3</v>
      </c>
      <c r="E59" s="7">
        <f t="shared" si="0"/>
        <v>31</v>
      </c>
      <c r="F59" s="11" t="s">
        <v>36</v>
      </c>
      <c r="G59">
        <v>10</v>
      </c>
      <c r="H59">
        <v>21</v>
      </c>
      <c r="I59">
        <v>1</v>
      </c>
      <c r="J59">
        <v>0</v>
      </c>
      <c r="K59">
        <f t="shared" si="1"/>
        <v>32</v>
      </c>
      <c r="L59" t="s">
        <v>36</v>
      </c>
      <c r="M59">
        <v>28909.430063110001</v>
      </c>
      <c r="N59" s="7">
        <v>10</v>
      </c>
      <c r="O59" s="7">
        <v>18</v>
      </c>
      <c r="P59" s="7">
        <v>0</v>
      </c>
      <c r="Q59" s="7">
        <v>3</v>
      </c>
      <c r="R59" s="7">
        <f t="shared" si="2"/>
        <v>31</v>
      </c>
      <c r="S59" t="s">
        <v>36</v>
      </c>
      <c r="T59" s="7">
        <v>11</v>
      </c>
      <c r="U59" s="7">
        <v>15</v>
      </c>
      <c r="V59" s="7">
        <v>3</v>
      </c>
      <c r="W59" s="7">
        <v>4</v>
      </c>
      <c r="X59" s="7">
        <f t="shared" si="3"/>
        <v>33</v>
      </c>
      <c r="Y59" t="s">
        <v>36</v>
      </c>
      <c r="Z59">
        <v>54494.674195339998</v>
      </c>
      <c r="AA59" t="s">
        <v>528</v>
      </c>
      <c r="AB59" t="e">
        <v>#N/A</v>
      </c>
      <c r="AF59">
        <v>251</v>
      </c>
      <c r="AG59" s="8">
        <v>135</v>
      </c>
      <c r="AH59">
        <v>2</v>
      </c>
      <c r="AI59">
        <v>2</v>
      </c>
      <c r="AJ59">
        <v>1</v>
      </c>
      <c r="AK59">
        <v>1.4814814814814815E-2</v>
      </c>
      <c r="AL59">
        <v>0.17213259316477408</v>
      </c>
      <c r="AM59">
        <v>-1</v>
      </c>
      <c r="AN59">
        <v>1</v>
      </c>
      <c r="AO59">
        <v>6.4516129032258063E-2</v>
      </c>
      <c r="AP59">
        <v>6.4516129032258063E-2</v>
      </c>
      <c r="AQ59">
        <v>9.6774193548387094E-2</v>
      </c>
      <c r="AR59">
        <v>0.32258064516129031</v>
      </c>
      <c r="AS59">
        <v>0.58064516129032262</v>
      </c>
      <c r="AT59">
        <v>0</v>
      </c>
      <c r="AU59">
        <v>83404.104258449996</v>
      </c>
      <c r="AV59" t="s">
        <v>489</v>
      </c>
      <c r="AW59" t="str">
        <f t="shared" si="4"/>
        <v>n/a</v>
      </c>
      <c r="AY59" t="e">
        <f t="shared" si="5"/>
        <v>#N/A</v>
      </c>
      <c r="AZ59" t="e">
        <v>#N/A</v>
      </c>
      <c r="BA59">
        <v>1</v>
      </c>
      <c r="BB59">
        <v>2018</v>
      </c>
      <c r="BC59">
        <v>9</v>
      </c>
      <c r="BD59">
        <v>2018</v>
      </c>
      <c r="BE59">
        <v>8</v>
      </c>
      <c r="BF59">
        <v>2018</v>
      </c>
    </row>
    <row r="60" spans="1:58" x14ac:dyDescent="0.2">
      <c r="A60" s="7">
        <v>7</v>
      </c>
      <c r="B60" s="7">
        <v>6</v>
      </c>
      <c r="C60" s="7">
        <v>3</v>
      </c>
      <c r="D60" s="7">
        <v>0</v>
      </c>
      <c r="E60" s="7">
        <f t="shared" si="0"/>
        <v>16</v>
      </c>
      <c r="F60" s="11" t="e">
        <v>#N/A</v>
      </c>
      <c r="G60">
        <v>7</v>
      </c>
      <c r="H60">
        <v>6</v>
      </c>
      <c r="I60">
        <v>3</v>
      </c>
      <c r="J60">
        <v>0</v>
      </c>
      <c r="K60">
        <f t="shared" si="1"/>
        <v>16</v>
      </c>
      <c r="L60" t="e">
        <v>#N/A</v>
      </c>
      <c r="M60">
        <v>13555.124671899999</v>
      </c>
      <c r="N60" s="7">
        <v>6</v>
      </c>
      <c r="O60" s="7">
        <v>11</v>
      </c>
      <c r="P60" s="7">
        <v>3</v>
      </c>
      <c r="Q60" s="7">
        <v>5</v>
      </c>
      <c r="R60" s="7">
        <f t="shared" si="2"/>
        <v>25</v>
      </c>
      <c r="S60" t="e">
        <v>#N/A</v>
      </c>
      <c r="T60" s="7">
        <v>6</v>
      </c>
      <c r="U60" s="7">
        <v>11</v>
      </c>
      <c r="V60" s="7">
        <v>3</v>
      </c>
      <c r="W60" s="7">
        <v>5</v>
      </c>
      <c r="X60" s="7">
        <f t="shared" si="3"/>
        <v>25</v>
      </c>
      <c r="Y60" t="e">
        <v>#N/A</v>
      </c>
      <c r="Z60">
        <v>9743.8340443399993</v>
      </c>
      <c r="AA60" t="s">
        <v>106</v>
      </c>
      <c r="AB60">
        <v>80</v>
      </c>
      <c r="AC60">
        <v>69</v>
      </c>
      <c r="AD60" t="s">
        <v>107</v>
      </c>
      <c r="AE60" t="s">
        <v>75</v>
      </c>
      <c r="AF60" t="e">
        <v>#N/A</v>
      </c>
      <c r="AG60" s="8">
        <v>0</v>
      </c>
      <c r="AH60">
        <v>0</v>
      </c>
      <c r="AI60">
        <v>9</v>
      </c>
      <c r="AJ60">
        <v>0</v>
      </c>
      <c r="AK60" t="e">
        <v>#N/A</v>
      </c>
      <c r="AL60" t="e">
        <v>#N/A</v>
      </c>
      <c r="AM60">
        <v>9</v>
      </c>
      <c r="AN60">
        <v>0</v>
      </c>
      <c r="AO60">
        <v>0</v>
      </c>
      <c r="AP60">
        <v>0</v>
      </c>
      <c r="AQ60">
        <v>0</v>
      </c>
      <c r="AR60">
        <v>0.4375</v>
      </c>
      <c r="AS60">
        <v>0.375</v>
      </c>
      <c r="AT60">
        <v>0.1875</v>
      </c>
      <c r="AU60">
        <v>23298.958716239998</v>
      </c>
      <c r="AV60">
        <v>12</v>
      </c>
      <c r="AW60">
        <f t="shared" si="4"/>
        <v>1</v>
      </c>
      <c r="AX60">
        <v>69</v>
      </c>
      <c r="AY60">
        <f t="shared" si="5"/>
        <v>1</v>
      </c>
      <c r="AZ60" t="e">
        <v>#N/A</v>
      </c>
      <c r="BA60">
        <v>2</v>
      </c>
      <c r="BB60">
        <v>2020</v>
      </c>
      <c r="BC60">
        <v>2</v>
      </c>
      <c r="BD60">
        <v>2020</v>
      </c>
      <c r="BE60">
        <v>3</v>
      </c>
      <c r="BF60">
        <v>2020</v>
      </c>
    </row>
    <row r="61" spans="1:58" x14ac:dyDescent="0.2">
      <c r="A61" s="7">
        <v>15</v>
      </c>
      <c r="B61" s="7">
        <v>25</v>
      </c>
      <c r="C61" s="7">
        <v>4</v>
      </c>
      <c r="D61" s="7">
        <v>5</v>
      </c>
      <c r="E61" s="7">
        <f t="shared" si="0"/>
        <v>49</v>
      </c>
      <c r="F61" s="11" t="s">
        <v>36</v>
      </c>
      <c r="G61">
        <v>15</v>
      </c>
      <c r="H61">
        <v>25</v>
      </c>
      <c r="I61">
        <v>4</v>
      </c>
      <c r="J61">
        <v>5</v>
      </c>
      <c r="K61">
        <f t="shared" si="1"/>
        <v>49</v>
      </c>
      <c r="L61" t="s">
        <v>36</v>
      </c>
      <c r="M61">
        <v>16716.44393071</v>
      </c>
      <c r="N61" s="7">
        <v>19</v>
      </c>
      <c r="O61" s="7">
        <v>28</v>
      </c>
      <c r="P61" s="7">
        <v>6</v>
      </c>
      <c r="Q61" s="7">
        <v>6</v>
      </c>
      <c r="R61" s="7">
        <f t="shared" si="2"/>
        <v>59</v>
      </c>
      <c r="S61" t="s">
        <v>36</v>
      </c>
      <c r="T61" s="7">
        <v>17</v>
      </c>
      <c r="U61" s="7">
        <v>29</v>
      </c>
      <c r="V61" s="7">
        <v>6</v>
      </c>
      <c r="W61" s="7">
        <v>6</v>
      </c>
      <c r="X61" s="7">
        <f t="shared" si="3"/>
        <v>58</v>
      </c>
      <c r="Y61" t="s">
        <v>36</v>
      </c>
      <c r="Z61">
        <v>30192.74129229</v>
      </c>
      <c r="AA61" t="s">
        <v>529</v>
      </c>
      <c r="AB61" t="e">
        <v>#N/A</v>
      </c>
      <c r="AF61">
        <v>16</v>
      </c>
      <c r="AG61" s="8">
        <v>78</v>
      </c>
      <c r="AH61">
        <v>-1</v>
      </c>
      <c r="AI61">
        <v>9</v>
      </c>
      <c r="AJ61">
        <v>0</v>
      </c>
      <c r="AK61">
        <v>-1.282051282051282E-2</v>
      </c>
      <c r="AL61">
        <v>-0.11322770341445956</v>
      </c>
      <c r="AM61">
        <v>10</v>
      </c>
      <c r="AN61">
        <v>0</v>
      </c>
      <c r="AO61">
        <v>-1.6949152542372881E-2</v>
      </c>
      <c r="AP61">
        <v>-2.0408163265306121E-2</v>
      </c>
      <c r="AQ61">
        <v>0.10204081632653061</v>
      </c>
      <c r="AR61">
        <v>0.30612244897959184</v>
      </c>
      <c r="AS61">
        <v>0.51020408163265307</v>
      </c>
      <c r="AT61">
        <v>8.1632653061224483E-2</v>
      </c>
      <c r="AU61">
        <v>46909.185223</v>
      </c>
      <c r="AV61" t="s">
        <v>489</v>
      </c>
      <c r="AW61" t="str">
        <f t="shared" si="4"/>
        <v>n/a</v>
      </c>
      <c r="AY61" t="e">
        <f t="shared" si="5"/>
        <v>#N/A</v>
      </c>
      <c r="AZ61" t="e">
        <v>#N/A</v>
      </c>
      <c r="BA61">
        <v>1</v>
      </c>
      <c r="BB61">
        <v>2018</v>
      </c>
      <c r="BC61">
        <v>1</v>
      </c>
      <c r="BD61">
        <v>2018</v>
      </c>
      <c r="BE61">
        <v>1</v>
      </c>
      <c r="BF61">
        <v>2018</v>
      </c>
    </row>
    <row r="62" spans="1:58" x14ac:dyDescent="0.2">
      <c r="A62" s="7">
        <v>20</v>
      </c>
      <c r="B62" s="7">
        <v>36</v>
      </c>
      <c r="C62" s="7">
        <v>10</v>
      </c>
      <c r="D62" s="7">
        <v>9</v>
      </c>
      <c r="E62" s="7">
        <f t="shared" si="0"/>
        <v>75</v>
      </c>
      <c r="F62" s="11" t="s">
        <v>36</v>
      </c>
      <c r="G62">
        <v>20</v>
      </c>
      <c r="H62">
        <v>36</v>
      </c>
      <c r="I62">
        <v>10</v>
      </c>
      <c r="J62">
        <v>9</v>
      </c>
      <c r="K62">
        <f t="shared" si="1"/>
        <v>75</v>
      </c>
      <c r="L62" t="s">
        <v>36</v>
      </c>
      <c r="M62">
        <v>8730.7565367200004</v>
      </c>
      <c r="N62" s="7">
        <v>20</v>
      </c>
      <c r="O62" s="7">
        <v>36</v>
      </c>
      <c r="P62" s="7">
        <v>10</v>
      </c>
      <c r="Q62" s="7">
        <v>9</v>
      </c>
      <c r="R62" s="7">
        <f t="shared" si="2"/>
        <v>75</v>
      </c>
      <c r="S62" t="s">
        <v>36</v>
      </c>
      <c r="T62" s="7">
        <v>20</v>
      </c>
      <c r="U62" s="7">
        <v>36</v>
      </c>
      <c r="V62" s="7">
        <v>10</v>
      </c>
      <c r="W62" s="7">
        <v>9</v>
      </c>
      <c r="X62" s="7">
        <f t="shared" si="3"/>
        <v>75</v>
      </c>
      <c r="Y62" t="s">
        <v>36</v>
      </c>
      <c r="Z62">
        <v>3942.7038200000002</v>
      </c>
      <c r="AA62" t="s">
        <v>530</v>
      </c>
      <c r="AB62" t="e">
        <v>#N/A</v>
      </c>
      <c r="AF62" t="e">
        <v>#N/A</v>
      </c>
      <c r="AG62" s="8">
        <v>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0.12</v>
      </c>
      <c r="AR62">
        <v>0.26666666666666666</v>
      </c>
      <c r="AS62">
        <v>0.48</v>
      </c>
      <c r="AT62">
        <v>0.13333333333333333</v>
      </c>
      <c r="AU62">
        <v>12673.460356720001</v>
      </c>
      <c r="AV62" t="s">
        <v>489</v>
      </c>
      <c r="AW62" t="str">
        <f t="shared" si="4"/>
        <v>n/a</v>
      </c>
      <c r="AY62" t="e">
        <f t="shared" si="5"/>
        <v>#N/A</v>
      </c>
      <c r="AZ62" t="e">
        <v>#N/A</v>
      </c>
      <c r="BA62">
        <v>11</v>
      </c>
      <c r="BB62">
        <v>2018</v>
      </c>
      <c r="BC62">
        <v>11</v>
      </c>
      <c r="BD62">
        <v>2018</v>
      </c>
      <c r="BE62">
        <v>1</v>
      </c>
      <c r="BF62">
        <v>2018</v>
      </c>
    </row>
    <row r="63" spans="1:58" x14ac:dyDescent="0.2">
      <c r="A63" s="7">
        <v>20</v>
      </c>
      <c r="B63" s="7">
        <v>23</v>
      </c>
      <c r="C63" s="7">
        <v>10</v>
      </c>
      <c r="D63" s="7">
        <v>30</v>
      </c>
      <c r="E63" s="7">
        <f t="shared" si="0"/>
        <v>83</v>
      </c>
      <c r="F63" s="11" t="s">
        <v>36</v>
      </c>
      <c r="G63">
        <v>20</v>
      </c>
      <c r="H63">
        <v>23</v>
      </c>
      <c r="I63">
        <v>6</v>
      </c>
      <c r="J63">
        <v>30</v>
      </c>
      <c r="K63">
        <f t="shared" si="1"/>
        <v>79</v>
      </c>
      <c r="L63" t="s">
        <v>36</v>
      </c>
      <c r="M63">
        <v>12253.347584609999</v>
      </c>
      <c r="N63" s="7">
        <v>0</v>
      </c>
      <c r="O63" s="7">
        <v>0</v>
      </c>
      <c r="P63" s="7">
        <v>0</v>
      </c>
      <c r="Q63" s="7">
        <v>0</v>
      </c>
      <c r="R63" s="7">
        <f t="shared" si="2"/>
        <v>0</v>
      </c>
      <c r="S63" t="e">
        <v>#N/A</v>
      </c>
      <c r="T63" s="7">
        <v>0</v>
      </c>
      <c r="U63" s="7">
        <v>0</v>
      </c>
      <c r="V63" s="7">
        <v>0</v>
      </c>
      <c r="W63" s="7">
        <v>0</v>
      </c>
      <c r="X63" s="7">
        <f t="shared" si="3"/>
        <v>0</v>
      </c>
      <c r="Y63" t="e">
        <v>#N/A</v>
      </c>
      <c r="AA63" t="s">
        <v>531</v>
      </c>
      <c r="AB63">
        <v>63</v>
      </c>
      <c r="AC63">
        <v>0</v>
      </c>
      <c r="AD63" t="s">
        <v>108</v>
      </c>
      <c r="AE63" t="s">
        <v>41</v>
      </c>
      <c r="AF63">
        <v>310</v>
      </c>
      <c r="AG63" s="8"/>
      <c r="AH63">
        <v>0</v>
      </c>
      <c r="AI63">
        <v>-83</v>
      </c>
      <c r="AJ63">
        <v>-4</v>
      </c>
      <c r="AK63" t="e">
        <v>#N/A</v>
      </c>
      <c r="AL63" t="e">
        <v>#N/A</v>
      </c>
      <c r="AM63">
        <v>-79</v>
      </c>
      <c r="AN63">
        <v>1</v>
      </c>
      <c r="AO63" t="e">
        <v>#N/A</v>
      </c>
      <c r="AP63">
        <v>0</v>
      </c>
      <c r="AQ63">
        <v>0.36144578313253012</v>
      </c>
      <c r="AR63">
        <v>0.24096385542168675</v>
      </c>
      <c r="AS63">
        <v>0.27710843373493976</v>
      </c>
      <c r="AT63">
        <v>0.12048192771084337</v>
      </c>
      <c r="AU63">
        <v>12253.347584609999</v>
      </c>
      <c r="AV63">
        <v>3</v>
      </c>
      <c r="AW63">
        <f t="shared" si="4"/>
        <v>0</v>
      </c>
      <c r="AX63">
        <v>0</v>
      </c>
      <c r="AY63">
        <f t="shared" si="5"/>
        <v>0</v>
      </c>
      <c r="AZ63">
        <v>0</v>
      </c>
      <c r="BA63">
        <v>1</v>
      </c>
      <c r="BB63">
        <v>2019</v>
      </c>
      <c r="BC63">
        <v>11</v>
      </c>
      <c r="BD63">
        <v>2019</v>
      </c>
      <c r="BE63" t="e">
        <v>#N/A</v>
      </c>
      <c r="BF63" t="e">
        <v>#N/A</v>
      </c>
    </row>
    <row r="64" spans="1:58" x14ac:dyDescent="0.2">
      <c r="A64" s="7">
        <v>0</v>
      </c>
      <c r="B64" s="7">
        <v>6</v>
      </c>
      <c r="C64" s="7">
        <v>0</v>
      </c>
      <c r="D64" s="7">
        <v>0</v>
      </c>
      <c r="E64" s="7">
        <f t="shared" si="0"/>
        <v>6</v>
      </c>
      <c r="F64" s="11" t="s">
        <v>36</v>
      </c>
      <c r="G64">
        <v>0</v>
      </c>
      <c r="H64">
        <v>6</v>
      </c>
      <c r="I64">
        <v>0</v>
      </c>
      <c r="J64">
        <v>0</v>
      </c>
      <c r="K64">
        <f t="shared" si="1"/>
        <v>6</v>
      </c>
      <c r="L64" t="s">
        <v>36</v>
      </c>
      <c r="M64">
        <v>17708.09656111</v>
      </c>
      <c r="N64" s="7">
        <v>0</v>
      </c>
      <c r="O64" s="7">
        <v>6</v>
      </c>
      <c r="P64" s="7">
        <v>0</v>
      </c>
      <c r="Q64" s="7">
        <v>0</v>
      </c>
      <c r="R64" s="7">
        <f t="shared" si="2"/>
        <v>6</v>
      </c>
      <c r="S64" t="s">
        <v>36</v>
      </c>
      <c r="T64" s="7">
        <v>0</v>
      </c>
      <c r="U64" s="7">
        <v>6</v>
      </c>
      <c r="V64" s="7">
        <v>0</v>
      </c>
      <c r="W64" s="7">
        <v>0</v>
      </c>
      <c r="X64" s="7">
        <f t="shared" si="3"/>
        <v>6</v>
      </c>
      <c r="Y64" t="s">
        <v>36</v>
      </c>
      <c r="Z64">
        <v>14450.15885077</v>
      </c>
      <c r="AA64" t="s">
        <v>532</v>
      </c>
      <c r="AB64">
        <v>53</v>
      </c>
      <c r="AC64">
        <v>0</v>
      </c>
      <c r="AD64" t="s">
        <v>109</v>
      </c>
      <c r="AE64" t="s">
        <v>41</v>
      </c>
      <c r="AF64" t="e">
        <v>#N/A</v>
      </c>
      <c r="AG64" s="8">
        <v>101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32158.25541188</v>
      </c>
      <c r="AV64">
        <v>10</v>
      </c>
      <c r="AW64">
        <f t="shared" si="4"/>
        <v>1</v>
      </c>
      <c r="AX64">
        <v>0</v>
      </c>
      <c r="AY64">
        <f t="shared" si="5"/>
        <v>0</v>
      </c>
      <c r="AZ64" t="e">
        <v>#N/A</v>
      </c>
      <c r="BA64">
        <v>3</v>
      </c>
      <c r="BB64">
        <v>2019</v>
      </c>
      <c r="BC64">
        <v>3</v>
      </c>
      <c r="BD64">
        <v>2019</v>
      </c>
      <c r="BE64">
        <v>1</v>
      </c>
      <c r="BF64">
        <v>2019</v>
      </c>
    </row>
    <row r="65" spans="1:58" x14ac:dyDescent="0.2">
      <c r="A65" s="7">
        <v>0</v>
      </c>
      <c r="B65" s="7">
        <v>0</v>
      </c>
      <c r="C65" s="7">
        <v>0</v>
      </c>
      <c r="D65" s="7">
        <v>0</v>
      </c>
      <c r="E65" s="7">
        <f t="shared" si="0"/>
        <v>0</v>
      </c>
      <c r="F65" s="11" t="e">
        <v>#N/A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 t="e">
        <v>#N/A</v>
      </c>
      <c r="N65" s="7">
        <v>0</v>
      </c>
      <c r="O65" s="7">
        <v>0</v>
      </c>
      <c r="P65" s="7">
        <v>0</v>
      </c>
      <c r="Q65" s="7">
        <v>0</v>
      </c>
      <c r="R65" s="7">
        <f t="shared" si="2"/>
        <v>0</v>
      </c>
      <c r="S65" t="s">
        <v>36</v>
      </c>
      <c r="T65" s="7">
        <v>0</v>
      </c>
      <c r="U65" s="7">
        <v>0</v>
      </c>
      <c r="V65" s="7">
        <v>0</v>
      </c>
      <c r="W65" s="7">
        <v>0</v>
      </c>
      <c r="X65" s="7">
        <f t="shared" si="3"/>
        <v>0</v>
      </c>
      <c r="Y65" t="s">
        <v>36</v>
      </c>
      <c r="Z65">
        <v>8899.5533458800001</v>
      </c>
      <c r="AA65" t="s">
        <v>533</v>
      </c>
      <c r="AB65" t="e">
        <v>#N/A</v>
      </c>
      <c r="AF65" t="e">
        <v>#N/A</v>
      </c>
      <c r="AG65" s="8">
        <v>52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>
        <v>8899.5533458800001</v>
      </c>
      <c r="AV65" t="s">
        <v>489</v>
      </c>
      <c r="AW65" t="str">
        <f t="shared" si="4"/>
        <v>n/a</v>
      </c>
      <c r="AY65" t="e">
        <f t="shared" si="5"/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>
        <v>8</v>
      </c>
      <c r="BF65">
        <v>2018</v>
      </c>
    </row>
    <row r="66" spans="1:58" x14ac:dyDescent="0.2">
      <c r="A66" s="7">
        <v>18</v>
      </c>
      <c r="B66" s="7">
        <v>37</v>
      </c>
      <c r="C66" s="7">
        <v>7</v>
      </c>
      <c r="D66" s="7">
        <v>1</v>
      </c>
      <c r="E66" s="7">
        <f t="shared" ref="E66:E129" si="6">SUM(A66,B66,C66,D66)</f>
        <v>63</v>
      </c>
      <c r="F66" s="11" t="s">
        <v>36</v>
      </c>
      <c r="G66">
        <v>18</v>
      </c>
      <c r="H66">
        <v>37</v>
      </c>
      <c r="I66">
        <v>7</v>
      </c>
      <c r="J66">
        <v>1</v>
      </c>
      <c r="K66">
        <f t="shared" ref="K66:K129" si="7">SUM(G66,H66,I66,J66)</f>
        <v>63</v>
      </c>
      <c r="L66" t="s">
        <v>36</v>
      </c>
      <c r="M66">
        <v>13040.145659100001</v>
      </c>
      <c r="N66" s="7">
        <v>19</v>
      </c>
      <c r="O66" s="7">
        <v>37</v>
      </c>
      <c r="P66" s="7">
        <v>10</v>
      </c>
      <c r="Q66" s="7">
        <v>8</v>
      </c>
      <c r="R66" s="7">
        <f t="shared" ref="R66:R129" si="8">SUM(N66,O66,P66,Q66)</f>
        <v>74</v>
      </c>
      <c r="S66" t="e">
        <v>#N/A</v>
      </c>
      <c r="T66" s="7">
        <v>19</v>
      </c>
      <c r="U66" s="7">
        <v>37</v>
      </c>
      <c r="V66" s="7">
        <v>10</v>
      </c>
      <c r="W66" s="7">
        <v>8</v>
      </c>
      <c r="X66" s="7">
        <f t="shared" ref="X66:X129" si="9">SUM(T66,U66,V66,W66)</f>
        <v>74</v>
      </c>
      <c r="Y66" t="e">
        <v>#N/A</v>
      </c>
      <c r="Z66">
        <v>2894.2683900000002</v>
      </c>
      <c r="AA66" t="s">
        <v>110</v>
      </c>
      <c r="AB66">
        <v>66</v>
      </c>
      <c r="AC66">
        <v>0</v>
      </c>
      <c r="AD66" t="s">
        <v>111</v>
      </c>
      <c r="AE66" t="s">
        <v>75</v>
      </c>
      <c r="AF66" t="e">
        <v>#N/A</v>
      </c>
      <c r="AG66" s="8">
        <v>0</v>
      </c>
      <c r="AH66">
        <v>0</v>
      </c>
      <c r="AI66">
        <v>11</v>
      </c>
      <c r="AJ66">
        <v>0</v>
      </c>
      <c r="AK66" t="e">
        <v>#N/A</v>
      </c>
      <c r="AL66" t="e">
        <v>#N/A</v>
      </c>
      <c r="AM66">
        <v>11</v>
      </c>
      <c r="AN66">
        <v>0</v>
      </c>
      <c r="AO66">
        <v>0</v>
      </c>
      <c r="AP66">
        <v>0</v>
      </c>
      <c r="AQ66">
        <v>1.5873015873015872E-2</v>
      </c>
      <c r="AR66">
        <v>0.2857142857142857</v>
      </c>
      <c r="AS66">
        <v>0.58730158730158732</v>
      </c>
      <c r="AT66">
        <v>0.1111111111111111</v>
      </c>
      <c r="AU66">
        <v>15934.4140491</v>
      </c>
      <c r="AV66">
        <v>8</v>
      </c>
      <c r="AW66">
        <f t="shared" si="4"/>
        <v>0</v>
      </c>
      <c r="AX66">
        <v>0</v>
      </c>
      <c r="AY66">
        <f t="shared" si="5"/>
        <v>0</v>
      </c>
      <c r="AZ66" t="e">
        <v>#N/A</v>
      </c>
      <c r="BA66">
        <v>5</v>
      </c>
      <c r="BB66">
        <v>2020</v>
      </c>
      <c r="BC66">
        <v>5</v>
      </c>
      <c r="BD66">
        <v>2020</v>
      </c>
      <c r="BE66">
        <v>5</v>
      </c>
      <c r="BF66">
        <v>2020</v>
      </c>
    </row>
    <row r="67" spans="1:58" x14ac:dyDescent="0.2">
      <c r="A67" s="7">
        <v>6</v>
      </c>
      <c r="B67" s="7">
        <v>6</v>
      </c>
      <c r="C67" s="7">
        <v>0</v>
      </c>
      <c r="D67" s="7">
        <v>3</v>
      </c>
      <c r="E67" s="7">
        <f t="shared" si="6"/>
        <v>15</v>
      </c>
      <c r="F67" s="11" t="e">
        <v>#N/A</v>
      </c>
      <c r="G67">
        <v>4</v>
      </c>
      <c r="H67">
        <v>6</v>
      </c>
      <c r="I67">
        <v>0</v>
      </c>
      <c r="J67">
        <v>0</v>
      </c>
      <c r="K67">
        <f t="shared" si="7"/>
        <v>10</v>
      </c>
      <c r="L67" t="e">
        <v>#N/A</v>
      </c>
      <c r="M67">
        <v>32166.801555170001</v>
      </c>
      <c r="N67" s="7">
        <v>0</v>
      </c>
      <c r="O67" s="7">
        <v>0</v>
      </c>
      <c r="P67" s="7">
        <v>0</v>
      </c>
      <c r="Q67" s="7">
        <v>0</v>
      </c>
      <c r="R67" s="7">
        <f t="shared" si="8"/>
        <v>0</v>
      </c>
      <c r="S67" t="e">
        <v>#N/A</v>
      </c>
      <c r="T67" s="7">
        <v>0</v>
      </c>
      <c r="U67" s="7">
        <v>0</v>
      </c>
      <c r="V67" s="7">
        <v>0</v>
      </c>
      <c r="W67" s="7">
        <v>0</v>
      </c>
      <c r="X67" s="7">
        <f t="shared" si="9"/>
        <v>0</v>
      </c>
      <c r="Y67" t="e">
        <v>#N/A</v>
      </c>
      <c r="AA67" t="s">
        <v>112</v>
      </c>
      <c r="AB67">
        <v>42</v>
      </c>
      <c r="AC67">
        <v>0</v>
      </c>
      <c r="AD67" t="s">
        <v>40</v>
      </c>
      <c r="AE67" t="s">
        <v>41</v>
      </c>
      <c r="AF67">
        <v>311</v>
      </c>
      <c r="AG67" s="8"/>
      <c r="AH67">
        <v>0</v>
      </c>
      <c r="AI67">
        <v>-15</v>
      </c>
      <c r="AJ67">
        <v>-5</v>
      </c>
      <c r="AK67" t="e">
        <v>#N/A</v>
      </c>
      <c r="AL67" t="e">
        <v>#N/A</v>
      </c>
      <c r="AM67">
        <v>-10</v>
      </c>
      <c r="AN67">
        <v>1</v>
      </c>
      <c r="AO67" t="e">
        <v>#N/A</v>
      </c>
      <c r="AP67">
        <v>0</v>
      </c>
      <c r="AQ67">
        <v>0.2</v>
      </c>
      <c r="AR67">
        <v>0.4</v>
      </c>
      <c r="AS67">
        <v>0.4</v>
      </c>
      <c r="AT67">
        <v>0</v>
      </c>
      <c r="AU67">
        <v>32166.801555170001</v>
      </c>
      <c r="AV67">
        <v>13</v>
      </c>
      <c r="AW67">
        <f t="shared" ref="AW67:AW130" si="10">IF(AV67="n/a","n/a",IF(AV67&gt;=10,1,0))</f>
        <v>1</v>
      </c>
      <c r="AX67">
        <v>0</v>
      </c>
      <c r="AY67">
        <f t="shared" ref="AY67:AY130" si="11">IF(
  ISBLANK(AX67),
  NA(),
  IF(AX67&gt;0, 1, 0)
)</f>
        <v>0</v>
      </c>
      <c r="AZ67">
        <v>0</v>
      </c>
      <c r="BA67">
        <v>1</v>
      </c>
      <c r="BB67">
        <v>2020</v>
      </c>
      <c r="BC67">
        <v>11</v>
      </c>
      <c r="BD67">
        <v>2020</v>
      </c>
      <c r="BE67" t="e">
        <v>#N/A</v>
      </c>
      <c r="BF67" t="e">
        <v>#N/A</v>
      </c>
    </row>
    <row r="68" spans="1:58" x14ac:dyDescent="0.2">
      <c r="A68" s="7">
        <v>13</v>
      </c>
      <c r="B68" s="7">
        <v>12</v>
      </c>
      <c r="C68" s="7">
        <v>0</v>
      </c>
      <c r="D68" s="7">
        <v>3</v>
      </c>
      <c r="E68" s="7">
        <f t="shared" si="6"/>
        <v>28</v>
      </c>
      <c r="F68" s="11" t="e">
        <v>#N/A</v>
      </c>
      <c r="G68">
        <v>14</v>
      </c>
      <c r="H68">
        <v>16</v>
      </c>
      <c r="I68">
        <v>6</v>
      </c>
      <c r="J68">
        <v>3</v>
      </c>
      <c r="K68">
        <f t="shared" si="7"/>
        <v>39</v>
      </c>
      <c r="L68" t="e">
        <v>#N/A</v>
      </c>
      <c r="M68">
        <v>36849.201415160009</v>
      </c>
      <c r="N68" s="7">
        <v>11</v>
      </c>
      <c r="O68" s="7">
        <v>12</v>
      </c>
      <c r="P68" s="7">
        <v>3</v>
      </c>
      <c r="Q68" s="7">
        <v>4</v>
      </c>
      <c r="R68" s="7">
        <f t="shared" si="8"/>
        <v>30</v>
      </c>
      <c r="S68" t="e">
        <v>#N/A</v>
      </c>
      <c r="T68" s="7">
        <v>11</v>
      </c>
      <c r="U68" s="7">
        <v>12</v>
      </c>
      <c r="V68" s="7">
        <v>3</v>
      </c>
      <c r="W68" s="7">
        <v>7</v>
      </c>
      <c r="X68" s="7">
        <f t="shared" si="9"/>
        <v>33</v>
      </c>
      <c r="Y68" t="e">
        <v>#N/A</v>
      </c>
      <c r="Z68">
        <v>13101.550132189999</v>
      </c>
      <c r="AA68" t="s">
        <v>113</v>
      </c>
      <c r="AB68">
        <v>60</v>
      </c>
      <c r="AC68">
        <v>0</v>
      </c>
      <c r="AD68" t="s">
        <v>114</v>
      </c>
      <c r="AE68" t="s">
        <v>75</v>
      </c>
      <c r="AF68">
        <v>334</v>
      </c>
      <c r="AG68" s="8">
        <v>182</v>
      </c>
      <c r="AH68">
        <v>3</v>
      </c>
      <c r="AI68">
        <v>5</v>
      </c>
      <c r="AJ68">
        <v>11</v>
      </c>
      <c r="AK68">
        <v>1.6483516483516484E-2</v>
      </c>
      <c r="AL68">
        <v>0.22237479499833035</v>
      </c>
      <c r="AM68">
        <v>-9</v>
      </c>
      <c r="AN68">
        <v>1</v>
      </c>
      <c r="AO68">
        <v>0.1</v>
      </c>
      <c r="AP68">
        <v>0.10714285714285714</v>
      </c>
      <c r="AQ68">
        <v>0.10714285714285714</v>
      </c>
      <c r="AR68">
        <v>0.4642857142857143</v>
      </c>
      <c r="AS68">
        <v>0.42857142857142855</v>
      </c>
      <c r="AT68">
        <v>0</v>
      </c>
      <c r="AU68">
        <v>49950.75154735001</v>
      </c>
      <c r="AV68">
        <v>13</v>
      </c>
      <c r="AW68">
        <f t="shared" si="10"/>
        <v>1</v>
      </c>
      <c r="AX68">
        <v>0</v>
      </c>
      <c r="AY68">
        <f t="shared" si="11"/>
        <v>0</v>
      </c>
      <c r="AZ68">
        <v>0</v>
      </c>
      <c r="BA68">
        <v>1</v>
      </c>
      <c r="BB68">
        <v>2020</v>
      </c>
      <c r="BC68">
        <v>12</v>
      </c>
      <c r="BD68">
        <v>2020</v>
      </c>
      <c r="BE68">
        <v>1</v>
      </c>
      <c r="BF68">
        <v>2020</v>
      </c>
    </row>
    <row r="69" spans="1:58" x14ac:dyDescent="0.2">
      <c r="A69" s="7">
        <v>4</v>
      </c>
      <c r="B69" s="7">
        <v>11</v>
      </c>
      <c r="C69" s="7">
        <v>2</v>
      </c>
      <c r="D69" s="7">
        <v>4</v>
      </c>
      <c r="E69" s="7">
        <f t="shared" si="6"/>
        <v>21</v>
      </c>
      <c r="F69" s="11" t="s">
        <v>39</v>
      </c>
      <c r="G69">
        <v>4</v>
      </c>
      <c r="H69">
        <v>11</v>
      </c>
      <c r="I69">
        <v>2</v>
      </c>
      <c r="J69">
        <v>4</v>
      </c>
      <c r="K69">
        <f t="shared" si="7"/>
        <v>21</v>
      </c>
      <c r="L69" t="s">
        <v>39</v>
      </c>
      <c r="M69">
        <v>11862.19706968</v>
      </c>
      <c r="N69" s="7">
        <v>4</v>
      </c>
      <c r="O69" s="7">
        <v>11</v>
      </c>
      <c r="P69" s="7">
        <v>2</v>
      </c>
      <c r="Q69" s="7">
        <v>4</v>
      </c>
      <c r="R69" s="7">
        <f t="shared" si="8"/>
        <v>21</v>
      </c>
      <c r="S69" t="s">
        <v>39</v>
      </c>
      <c r="T69" s="7">
        <v>4</v>
      </c>
      <c r="U69" s="7">
        <v>11</v>
      </c>
      <c r="V69" s="7">
        <v>2</v>
      </c>
      <c r="W69" s="7">
        <v>4</v>
      </c>
      <c r="X69" s="7">
        <f t="shared" si="9"/>
        <v>21</v>
      </c>
      <c r="Y69" t="s">
        <v>39</v>
      </c>
      <c r="Z69">
        <v>17317.012464840001</v>
      </c>
      <c r="AA69" t="s">
        <v>534</v>
      </c>
      <c r="AB69" t="e">
        <v>#N/A</v>
      </c>
      <c r="AF69" t="e">
        <v>#N/A</v>
      </c>
      <c r="AG69" s="8">
        <v>211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0.19047619047619047</v>
      </c>
      <c r="AR69">
        <v>0.19047619047619047</v>
      </c>
      <c r="AS69">
        <v>0.52380952380952384</v>
      </c>
      <c r="AT69">
        <v>9.5238095238095233E-2</v>
      </c>
      <c r="AU69">
        <v>29179.20953452</v>
      </c>
      <c r="AV69" t="s">
        <v>489</v>
      </c>
      <c r="AW69" t="str">
        <f t="shared" si="10"/>
        <v>n/a</v>
      </c>
      <c r="AY69" t="e">
        <f t="shared" si="11"/>
        <v>#N/A</v>
      </c>
      <c r="AZ69" t="e">
        <v>#N/A</v>
      </c>
      <c r="BA69">
        <v>1</v>
      </c>
      <c r="BB69">
        <v>2018</v>
      </c>
      <c r="BC69">
        <v>1</v>
      </c>
      <c r="BD69">
        <v>2018</v>
      </c>
      <c r="BE69">
        <v>1</v>
      </c>
      <c r="BF69">
        <v>2018</v>
      </c>
    </row>
    <row r="70" spans="1:58" x14ac:dyDescent="0.2">
      <c r="A70" s="7">
        <v>0</v>
      </c>
      <c r="B70" s="7">
        <v>13</v>
      </c>
      <c r="C70" s="7">
        <v>0</v>
      </c>
      <c r="D70" s="7">
        <v>3</v>
      </c>
      <c r="E70" s="7">
        <f t="shared" si="6"/>
        <v>16</v>
      </c>
      <c r="F70" s="11" t="s">
        <v>36</v>
      </c>
      <c r="G70">
        <v>0</v>
      </c>
      <c r="H70">
        <v>13</v>
      </c>
      <c r="I70">
        <v>0</v>
      </c>
      <c r="J70">
        <v>3</v>
      </c>
      <c r="K70">
        <f t="shared" si="7"/>
        <v>16</v>
      </c>
      <c r="L70" t="s">
        <v>36</v>
      </c>
      <c r="M70">
        <v>56271.425027970021</v>
      </c>
      <c r="N70" s="7">
        <v>6</v>
      </c>
      <c r="O70" s="7">
        <v>11</v>
      </c>
      <c r="P70" s="7">
        <v>0</v>
      </c>
      <c r="Q70" s="7">
        <v>5</v>
      </c>
      <c r="R70" s="7">
        <f t="shared" si="8"/>
        <v>22</v>
      </c>
      <c r="S70" t="s">
        <v>36</v>
      </c>
      <c r="T70" s="7">
        <v>6</v>
      </c>
      <c r="U70" s="7">
        <v>11</v>
      </c>
      <c r="V70" s="7">
        <v>0</v>
      </c>
      <c r="W70" s="7">
        <v>5</v>
      </c>
      <c r="X70" s="7">
        <f t="shared" si="9"/>
        <v>22</v>
      </c>
      <c r="Y70" t="s">
        <v>39</v>
      </c>
      <c r="Z70">
        <v>59984.675299270013</v>
      </c>
      <c r="AA70" t="s">
        <v>535</v>
      </c>
      <c r="AB70">
        <v>47</v>
      </c>
      <c r="AC70">
        <v>0</v>
      </c>
      <c r="AD70" t="s">
        <v>82</v>
      </c>
      <c r="AE70" t="s">
        <v>41</v>
      </c>
      <c r="AF70" t="e">
        <v>#N/A</v>
      </c>
      <c r="AG70" s="8">
        <v>120</v>
      </c>
      <c r="AH70">
        <v>0</v>
      </c>
      <c r="AI70">
        <v>6</v>
      </c>
      <c r="AJ70">
        <v>0</v>
      </c>
      <c r="AK70">
        <v>0</v>
      </c>
      <c r="AL70">
        <v>0</v>
      </c>
      <c r="AM70">
        <v>6</v>
      </c>
      <c r="AN70">
        <v>0</v>
      </c>
      <c r="AO70">
        <v>0</v>
      </c>
      <c r="AP70">
        <v>0</v>
      </c>
      <c r="AQ70">
        <v>0.1875</v>
      </c>
      <c r="AR70">
        <v>0</v>
      </c>
      <c r="AS70">
        <v>0.8125</v>
      </c>
      <c r="AT70">
        <v>0</v>
      </c>
      <c r="AU70">
        <v>116256.10032724004</v>
      </c>
      <c r="AV70">
        <v>20</v>
      </c>
      <c r="AW70">
        <f t="shared" si="10"/>
        <v>1</v>
      </c>
      <c r="AX70">
        <v>0</v>
      </c>
      <c r="AY70">
        <f t="shared" si="11"/>
        <v>0</v>
      </c>
      <c r="AZ70" t="e">
        <v>#N/A</v>
      </c>
      <c r="BA70">
        <v>12</v>
      </c>
      <c r="BB70">
        <v>2018</v>
      </c>
      <c r="BC70">
        <v>12</v>
      </c>
      <c r="BD70">
        <v>2018</v>
      </c>
      <c r="BE70">
        <v>1</v>
      </c>
      <c r="BF70">
        <v>2019</v>
      </c>
    </row>
    <row r="71" spans="1:58" x14ac:dyDescent="0.2">
      <c r="A71" s="7">
        <v>4</v>
      </c>
      <c r="B71" s="7">
        <v>26</v>
      </c>
      <c r="C71" s="7">
        <v>0</v>
      </c>
      <c r="D71" s="7">
        <v>3</v>
      </c>
      <c r="E71" s="7">
        <f t="shared" si="6"/>
        <v>33</v>
      </c>
      <c r="F71" s="11" t="s">
        <v>36</v>
      </c>
      <c r="G71">
        <v>4</v>
      </c>
      <c r="H71">
        <v>26</v>
      </c>
      <c r="I71">
        <v>0</v>
      </c>
      <c r="J71">
        <v>3</v>
      </c>
      <c r="K71">
        <f t="shared" si="7"/>
        <v>33</v>
      </c>
      <c r="L71" t="s">
        <v>36</v>
      </c>
      <c r="M71">
        <v>12196.88845223</v>
      </c>
      <c r="N71" s="7">
        <v>4</v>
      </c>
      <c r="O71" s="7">
        <v>19</v>
      </c>
      <c r="P71" s="7">
        <v>0</v>
      </c>
      <c r="Q71" s="7">
        <v>0</v>
      </c>
      <c r="R71" s="7">
        <f t="shared" si="8"/>
        <v>23</v>
      </c>
      <c r="S71" t="e">
        <v>#N/A</v>
      </c>
      <c r="T71" s="7">
        <v>4</v>
      </c>
      <c r="U71" s="7">
        <v>19</v>
      </c>
      <c r="V71" s="7">
        <v>0</v>
      </c>
      <c r="W71" s="7">
        <v>0</v>
      </c>
      <c r="X71" s="7">
        <f t="shared" si="9"/>
        <v>23</v>
      </c>
      <c r="Y71" t="e">
        <v>#N/A</v>
      </c>
      <c r="Z71">
        <v>6011.0286213600002</v>
      </c>
      <c r="AA71" t="s">
        <v>536</v>
      </c>
      <c r="AB71">
        <v>61</v>
      </c>
      <c r="AC71">
        <v>0</v>
      </c>
      <c r="AD71" t="s">
        <v>67</v>
      </c>
      <c r="AE71" t="s">
        <v>41</v>
      </c>
      <c r="AF71" t="e">
        <v>#N/A</v>
      </c>
      <c r="AG71" s="8">
        <v>0</v>
      </c>
      <c r="AH71">
        <v>0</v>
      </c>
      <c r="AI71">
        <v>-10</v>
      </c>
      <c r="AJ71">
        <v>0</v>
      </c>
      <c r="AK71" t="e">
        <v>#N/A</v>
      </c>
      <c r="AL71" t="e">
        <v>#N/A</v>
      </c>
      <c r="AM71">
        <v>-10</v>
      </c>
      <c r="AN71">
        <v>1</v>
      </c>
      <c r="AO71">
        <v>0</v>
      </c>
      <c r="AP71">
        <v>0</v>
      </c>
      <c r="AQ71">
        <v>9.0909090909090912E-2</v>
      </c>
      <c r="AR71">
        <v>0.12121212121212122</v>
      </c>
      <c r="AS71">
        <v>0.78787878787878785</v>
      </c>
      <c r="AT71">
        <v>0</v>
      </c>
      <c r="AU71">
        <v>18207.917073590001</v>
      </c>
      <c r="AV71">
        <v>8</v>
      </c>
      <c r="AW71">
        <f t="shared" si="10"/>
        <v>0</v>
      </c>
      <c r="AX71">
        <v>0</v>
      </c>
      <c r="AY71">
        <f t="shared" si="11"/>
        <v>0</v>
      </c>
      <c r="AZ71" t="e">
        <v>#N/A</v>
      </c>
      <c r="BA71">
        <v>8</v>
      </c>
      <c r="BB71">
        <v>2019</v>
      </c>
      <c r="BC71">
        <v>8</v>
      </c>
      <c r="BD71">
        <v>2019</v>
      </c>
      <c r="BE71">
        <v>7</v>
      </c>
      <c r="BF71">
        <v>2019</v>
      </c>
    </row>
    <row r="72" spans="1:58" x14ac:dyDescent="0.2">
      <c r="A72" s="7">
        <v>0</v>
      </c>
      <c r="B72" s="7">
        <v>0</v>
      </c>
      <c r="C72" s="7">
        <v>0</v>
      </c>
      <c r="D72" s="7">
        <v>0</v>
      </c>
      <c r="E72" s="7">
        <f t="shared" si="6"/>
        <v>0</v>
      </c>
      <c r="F72" s="11" t="e">
        <v>#N/A</v>
      </c>
      <c r="G72">
        <v>0</v>
      </c>
      <c r="H72">
        <v>0</v>
      </c>
      <c r="I72">
        <v>0</v>
      </c>
      <c r="J72">
        <v>0</v>
      </c>
      <c r="K72">
        <f t="shared" si="7"/>
        <v>0</v>
      </c>
      <c r="L72" t="e">
        <v>#N/A</v>
      </c>
      <c r="N72" s="7">
        <v>11</v>
      </c>
      <c r="O72" s="7">
        <v>16</v>
      </c>
      <c r="P72" s="7">
        <v>0</v>
      </c>
      <c r="Q72" s="7">
        <v>0</v>
      </c>
      <c r="R72" s="7">
        <f t="shared" si="8"/>
        <v>27</v>
      </c>
      <c r="S72" t="e">
        <v>#N/A</v>
      </c>
      <c r="T72" s="7">
        <v>11</v>
      </c>
      <c r="U72" s="7">
        <v>16</v>
      </c>
      <c r="V72" s="7">
        <v>0</v>
      </c>
      <c r="W72" s="7">
        <v>0</v>
      </c>
      <c r="X72" s="7">
        <f t="shared" si="9"/>
        <v>27</v>
      </c>
      <c r="Y72" t="e">
        <v>#N/A</v>
      </c>
      <c r="Z72">
        <v>13142.104556</v>
      </c>
      <c r="AA72" t="s">
        <v>537</v>
      </c>
      <c r="AB72">
        <v>60</v>
      </c>
      <c r="AC72">
        <v>0</v>
      </c>
      <c r="AD72" t="s">
        <v>82</v>
      </c>
      <c r="AE72" t="s">
        <v>41</v>
      </c>
      <c r="AF72" t="e">
        <v>#N/A</v>
      </c>
      <c r="AG72" s="8">
        <v>0</v>
      </c>
      <c r="AH72">
        <v>0</v>
      </c>
      <c r="AI72">
        <v>27</v>
      </c>
      <c r="AJ72">
        <v>0</v>
      </c>
      <c r="AK72" t="e">
        <v>#N/A</v>
      </c>
      <c r="AL72" t="e">
        <v>#N/A</v>
      </c>
      <c r="AM72">
        <v>27</v>
      </c>
      <c r="AN72">
        <v>0</v>
      </c>
      <c r="AO72">
        <v>0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>
        <v>13142.104556</v>
      </c>
      <c r="AV72">
        <v>5</v>
      </c>
      <c r="AW72">
        <f t="shared" si="10"/>
        <v>0</v>
      </c>
      <c r="AX72">
        <v>0</v>
      </c>
      <c r="AY72">
        <f t="shared" si="11"/>
        <v>0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>
        <v>11</v>
      </c>
      <c r="BF72">
        <v>2019</v>
      </c>
    </row>
    <row r="73" spans="1:58" x14ac:dyDescent="0.2">
      <c r="A73" s="7">
        <v>0</v>
      </c>
      <c r="B73" s="7">
        <v>11</v>
      </c>
      <c r="C73" s="7">
        <v>0</v>
      </c>
      <c r="D73" s="7">
        <v>0</v>
      </c>
      <c r="E73" s="7">
        <f t="shared" si="6"/>
        <v>11</v>
      </c>
      <c r="F73" s="11" t="s">
        <v>68</v>
      </c>
      <c r="G73">
        <v>0</v>
      </c>
      <c r="H73">
        <v>13</v>
      </c>
      <c r="I73">
        <v>0</v>
      </c>
      <c r="J73">
        <v>0</v>
      </c>
      <c r="K73">
        <f t="shared" si="7"/>
        <v>13</v>
      </c>
      <c r="L73" t="e">
        <v>#N/A</v>
      </c>
      <c r="M73">
        <v>22811.38376343</v>
      </c>
      <c r="N73" s="7">
        <v>0</v>
      </c>
      <c r="O73" s="7">
        <v>11</v>
      </c>
      <c r="P73" s="7">
        <v>0</v>
      </c>
      <c r="Q73" s="7">
        <v>0</v>
      </c>
      <c r="R73" s="7">
        <f t="shared" si="8"/>
        <v>11</v>
      </c>
      <c r="S73" t="s">
        <v>68</v>
      </c>
      <c r="T73" s="7">
        <v>0</v>
      </c>
      <c r="U73" s="7">
        <v>11</v>
      </c>
      <c r="V73" s="7">
        <v>0</v>
      </c>
      <c r="W73" s="7">
        <v>2</v>
      </c>
      <c r="X73" s="7">
        <f t="shared" si="9"/>
        <v>13</v>
      </c>
      <c r="Y73" t="s">
        <v>68</v>
      </c>
      <c r="Z73">
        <v>28242.83451158</v>
      </c>
      <c r="AA73" t="s">
        <v>538</v>
      </c>
      <c r="AB73" t="e">
        <v>#N/A</v>
      </c>
      <c r="AF73">
        <v>150</v>
      </c>
      <c r="AG73" s="8">
        <v>12</v>
      </c>
      <c r="AH73">
        <v>2</v>
      </c>
      <c r="AI73">
        <v>2</v>
      </c>
      <c r="AJ73">
        <v>2</v>
      </c>
      <c r="AK73">
        <v>0.16666666666666666</v>
      </c>
      <c r="AL73">
        <v>0.57735026918962584</v>
      </c>
      <c r="AM73">
        <v>-2</v>
      </c>
      <c r="AN73">
        <v>1</v>
      </c>
      <c r="AO73">
        <v>0.18181818181818182</v>
      </c>
      <c r="AP73">
        <v>0.18181818181818182</v>
      </c>
      <c r="AQ73">
        <v>0</v>
      </c>
      <c r="AR73">
        <v>0</v>
      </c>
      <c r="AS73">
        <v>1</v>
      </c>
      <c r="AT73">
        <v>0</v>
      </c>
      <c r="AU73">
        <v>51054.218275010004</v>
      </c>
      <c r="AV73" t="s">
        <v>489</v>
      </c>
      <c r="AW73" t="str">
        <f t="shared" si="10"/>
        <v>n/a</v>
      </c>
      <c r="AY73" t="e">
        <f t="shared" si="11"/>
        <v>#N/A</v>
      </c>
      <c r="AZ73" t="e">
        <v>#N/A</v>
      </c>
      <c r="BA73">
        <v>1</v>
      </c>
      <c r="BB73">
        <v>2018</v>
      </c>
      <c r="BC73">
        <v>6</v>
      </c>
      <c r="BD73">
        <v>2018</v>
      </c>
      <c r="BE73">
        <v>10</v>
      </c>
      <c r="BF73">
        <v>2018</v>
      </c>
    </row>
    <row r="74" spans="1:58" x14ac:dyDescent="0.2">
      <c r="A74" s="7">
        <v>19</v>
      </c>
      <c r="B74" s="7">
        <v>24</v>
      </c>
      <c r="C74" s="7">
        <v>4</v>
      </c>
      <c r="D74" s="7">
        <v>0</v>
      </c>
      <c r="E74" s="7">
        <f t="shared" si="6"/>
        <v>47</v>
      </c>
      <c r="F74" s="11" t="s">
        <v>36</v>
      </c>
      <c r="G74">
        <v>19</v>
      </c>
      <c r="H74">
        <v>24</v>
      </c>
      <c r="I74">
        <v>4</v>
      </c>
      <c r="J74">
        <v>0</v>
      </c>
      <c r="K74">
        <f t="shared" si="7"/>
        <v>47</v>
      </c>
      <c r="L74" t="s">
        <v>36</v>
      </c>
      <c r="M74">
        <v>9500.8146156100011</v>
      </c>
      <c r="N74" s="7">
        <v>17</v>
      </c>
      <c r="O74" s="7">
        <v>33</v>
      </c>
      <c r="P74" s="7">
        <v>6</v>
      </c>
      <c r="Q74" s="7">
        <v>2</v>
      </c>
      <c r="R74" s="7">
        <f t="shared" si="8"/>
        <v>58</v>
      </c>
      <c r="S74" t="s">
        <v>36</v>
      </c>
      <c r="T74" s="7">
        <v>16</v>
      </c>
      <c r="U74" s="7">
        <v>22</v>
      </c>
      <c r="V74" s="7">
        <v>8</v>
      </c>
      <c r="W74" s="7">
        <v>6</v>
      </c>
      <c r="X74" s="7">
        <f t="shared" si="9"/>
        <v>52</v>
      </c>
      <c r="Y74" t="s">
        <v>36</v>
      </c>
      <c r="Z74">
        <v>35442.982994489998</v>
      </c>
      <c r="AA74" t="s">
        <v>539</v>
      </c>
      <c r="AB74">
        <v>62</v>
      </c>
      <c r="AC74">
        <v>0</v>
      </c>
      <c r="AD74" t="s">
        <v>115</v>
      </c>
      <c r="AE74" t="s">
        <v>75</v>
      </c>
      <c r="AF74" t="e">
        <v>#N/A</v>
      </c>
      <c r="AG74" s="8">
        <v>104</v>
      </c>
      <c r="AH74">
        <v>-6</v>
      </c>
      <c r="AI74">
        <v>5</v>
      </c>
      <c r="AJ74">
        <v>0</v>
      </c>
      <c r="AK74">
        <v>-5.7692307692307696E-2</v>
      </c>
      <c r="AL74">
        <v>-0.58834840541455213</v>
      </c>
      <c r="AM74">
        <v>11</v>
      </c>
      <c r="AN74">
        <v>0</v>
      </c>
      <c r="AO74">
        <v>-0.10344827586206896</v>
      </c>
      <c r="AP74">
        <v>-0.1276595744680851</v>
      </c>
      <c r="AQ74">
        <v>0</v>
      </c>
      <c r="AR74">
        <v>0.40425531914893614</v>
      </c>
      <c r="AS74">
        <v>0.51063829787234039</v>
      </c>
      <c r="AT74">
        <v>8.5106382978723402E-2</v>
      </c>
      <c r="AU74">
        <v>44943.797610099995</v>
      </c>
      <c r="AV74">
        <v>5</v>
      </c>
      <c r="AW74">
        <f t="shared" si="10"/>
        <v>0</v>
      </c>
      <c r="AX74">
        <v>0</v>
      </c>
      <c r="AY74">
        <f t="shared" si="11"/>
        <v>0</v>
      </c>
      <c r="AZ74" t="e">
        <v>#N/A</v>
      </c>
      <c r="BA74">
        <v>6</v>
      </c>
      <c r="BB74">
        <v>2019</v>
      </c>
      <c r="BC74">
        <v>6</v>
      </c>
      <c r="BD74">
        <v>2019</v>
      </c>
      <c r="BE74">
        <v>1</v>
      </c>
      <c r="BF74">
        <v>2019</v>
      </c>
    </row>
    <row r="75" spans="1:58" x14ac:dyDescent="0.2">
      <c r="A75" s="7">
        <v>2</v>
      </c>
      <c r="B75" s="7">
        <v>15</v>
      </c>
      <c r="C75" s="7">
        <v>0</v>
      </c>
      <c r="D75" s="7">
        <v>0</v>
      </c>
      <c r="E75" s="7">
        <f t="shared" si="6"/>
        <v>17</v>
      </c>
      <c r="F75" s="11" t="s">
        <v>36</v>
      </c>
      <c r="G75">
        <v>2</v>
      </c>
      <c r="H75">
        <v>15</v>
      </c>
      <c r="I75">
        <v>0</v>
      </c>
      <c r="J75">
        <v>0</v>
      </c>
      <c r="K75">
        <f t="shared" si="7"/>
        <v>17</v>
      </c>
      <c r="L75" t="s">
        <v>36</v>
      </c>
      <c r="M75">
        <v>5432.9338200000002</v>
      </c>
      <c r="N75" s="7">
        <v>2</v>
      </c>
      <c r="O75" s="7">
        <v>15</v>
      </c>
      <c r="P75" s="7">
        <v>0</v>
      </c>
      <c r="Q75" s="7">
        <v>0</v>
      </c>
      <c r="R75" s="7">
        <f t="shared" si="8"/>
        <v>17</v>
      </c>
      <c r="S75" t="s">
        <v>36</v>
      </c>
      <c r="T75" s="7">
        <v>5</v>
      </c>
      <c r="U75" s="7">
        <v>15</v>
      </c>
      <c r="V75" s="7">
        <v>0</v>
      </c>
      <c r="W75" s="7">
        <v>3</v>
      </c>
      <c r="X75" s="7">
        <f t="shared" si="9"/>
        <v>23</v>
      </c>
      <c r="Y75" t="s">
        <v>36</v>
      </c>
      <c r="Z75">
        <v>28600.136184700001</v>
      </c>
      <c r="AA75" t="s">
        <v>540</v>
      </c>
      <c r="AB75" t="e">
        <v>#N/A</v>
      </c>
      <c r="AF75" t="e">
        <v>#N/A</v>
      </c>
      <c r="AG75" s="8">
        <v>62</v>
      </c>
      <c r="AH75">
        <v>6</v>
      </c>
      <c r="AI75">
        <v>6</v>
      </c>
      <c r="AJ75">
        <v>0</v>
      </c>
      <c r="AK75">
        <v>9.6774193548387094E-2</v>
      </c>
      <c r="AL75">
        <v>0.76200076200114297</v>
      </c>
      <c r="AM75">
        <v>0</v>
      </c>
      <c r="AN75">
        <v>0</v>
      </c>
      <c r="AO75">
        <v>0.35294117647058826</v>
      </c>
      <c r="AP75">
        <v>0.35294117647058826</v>
      </c>
      <c r="AQ75">
        <v>0</v>
      </c>
      <c r="AR75">
        <v>0.11764705882352941</v>
      </c>
      <c r="AS75">
        <v>0.88235294117647056</v>
      </c>
      <c r="AT75">
        <v>0</v>
      </c>
      <c r="AU75">
        <v>34033.070004699999</v>
      </c>
      <c r="AV75" t="s">
        <v>489</v>
      </c>
      <c r="AW75" t="str">
        <f t="shared" si="10"/>
        <v>n/a</v>
      </c>
      <c r="AY75" t="e">
        <f t="shared" si="11"/>
        <v>#N/A</v>
      </c>
      <c r="AZ75" t="e">
        <v>#N/A</v>
      </c>
      <c r="BA75">
        <v>1</v>
      </c>
      <c r="BB75">
        <v>2018</v>
      </c>
      <c r="BC75">
        <v>1</v>
      </c>
      <c r="BD75">
        <v>2018</v>
      </c>
      <c r="BE75">
        <v>10</v>
      </c>
      <c r="BF75">
        <v>2018</v>
      </c>
    </row>
    <row r="76" spans="1:58" x14ac:dyDescent="0.2">
      <c r="A76" s="7">
        <v>8</v>
      </c>
      <c r="B76" s="7">
        <v>15</v>
      </c>
      <c r="C76" s="7">
        <v>0</v>
      </c>
      <c r="D76" s="7">
        <v>0</v>
      </c>
      <c r="E76" s="7">
        <f t="shared" si="6"/>
        <v>23</v>
      </c>
      <c r="F76" s="11" t="e">
        <v>#N/A</v>
      </c>
      <c r="G76">
        <v>5</v>
      </c>
      <c r="H76">
        <v>15</v>
      </c>
      <c r="I76">
        <v>0</v>
      </c>
      <c r="J76">
        <v>0</v>
      </c>
      <c r="K76">
        <f t="shared" si="7"/>
        <v>20</v>
      </c>
      <c r="L76" t="e">
        <v>#N/A</v>
      </c>
      <c r="M76">
        <v>18910.148474860001</v>
      </c>
      <c r="N76" s="7">
        <v>8</v>
      </c>
      <c r="O76" s="7">
        <v>15</v>
      </c>
      <c r="P76" s="7">
        <v>0</v>
      </c>
      <c r="Q76" s="7">
        <v>2</v>
      </c>
      <c r="R76" s="7">
        <f t="shared" si="8"/>
        <v>25</v>
      </c>
      <c r="S76" t="e">
        <v>#N/A</v>
      </c>
      <c r="T76" s="7">
        <v>8</v>
      </c>
      <c r="U76" s="7">
        <v>15</v>
      </c>
      <c r="V76" s="7">
        <v>0</v>
      </c>
      <c r="W76" s="7">
        <v>2</v>
      </c>
      <c r="X76" s="7">
        <f t="shared" si="9"/>
        <v>25</v>
      </c>
      <c r="Y76" t="e">
        <v>#N/A</v>
      </c>
      <c r="Z76">
        <v>26766.039241660001</v>
      </c>
      <c r="AA76" t="s">
        <v>116</v>
      </c>
      <c r="AB76">
        <v>52</v>
      </c>
      <c r="AC76">
        <v>0</v>
      </c>
      <c r="AD76" t="s">
        <v>99</v>
      </c>
      <c r="AE76" t="s">
        <v>41</v>
      </c>
      <c r="AF76">
        <v>160</v>
      </c>
      <c r="AG76" s="8">
        <v>225</v>
      </c>
      <c r="AH76">
        <v>0</v>
      </c>
      <c r="AI76">
        <v>2</v>
      </c>
      <c r="AJ76">
        <v>-3</v>
      </c>
      <c r="AK76">
        <v>0</v>
      </c>
      <c r="AL76">
        <v>0</v>
      </c>
      <c r="AM76">
        <v>5</v>
      </c>
      <c r="AN76">
        <v>0</v>
      </c>
      <c r="AO76">
        <v>0</v>
      </c>
      <c r="AP76">
        <v>0</v>
      </c>
      <c r="AQ76">
        <v>0</v>
      </c>
      <c r="AR76">
        <v>0.34782608695652173</v>
      </c>
      <c r="AS76">
        <v>0.65217391304347827</v>
      </c>
      <c r="AT76">
        <v>0</v>
      </c>
      <c r="AU76">
        <v>45676.187716519999</v>
      </c>
      <c r="AV76">
        <v>10</v>
      </c>
      <c r="AW76">
        <f t="shared" si="10"/>
        <v>1</v>
      </c>
      <c r="AX76">
        <v>0</v>
      </c>
      <c r="AY76">
        <f t="shared" si="11"/>
        <v>0</v>
      </c>
      <c r="AZ76">
        <v>0</v>
      </c>
      <c r="BA76">
        <v>1</v>
      </c>
      <c r="BB76">
        <v>2020</v>
      </c>
      <c r="BC76">
        <v>6</v>
      </c>
      <c r="BD76">
        <v>2020</v>
      </c>
      <c r="BE76">
        <v>1</v>
      </c>
      <c r="BF76">
        <v>2020</v>
      </c>
    </row>
    <row r="77" spans="1:58" x14ac:dyDescent="0.2">
      <c r="A77" s="7">
        <v>8</v>
      </c>
      <c r="B77" s="7">
        <v>21</v>
      </c>
      <c r="C77" s="7">
        <v>6</v>
      </c>
      <c r="D77" s="7">
        <v>7</v>
      </c>
      <c r="E77" s="7">
        <f t="shared" si="6"/>
        <v>42</v>
      </c>
      <c r="F77" s="11" t="s">
        <v>36</v>
      </c>
      <c r="G77">
        <v>20</v>
      </c>
      <c r="H77">
        <v>34</v>
      </c>
      <c r="I77">
        <v>8</v>
      </c>
      <c r="J77">
        <v>7</v>
      </c>
      <c r="K77">
        <f t="shared" si="7"/>
        <v>69</v>
      </c>
      <c r="L77" t="s">
        <v>36</v>
      </c>
      <c r="M77">
        <v>20596.277443679999</v>
      </c>
      <c r="N77" s="7">
        <v>15</v>
      </c>
      <c r="O77" s="7">
        <v>26</v>
      </c>
      <c r="P77" s="7">
        <v>7</v>
      </c>
      <c r="Q77" s="7">
        <v>7</v>
      </c>
      <c r="R77" s="7">
        <f t="shared" si="8"/>
        <v>55</v>
      </c>
      <c r="S77" t="s">
        <v>36</v>
      </c>
      <c r="T77" s="7">
        <v>20</v>
      </c>
      <c r="U77" s="7">
        <v>31</v>
      </c>
      <c r="V77" s="7">
        <v>9</v>
      </c>
      <c r="W77" s="7">
        <v>7</v>
      </c>
      <c r="X77" s="7">
        <f t="shared" si="9"/>
        <v>67</v>
      </c>
      <c r="Y77" t="s">
        <v>36</v>
      </c>
      <c r="Z77">
        <v>21077.728595789999</v>
      </c>
      <c r="AA77" t="s">
        <v>541</v>
      </c>
      <c r="AB77">
        <v>45</v>
      </c>
      <c r="AC77">
        <v>0</v>
      </c>
      <c r="AD77" t="s">
        <v>117</v>
      </c>
      <c r="AE77" t="s">
        <v>41</v>
      </c>
      <c r="AF77">
        <v>50</v>
      </c>
      <c r="AG77" s="8">
        <v>304</v>
      </c>
      <c r="AH77">
        <v>12</v>
      </c>
      <c r="AI77">
        <v>25</v>
      </c>
      <c r="AJ77">
        <v>27</v>
      </c>
      <c r="AK77">
        <v>3.9473684210526314E-2</v>
      </c>
      <c r="AL77">
        <v>0.68824720161168518</v>
      </c>
      <c r="AM77">
        <v>-14</v>
      </c>
      <c r="AN77">
        <v>1</v>
      </c>
      <c r="AO77">
        <v>0.21818181818181817</v>
      </c>
      <c r="AP77">
        <v>0.2857142857142857</v>
      </c>
      <c r="AQ77">
        <v>0.16666666666666666</v>
      </c>
      <c r="AR77">
        <v>0.19047619047619047</v>
      </c>
      <c r="AS77">
        <v>0.5</v>
      </c>
      <c r="AT77">
        <v>0.14285714285714285</v>
      </c>
      <c r="AU77">
        <v>41674.006039469998</v>
      </c>
      <c r="AV77">
        <v>6</v>
      </c>
      <c r="AW77">
        <f t="shared" si="10"/>
        <v>0</v>
      </c>
      <c r="AX77">
        <v>0</v>
      </c>
      <c r="AY77">
        <f t="shared" si="11"/>
        <v>0</v>
      </c>
      <c r="AZ77">
        <v>0</v>
      </c>
      <c r="BA77">
        <v>1</v>
      </c>
      <c r="BB77">
        <v>2019</v>
      </c>
      <c r="BC77">
        <v>2</v>
      </c>
      <c r="BD77">
        <v>2019</v>
      </c>
      <c r="BE77">
        <v>1</v>
      </c>
      <c r="BF77">
        <v>2019</v>
      </c>
    </row>
    <row r="78" spans="1:58" x14ac:dyDescent="0.2">
      <c r="A78" s="7">
        <v>10</v>
      </c>
      <c r="B78" s="7">
        <v>29</v>
      </c>
      <c r="C78" s="7">
        <v>2</v>
      </c>
      <c r="D78" s="7">
        <v>0</v>
      </c>
      <c r="E78" s="7">
        <f t="shared" si="6"/>
        <v>41</v>
      </c>
      <c r="F78" s="11" t="s">
        <v>36</v>
      </c>
      <c r="G78">
        <v>10</v>
      </c>
      <c r="H78">
        <v>29</v>
      </c>
      <c r="I78">
        <v>2</v>
      </c>
      <c r="J78">
        <v>0</v>
      </c>
      <c r="K78">
        <f t="shared" si="7"/>
        <v>41</v>
      </c>
      <c r="L78" t="s">
        <v>36</v>
      </c>
      <c r="M78">
        <v>11229.293084319999</v>
      </c>
      <c r="N78" s="7">
        <v>7</v>
      </c>
      <c r="O78" s="7">
        <v>21</v>
      </c>
      <c r="P78" s="7">
        <v>0</v>
      </c>
      <c r="Q78" s="7">
        <v>0</v>
      </c>
      <c r="R78" s="7">
        <f t="shared" si="8"/>
        <v>28</v>
      </c>
      <c r="S78" t="s">
        <v>36</v>
      </c>
      <c r="T78" s="7">
        <v>19</v>
      </c>
      <c r="U78" s="7">
        <v>29</v>
      </c>
      <c r="V78" s="7">
        <v>6</v>
      </c>
      <c r="W78" s="7">
        <v>0</v>
      </c>
      <c r="X78" s="7">
        <f t="shared" si="9"/>
        <v>54</v>
      </c>
      <c r="Y78" t="s">
        <v>36</v>
      </c>
      <c r="Z78">
        <v>61580.273437999997</v>
      </c>
      <c r="AA78" t="s">
        <v>542</v>
      </c>
      <c r="AB78">
        <v>55</v>
      </c>
      <c r="AC78">
        <v>0</v>
      </c>
      <c r="AD78" t="s">
        <v>40</v>
      </c>
      <c r="AE78" t="s">
        <v>41</v>
      </c>
      <c r="AF78" t="e">
        <v>#N/A</v>
      </c>
      <c r="AG78" s="8">
        <v>100</v>
      </c>
      <c r="AH78">
        <v>26</v>
      </c>
      <c r="AI78">
        <v>13</v>
      </c>
      <c r="AJ78">
        <v>0</v>
      </c>
      <c r="AK78">
        <v>0.26</v>
      </c>
      <c r="AL78">
        <v>2.6</v>
      </c>
      <c r="AM78">
        <v>-13</v>
      </c>
      <c r="AN78">
        <v>1</v>
      </c>
      <c r="AO78">
        <v>0.9285714285714286</v>
      </c>
      <c r="AP78">
        <v>0.63414634146341464</v>
      </c>
      <c r="AQ78">
        <v>0</v>
      </c>
      <c r="AR78">
        <v>0.24390243902439024</v>
      </c>
      <c r="AS78">
        <v>0.70731707317073167</v>
      </c>
      <c r="AT78">
        <v>4.878048780487805E-2</v>
      </c>
      <c r="AU78">
        <v>72809.56652231999</v>
      </c>
      <c r="AV78">
        <v>14</v>
      </c>
      <c r="AW78">
        <f t="shared" si="10"/>
        <v>1</v>
      </c>
      <c r="AX78">
        <v>0</v>
      </c>
      <c r="AY78">
        <f t="shared" si="11"/>
        <v>0</v>
      </c>
      <c r="AZ78" t="e">
        <v>#N/A</v>
      </c>
      <c r="BA78">
        <v>5</v>
      </c>
      <c r="BB78">
        <v>2018</v>
      </c>
      <c r="BC78">
        <v>5</v>
      </c>
      <c r="BD78">
        <v>2018</v>
      </c>
      <c r="BE78">
        <v>11</v>
      </c>
      <c r="BF78">
        <v>2018</v>
      </c>
    </row>
    <row r="79" spans="1:58" x14ac:dyDescent="0.2">
      <c r="A79" s="7">
        <v>17</v>
      </c>
      <c r="B79" s="7">
        <v>21</v>
      </c>
      <c r="C79" s="7">
        <v>6</v>
      </c>
      <c r="D79" s="7">
        <v>7</v>
      </c>
      <c r="E79" s="7">
        <f t="shared" si="6"/>
        <v>51</v>
      </c>
      <c r="F79" s="11" t="s">
        <v>36</v>
      </c>
      <c r="G79">
        <v>17</v>
      </c>
      <c r="H79">
        <v>21</v>
      </c>
      <c r="I79">
        <v>6</v>
      </c>
      <c r="J79">
        <v>7</v>
      </c>
      <c r="K79">
        <f t="shared" si="7"/>
        <v>51</v>
      </c>
      <c r="L79" t="s">
        <v>36</v>
      </c>
      <c r="M79">
        <v>14367.65618763</v>
      </c>
      <c r="N79" s="7">
        <v>17</v>
      </c>
      <c r="O79" s="7">
        <v>21</v>
      </c>
      <c r="P79" s="7">
        <v>6</v>
      </c>
      <c r="Q79" s="7">
        <v>7</v>
      </c>
      <c r="R79" s="7">
        <f t="shared" si="8"/>
        <v>51</v>
      </c>
      <c r="S79" t="s">
        <v>36</v>
      </c>
      <c r="T79" s="7">
        <v>13</v>
      </c>
      <c r="U79" s="7">
        <v>26</v>
      </c>
      <c r="V79" s="7">
        <v>6</v>
      </c>
      <c r="W79" s="7">
        <v>7</v>
      </c>
      <c r="X79" s="7">
        <f t="shared" si="9"/>
        <v>52</v>
      </c>
      <c r="Y79" t="s">
        <v>36</v>
      </c>
      <c r="Z79">
        <v>51660.013326289998</v>
      </c>
      <c r="AA79" t="s">
        <v>543</v>
      </c>
      <c r="AB79">
        <v>51</v>
      </c>
      <c r="AC79">
        <v>0</v>
      </c>
      <c r="AD79" t="s">
        <v>82</v>
      </c>
      <c r="AE79" t="s">
        <v>41</v>
      </c>
      <c r="AF79">
        <v>122</v>
      </c>
      <c r="AG79" s="8">
        <v>311</v>
      </c>
      <c r="AH79">
        <v>1</v>
      </c>
      <c r="AI79">
        <v>1</v>
      </c>
      <c r="AJ79">
        <v>0</v>
      </c>
      <c r="AK79">
        <v>3.2154340836012861E-3</v>
      </c>
      <c r="AL79">
        <v>5.6704797712374272E-2</v>
      </c>
      <c r="AM79">
        <v>0</v>
      </c>
      <c r="AN79">
        <v>0</v>
      </c>
      <c r="AO79">
        <v>1.9607843137254902E-2</v>
      </c>
      <c r="AP79">
        <v>1.9607843137254902E-2</v>
      </c>
      <c r="AQ79">
        <v>0.13725490196078433</v>
      </c>
      <c r="AR79">
        <v>0.33333333333333331</v>
      </c>
      <c r="AS79">
        <v>0.41176470588235292</v>
      </c>
      <c r="AT79">
        <v>0.11764705882352941</v>
      </c>
      <c r="AU79">
        <v>66027.669513920002</v>
      </c>
      <c r="AV79">
        <v>8</v>
      </c>
      <c r="AW79">
        <f t="shared" si="10"/>
        <v>0</v>
      </c>
      <c r="AX79">
        <v>0</v>
      </c>
      <c r="AY79">
        <f t="shared" si="11"/>
        <v>0</v>
      </c>
      <c r="AZ79">
        <v>0</v>
      </c>
      <c r="BA79">
        <v>8</v>
      </c>
      <c r="BB79">
        <v>2018</v>
      </c>
      <c r="BC79">
        <v>12</v>
      </c>
      <c r="BD79">
        <v>2018</v>
      </c>
      <c r="BE79">
        <v>10</v>
      </c>
      <c r="BF79">
        <v>2018</v>
      </c>
    </row>
    <row r="80" spans="1:58" x14ac:dyDescent="0.2">
      <c r="A80" s="7">
        <v>0</v>
      </c>
      <c r="B80" s="7">
        <v>0</v>
      </c>
      <c r="C80" s="7">
        <v>0</v>
      </c>
      <c r="D80" s="7">
        <v>0</v>
      </c>
      <c r="E80" s="7">
        <f t="shared" si="6"/>
        <v>0</v>
      </c>
      <c r="F80" s="11" t="e">
        <v>#N/A</v>
      </c>
      <c r="G80">
        <v>0</v>
      </c>
      <c r="H80">
        <v>0</v>
      </c>
      <c r="I80">
        <v>0</v>
      </c>
      <c r="J80">
        <v>0</v>
      </c>
      <c r="K80">
        <f t="shared" si="7"/>
        <v>0</v>
      </c>
      <c r="L80" t="e">
        <v>#N/A</v>
      </c>
      <c r="N80" s="7">
        <v>5</v>
      </c>
      <c r="O80" s="7">
        <v>15</v>
      </c>
      <c r="P80" s="7">
        <v>2</v>
      </c>
      <c r="Q80" s="7">
        <v>0</v>
      </c>
      <c r="R80" s="7">
        <f t="shared" si="8"/>
        <v>22</v>
      </c>
      <c r="S80" t="s">
        <v>36</v>
      </c>
      <c r="T80" s="7">
        <v>15</v>
      </c>
      <c r="U80" s="7">
        <v>16</v>
      </c>
      <c r="V80" s="7">
        <v>4</v>
      </c>
      <c r="W80" s="7">
        <v>0</v>
      </c>
      <c r="X80" s="7">
        <f t="shared" si="9"/>
        <v>35</v>
      </c>
      <c r="Y80" t="s">
        <v>42</v>
      </c>
      <c r="Z80">
        <v>105469.98322572</v>
      </c>
      <c r="AA80" t="s">
        <v>544</v>
      </c>
      <c r="AB80">
        <v>60</v>
      </c>
      <c r="AC80">
        <v>302</v>
      </c>
      <c r="AD80" t="s">
        <v>118</v>
      </c>
      <c r="AE80" t="s">
        <v>41</v>
      </c>
      <c r="AF80" t="e">
        <v>#N/A</v>
      </c>
      <c r="AG80" s="8">
        <v>24</v>
      </c>
      <c r="AH80">
        <v>13</v>
      </c>
      <c r="AI80">
        <v>35</v>
      </c>
      <c r="AJ80">
        <v>0</v>
      </c>
      <c r="AK80">
        <v>0.54166666666666663</v>
      </c>
      <c r="AL80">
        <v>2.6536138880151099</v>
      </c>
      <c r="AM80">
        <v>22</v>
      </c>
      <c r="AN80">
        <v>0</v>
      </c>
      <c r="AO80">
        <v>0.59090909090909094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>
        <v>105469.98322572</v>
      </c>
      <c r="AV80">
        <v>12</v>
      </c>
      <c r="AW80">
        <f t="shared" si="10"/>
        <v>1</v>
      </c>
      <c r="AX80">
        <v>302</v>
      </c>
      <c r="AY80">
        <f t="shared" si="11"/>
        <v>1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>
        <v>12</v>
      </c>
      <c r="BF80">
        <v>2018</v>
      </c>
    </row>
    <row r="81" spans="1:58" x14ac:dyDescent="0.2">
      <c r="A81" s="7">
        <v>2</v>
      </c>
      <c r="B81" s="7">
        <v>4</v>
      </c>
      <c r="C81" s="7">
        <v>0</v>
      </c>
      <c r="D81" s="7">
        <v>0</v>
      </c>
      <c r="E81" s="7">
        <f t="shared" si="6"/>
        <v>6</v>
      </c>
      <c r="F81" s="11" t="s">
        <v>36</v>
      </c>
      <c r="G81">
        <v>2</v>
      </c>
      <c r="H81">
        <v>4</v>
      </c>
      <c r="I81">
        <v>0</v>
      </c>
      <c r="J81">
        <v>0</v>
      </c>
      <c r="K81">
        <f t="shared" si="7"/>
        <v>6</v>
      </c>
      <c r="L81" t="s">
        <v>36</v>
      </c>
      <c r="M81">
        <v>20006.443764169999</v>
      </c>
      <c r="N81" s="7">
        <v>5</v>
      </c>
      <c r="O81" s="7">
        <v>11</v>
      </c>
      <c r="P81" s="7">
        <v>0</v>
      </c>
      <c r="Q81" s="7">
        <v>2</v>
      </c>
      <c r="R81" s="7">
        <f t="shared" si="8"/>
        <v>18</v>
      </c>
      <c r="S81" t="s">
        <v>42</v>
      </c>
      <c r="T81" s="7">
        <v>2</v>
      </c>
      <c r="U81" s="7">
        <v>4</v>
      </c>
      <c r="V81" s="7">
        <v>0</v>
      </c>
      <c r="W81" s="7">
        <v>0</v>
      </c>
      <c r="X81" s="7">
        <f t="shared" si="9"/>
        <v>6</v>
      </c>
      <c r="Y81" t="s">
        <v>36</v>
      </c>
      <c r="Z81">
        <v>59198.292658750011</v>
      </c>
      <c r="AA81" t="s">
        <v>545</v>
      </c>
      <c r="AB81" t="e">
        <v>#N/A</v>
      </c>
      <c r="AF81" t="e">
        <v>#N/A</v>
      </c>
      <c r="AG81" s="8">
        <v>120</v>
      </c>
      <c r="AH81">
        <v>-12</v>
      </c>
      <c r="AI81">
        <v>0</v>
      </c>
      <c r="AJ81">
        <v>0</v>
      </c>
      <c r="AK81">
        <v>-0.1</v>
      </c>
      <c r="AL81">
        <v>-1.0954451150103321</v>
      </c>
      <c r="AM81">
        <v>12</v>
      </c>
      <c r="AN81">
        <v>0</v>
      </c>
      <c r="AO81">
        <v>-0.66666666666666663</v>
      </c>
      <c r="AP81">
        <v>-2</v>
      </c>
      <c r="AQ81">
        <v>0</v>
      </c>
      <c r="AR81">
        <v>0.33333333333333331</v>
      </c>
      <c r="AS81">
        <v>0.66666666666666663</v>
      </c>
      <c r="AT81">
        <v>0</v>
      </c>
      <c r="AU81">
        <v>79204.736422920018</v>
      </c>
      <c r="AV81" t="s">
        <v>489</v>
      </c>
      <c r="AW81" t="str">
        <f t="shared" si="10"/>
        <v>n/a</v>
      </c>
      <c r="AY81" t="e">
        <f t="shared" si="11"/>
        <v>#N/A</v>
      </c>
      <c r="AZ81" t="e">
        <v>#N/A</v>
      </c>
      <c r="BA81">
        <v>4</v>
      </c>
      <c r="BB81">
        <v>2018</v>
      </c>
      <c r="BC81">
        <v>4</v>
      </c>
      <c r="BD81">
        <v>2018</v>
      </c>
      <c r="BE81">
        <v>6</v>
      </c>
      <c r="BF81">
        <v>2018</v>
      </c>
    </row>
    <row r="82" spans="1:58" x14ac:dyDescent="0.2">
      <c r="A82" s="7">
        <v>8</v>
      </c>
      <c r="B82" s="7">
        <v>6</v>
      </c>
      <c r="C82" s="7">
        <v>0</v>
      </c>
      <c r="D82" s="7">
        <v>0</v>
      </c>
      <c r="E82" s="7">
        <f t="shared" si="6"/>
        <v>14</v>
      </c>
      <c r="F82" s="11" t="s">
        <v>65</v>
      </c>
      <c r="G82">
        <v>8</v>
      </c>
      <c r="H82">
        <v>6</v>
      </c>
      <c r="I82">
        <v>0</v>
      </c>
      <c r="J82">
        <v>0</v>
      </c>
      <c r="K82">
        <f t="shared" si="7"/>
        <v>14</v>
      </c>
      <c r="L82" t="s">
        <v>65</v>
      </c>
      <c r="M82">
        <v>11180.192349909999</v>
      </c>
      <c r="N82" s="7">
        <v>7</v>
      </c>
      <c r="O82" s="7">
        <v>13</v>
      </c>
      <c r="P82" s="7">
        <v>3</v>
      </c>
      <c r="Q82" s="7">
        <v>0</v>
      </c>
      <c r="R82" s="7">
        <f t="shared" si="8"/>
        <v>23</v>
      </c>
      <c r="S82" t="s">
        <v>65</v>
      </c>
      <c r="T82" s="7">
        <v>8</v>
      </c>
      <c r="U82" s="7">
        <v>15</v>
      </c>
      <c r="V82" s="7">
        <v>1</v>
      </c>
      <c r="W82" s="7">
        <v>1</v>
      </c>
      <c r="X82" s="7">
        <f t="shared" si="9"/>
        <v>25</v>
      </c>
      <c r="Y82" t="s">
        <v>80</v>
      </c>
      <c r="Z82">
        <v>99979.987191089996</v>
      </c>
      <c r="AA82" t="s">
        <v>546</v>
      </c>
      <c r="AB82">
        <v>66</v>
      </c>
      <c r="AC82">
        <v>0</v>
      </c>
      <c r="AD82" t="s">
        <v>119</v>
      </c>
      <c r="AE82" t="s">
        <v>75</v>
      </c>
      <c r="AF82">
        <v>109</v>
      </c>
      <c r="AG82" s="8">
        <v>336</v>
      </c>
      <c r="AH82">
        <v>2</v>
      </c>
      <c r="AI82">
        <v>11</v>
      </c>
      <c r="AJ82">
        <v>0</v>
      </c>
      <c r="AK82">
        <v>5.9523809523809521E-3</v>
      </c>
      <c r="AL82">
        <v>0.10910894511799619</v>
      </c>
      <c r="AM82">
        <v>9</v>
      </c>
      <c r="AN82">
        <v>0</v>
      </c>
      <c r="AO82">
        <v>8.6956521739130432E-2</v>
      </c>
      <c r="AP82">
        <v>0.14285714285714285</v>
      </c>
      <c r="AQ82">
        <v>0</v>
      </c>
      <c r="AR82">
        <v>0.5714285714285714</v>
      </c>
      <c r="AS82">
        <v>0.42857142857142855</v>
      </c>
      <c r="AT82">
        <v>0</v>
      </c>
      <c r="AU82">
        <v>111160.17954099999</v>
      </c>
      <c r="AV82">
        <v>10</v>
      </c>
      <c r="AW82">
        <f t="shared" si="10"/>
        <v>1</v>
      </c>
      <c r="AX82">
        <v>0</v>
      </c>
      <c r="AY82">
        <f t="shared" si="11"/>
        <v>0</v>
      </c>
      <c r="AZ82">
        <v>0</v>
      </c>
      <c r="BA82">
        <v>1</v>
      </c>
      <c r="BB82">
        <v>2019</v>
      </c>
      <c r="BC82">
        <v>4</v>
      </c>
      <c r="BD82">
        <v>2019</v>
      </c>
      <c r="BE82">
        <v>1</v>
      </c>
      <c r="BF82">
        <v>2019</v>
      </c>
    </row>
    <row r="83" spans="1:58" x14ac:dyDescent="0.2">
      <c r="A83" s="7">
        <v>15</v>
      </c>
      <c r="B83" s="7">
        <v>37</v>
      </c>
      <c r="C83" s="7">
        <v>9</v>
      </c>
      <c r="D83" s="7">
        <v>4</v>
      </c>
      <c r="E83" s="7">
        <f t="shared" si="6"/>
        <v>65</v>
      </c>
      <c r="F83" s="11" t="s">
        <v>36</v>
      </c>
      <c r="G83">
        <v>15</v>
      </c>
      <c r="H83">
        <v>37</v>
      </c>
      <c r="I83">
        <v>9</v>
      </c>
      <c r="J83">
        <v>4</v>
      </c>
      <c r="K83">
        <f t="shared" si="7"/>
        <v>65</v>
      </c>
      <c r="L83" t="s">
        <v>36</v>
      </c>
      <c r="M83">
        <v>11226.048342890001</v>
      </c>
      <c r="N83" s="7">
        <v>14</v>
      </c>
      <c r="O83" s="7">
        <v>34</v>
      </c>
      <c r="P83" s="7">
        <v>7</v>
      </c>
      <c r="Q83" s="7">
        <v>4</v>
      </c>
      <c r="R83" s="7">
        <f t="shared" si="8"/>
        <v>59</v>
      </c>
      <c r="S83" t="s">
        <v>36</v>
      </c>
      <c r="T83" s="7">
        <v>13</v>
      </c>
      <c r="U83" s="7">
        <v>37</v>
      </c>
      <c r="V83" s="7">
        <v>9</v>
      </c>
      <c r="W83" s="7">
        <v>4</v>
      </c>
      <c r="X83" s="7">
        <f t="shared" si="9"/>
        <v>63</v>
      </c>
      <c r="Y83" t="s">
        <v>36</v>
      </c>
      <c r="Z83">
        <v>31078.112811679999</v>
      </c>
      <c r="AA83" t="s">
        <v>547</v>
      </c>
      <c r="AB83">
        <v>48</v>
      </c>
      <c r="AC83">
        <v>0</v>
      </c>
      <c r="AD83" t="s">
        <v>120</v>
      </c>
      <c r="AE83" t="s">
        <v>41</v>
      </c>
      <c r="AF83" t="e">
        <v>#N/A</v>
      </c>
      <c r="AG83" s="8">
        <v>244</v>
      </c>
      <c r="AH83">
        <v>4</v>
      </c>
      <c r="AI83">
        <v>-2</v>
      </c>
      <c r="AJ83">
        <v>0</v>
      </c>
      <c r="AK83">
        <v>1.6393442622950821E-2</v>
      </c>
      <c r="AL83">
        <v>0.25607375986579195</v>
      </c>
      <c r="AM83">
        <v>-6</v>
      </c>
      <c r="AN83">
        <v>1</v>
      </c>
      <c r="AO83">
        <v>6.7796610169491525E-2</v>
      </c>
      <c r="AP83">
        <v>6.1538461538461542E-2</v>
      </c>
      <c r="AQ83">
        <v>6.1538461538461542E-2</v>
      </c>
      <c r="AR83">
        <v>0.23076923076923078</v>
      </c>
      <c r="AS83">
        <v>0.56923076923076921</v>
      </c>
      <c r="AT83">
        <v>0.13846153846153847</v>
      </c>
      <c r="AU83">
        <v>42304.16115457</v>
      </c>
      <c r="AV83">
        <v>6</v>
      </c>
      <c r="AW83">
        <f t="shared" si="10"/>
        <v>0</v>
      </c>
      <c r="AX83">
        <v>0</v>
      </c>
      <c r="AY83">
        <f t="shared" si="11"/>
        <v>0</v>
      </c>
      <c r="AZ83" t="e">
        <v>#N/A</v>
      </c>
      <c r="BA83">
        <v>11</v>
      </c>
      <c r="BB83">
        <v>2019</v>
      </c>
      <c r="BC83">
        <v>11</v>
      </c>
      <c r="BD83">
        <v>2019</v>
      </c>
      <c r="BE83">
        <v>1</v>
      </c>
      <c r="BF83">
        <v>2019</v>
      </c>
    </row>
    <row r="84" spans="1:58" x14ac:dyDescent="0.2">
      <c r="A84" s="7">
        <v>2</v>
      </c>
      <c r="B84" s="7">
        <v>28</v>
      </c>
      <c r="C84" s="7">
        <v>0</v>
      </c>
      <c r="D84" s="7">
        <v>0</v>
      </c>
      <c r="E84" s="7">
        <f t="shared" si="6"/>
        <v>30</v>
      </c>
      <c r="F84" s="11" t="s">
        <v>36</v>
      </c>
      <c r="G84">
        <v>2</v>
      </c>
      <c r="H84">
        <v>28</v>
      </c>
      <c r="I84">
        <v>0</v>
      </c>
      <c r="J84">
        <v>0</v>
      </c>
      <c r="K84">
        <f t="shared" si="7"/>
        <v>30</v>
      </c>
      <c r="L84" t="s">
        <v>36</v>
      </c>
      <c r="M84">
        <v>12886.064585550001</v>
      </c>
      <c r="N84" s="7">
        <v>3</v>
      </c>
      <c r="O84" s="7">
        <v>13</v>
      </c>
      <c r="P84" s="7">
        <v>0</v>
      </c>
      <c r="Q84" s="7">
        <v>4</v>
      </c>
      <c r="R84" s="7">
        <f t="shared" si="8"/>
        <v>20</v>
      </c>
      <c r="S84" t="s">
        <v>36</v>
      </c>
      <c r="T84" s="7">
        <v>5</v>
      </c>
      <c r="U84" s="7">
        <v>15</v>
      </c>
      <c r="V84" s="7">
        <v>0</v>
      </c>
      <c r="W84" s="7">
        <v>4</v>
      </c>
      <c r="X84" s="7">
        <f t="shared" si="9"/>
        <v>24</v>
      </c>
      <c r="Y84" t="s">
        <v>36</v>
      </c>
      <c r="Z84">
        <v>23759.708848620001</v>
      </c>
      <c r="AA84" t="s">
        <v>548</v>
      </c>
      <c r="AB84">
        <v>59</v>
      </c>
      <c r="AC84">
        <v>0</v>
      </c>
      <c r="AD84" t="s">
        <v>121</v>
      </c>
      <c r="AE84" t="s">
        <v>41</v>
      </c>
      <c r="AF84" t="e">
        <v>#N/A</v>
      </c>
      <c r="AG84" s="8">
        <v>22</v>
      </c>
      <c r="AH84">
        <v>4</v>
      </c>
      <c r="AI84">
        <v>-6</v>
      </c>
      <c r="AJ84">
        <v>0</v>
      </c>
      <c r="AK84">
        <v>0.18181818181818182</v>
      </c>
      <c r="AL84">
        <v>0.85280286542244166</v>
      </c>
      <c r="AM84">
        <v>-10</v>
      </c>
      <c r="AN84">
        <v>1</v>
      </c>
      <c r="AO84">
        <v>0.2</v>
      </c>
      <c r="AP84">
        <v>0.13333333333333333</v>
      </c>
      <c r="AQ84">
        <v>0</v>
      </c>
      <c r="AR84">
        <v>6.6666666666666666E-2</v>
      </c>
      <c r="AS84">
        <v>0.93333333333333335</v>
      </c>
      <c r="AT84">
        <v>0</v>
      </c>
      <c r="AU84">
        <v>36645.773434169998</v>
      </c>
      <c r="AV84">
        <v>4</v>
      </c>
      <c r="AW84">
        <f t="shared" si="10"/>
        <v>0</v>
      </c>
      <c r="AX84">
        <v>0</v>
      </c>
      <c r="AY84">
        <f t="shared" si="11"/>
        <v>0</v>
      </c>
      <c r="AZ84" t="e">
        <v>#N/A</v>
      </c>
      <c r="BA84">
        <v>3</v>
      </c>
      <c r="BB84">
        <v>2019</v>
      </c>
      <c r="BC84">
        <v>3</v>
      </c>
      <c r="BD84">
        <v>2019</v>
      </c>
      <c r="BE84">
        <v>4</v>
      </c>
      <c r="BF84">
        <v>2019</v>
      </c>
    </row>
    <row r="85" spans="1:58" x14ac:dyDescent="0.2">
      <c r="A85" s="7">
        <v>17</v>
      </c>
      <c r="B85" s="7">
        <v>31</v>
      </c>
      <c r="C85" s="7">
        <v>9</v>
      </c>
      <c r="D85" s="7">
        <v>25</v>
      </c>
      <c r="E85" s="7">
        <f t="shared" si="6"/>
        <v>82</v>
      </c>
      <c r="F85" s="11" t="s">
        <v>39</v>
      </c>
      <c r="G85">
        <v>17</v>
      </c>
      <c r="H85">
        <v>31</v>
      </c>
      <c r="I85">
        <v>9</v>
      </c>
      <c r="J85">
        <v>25</v>
      </c>
      <c r="K85">
        <f t="shared" si="7"/>
        <v>82</v>
      </c>
      <c r="L85" t="s">
        <v>39</v>
      </c>
      <c r="M85">
        <v>8136.0769789600017</v>
      </c>
      <c r="N85" s="7">
        <v>14</v>
      </c>
      <c r="O85" s="7">
        <v>30</v>
      </c>
      <c r="P85" s="7">
        <v>6</v>
      </c>
      <c r="Q85" s="7">
        <v>9</v>
      </c>
      <c r="R85" s="7">
        <f t="shared" si="8"/>
        <v>59</v>
      </c>
      <c r="S85" t="s">
        <v>39</v>
      </c>
      <c r="T85" s="7">
        <v>14</v>
      </c>
      <c r="U85" s="7">
        <v>32</v>
      </c>
      <c r="V85" s="7">
        <v>5</v>
      </c>
      <c r="W85" s="7">
        <v>19</v>
      </c>
      <c r="X85" s="7">
        <f t="shared" si="9"/>
        <v>70</v>
      </c>
      <c r="Y85" t="s">
        <v>39</v>
      </c>
      <c r="Z85">
        <v>28311.711137409999</v>
      </c>
      <c r="AA85" t="s">
        <v>549</v>
      </c>
      <c r="AB85" t="e">
        <v>#N/A</v>
      </c>
      <c r="AF85" t="e">
        <v>#N/A</v>
      </c>
      <c r="AG85" s="8">
        <v>133</v>
      </c>
      <c r="AH85">
        <v>11</v>
      </c>
      <c r="AI85">
        <v>-12</v>
      </c>
      <c r="AJ85">
        <v>0</v>
      </c>
      <c r="AK85">
        <v>8.2706766917293228E-2</v>
      </c>
      <c r="AL85">
        <v>0.95382096647653192</v>
      </c>
      <c r="AM85">
        <v>-23</v>
      </c>
      <c r="AN85">
        <v>1</v>
      </c>
      <c r="AO85">
        <v>0.1864406779661017</v>
      </c>
      <c r="AP85">
        <v>0.13414634146341464</v>
      </c>
      <c r="AQ85">
        <v>0.3048780487804878</v>
      </c>
      <c r="AR85">
        <v>0.2073170731707317</v>
      </c>
      <c r="AS85">
        <v>0.37804878048780488</v>
      </c>
      <c r="AT85">
        <v>0.10975609756097561</v>
      </c>
      <c r="AU85">
        <v>36447.78811637</v>
      </c>
      <c r="AV85" t="s">
        <v>489</v>
      </c>
      <c r="AW85" t="str">
        <f t="shared" si="10"/>
        <v>n/a</v>
      </c>
      <c r="AY85" t="e">
        <f t="shared" si="11"/>
        <v>#N/A</v>
      </c>
      <c r="AZ85" t="e">
        <v>#N/A</v>
      </c>
      <c r="BA85">
        <v>3</v>
      </c>
      <c r="BB85">
        <v>2018</v>
      </c>
      <c r="BC85">
        <v>3</v>
      </c>
      <c r="BD85">
        <v>2018</v>
      </c>
      <c r="BE85">
        <v>1</v>
      </c>
      <c r="BF85">
        <v>2018</v>
      </c>
    </row>
    <row r="86" spans="1:58" x14ac:dyDescent="0.2">
      <c r="A86" s="7">
        <v>8</v>
      </c>
      <c r="B86" s="7">
        <v>34</v>
      </c>
      <c r="C86" s="7">
        <v>2</v>
      </c>
      <c r="D86" s="7">
        <v>4</v>
      </c>
      <c r="E86" s="7">
        <f t="shared" si="6"/>
        <v>48</v>
      </c>
      <c r="F86" s="11" t="s">
        <v>83</v>
      </c>
      <c r="G86">
        <v>8</v>
      </c>
      <c r="H86">
        <v>34</v>
      </c>
      <c r="I86">
        <v>2</v>
      </c>
      <c r="J86">
        <v>4</v>
      </c>
      <c r="K86">
        <f t="shared" si="7"/>
        <v>48</v>
      </c>
      <c r="L86" t="s">
        <v>83</v>
      </c>
      <c r="M86">
        <v>14614.6368392</v>
      </c>
      <c r="N86" s="7">
        <v>8</v>
      </c>
      <c r="O86" s="7">
        <v>34</v>
      </c>
      <c r="P86" s="7">
        <v>2</v>
      </c>
      <c r="Q86" s="7">
        <v>4</v>
      </c>
      <c r="R86" s="7">
        <f t="shared" si="8"/>
        <v>48</v>
      </c>
      <c r="S86" t="s">
        <v>83</v>
      </c>
      <c r="T86" s="7">
        <v>8</v>
      </c>
      <c r="U86" s="7">
        <v>34</v>
      </c>
      <c r="V86" s="7">
        <v>2</v>
      </c>
      <c r="W86" s="7">
        <v>3</v>
      </c>
      <c r="X86" s="7">
        <f t="shared" si="9"/>
        <v>47</v>
      </c>
      <c r="Y86" t="s">
        <v>83</v>
      </c>
      <c r="Z86">
        <v>6169.3137828399986</v>
      </c>
      <c r="AA86" t="s">
        <v>550</v>
      </c>
      <c r="AB86" t="e">
        <v>#N/A</v>
      </c>
      <c r="AF86" t="e">
        <v>#N/A</v>
      </c>
      <c r="AG86" s="8">
        <v>16</v>
      </c>
      <c r="AH86">
        <v>-1</v>
      </c>
      <c r="AI86">
        <v>-1</v>
      </c>
      <c r="AJ86">
        <v>0</v>
      </c>
      <c r="AK86">
        <v>-6.25E-2</v>
      </c>
      <c r="AL86">
        <v>-0.25</v>
      </c>
      <c r="AM86">
        <v>0</v>
      </c>
      <c r="AN86">
        <v>0</v>
      </c>
      <c r="AO86">
        <v>-2.0833333333333332E-2</v>
      </c>
      <c r="AP86">
        <v>-2.0833333333333332E-2</v>
      </c>
      <c r="AQ86">
        <v>8.3333333333333329E-2</v>
      </c>
      <c r="AR86">
        <v>0.16666666666666666</v>
      </c>
      <c r="AS86">
        <v>0.70833333333333337</v>
      </c>
      <c r="AT86">
        <v>4.1666666666666664E-2</v>
      </c>
      <c r="AU86">
        <v>20783.95062204</v>
      </c>
      <c r="AV86" t="s">
        <v>489</v>
      </c>
      <c r="AW86" t="str">
        <f t="shared" si="10"/>
        <v>n/a</v>
      </c>
      <c r="AY86" t="e">
        <f t="shared" si="11"/>
        <v>#N/A</v>
      </c>
      <c r="AZ86" t="e">
        <v>#N/A</v>
      </c>
      <c r="BA86">
        <v>7</v>
      </c>
      <c r="BB86">
        <v>2018</v>
      </c>
      <c r="BC86">
        <v>7</v>
      </c>
      <c r="BD86">
        <v>2018</v>
      </c>
      <c r="BE86">
        <v>8</v>
      </c>
      <c r="BF86">
        <v>2018</v>
      </c>
    </row>
    <row r="87" spans="1:58" x14ac:dyDescent="0.2">
      <c r="A87" s="7">
        <v>2</v>
      </c>
      <c r="B87" s="7">
        <v>10</v>
      </c>
      <c r="C87" s="7">
        <v>0</v>
      </c>
      <c r="D87" s="7">
        <v>0</v>
      </c>
      <c r="E87" s="7">
        <f t="shared" si="6"/>
        <v>12</v>
      </c>
      <c r="F87" s="11" t="s">
        <v>36</v>
      </c>
      <c r="G87">
        <v>2</v>
      </c>
      <c r="H87">
        <v>10</v>
      </c>
      <c r="I87">
        <v>0</v>
      </c>
      <c r="J87">
        <v>0</v>
      </c>
      <c r="K87">
        <f t="shared" si="7"/>
        <v>12</v>
      </c>
      <c r="L87" t="s">
        <v>36</v>
      </c>
      <c r="M87">
        <v>17659.324510999999</v>
      </c>
      <c r="N87" s="7">
        <v>2</v>
      </c>
      <c r="O87" s="7">
        <v>10</v>
      </c>
      <c r="P87" s="7">
        <v>0</v>
      </c>
      <c r="Q87" s="7">
        <v>0</v>
      </c>
      <c r="R87" s="7">
        <f t="shared" si="8"/>
        <v>12</v>
      </c>
      <c r="S87" t="s">
        <v>36</v>
      </c>
      <c r="T87" s="7">
        <v>2</v>
      </c>
      <c r="U87" s="7">
        <v>10</v>
      </c>
      <c r="V87" s="7">
        <v>0</v>
      </c>
      <c r="W87" s="7">
        <v>0</v>
      </c>
      <c r="X87" s="7">
        <f t="shared" si="9"/>
        <v>12</v>
      </c>
      <c r="Y87" t="e">
        <v>#N/A</v>
      </c>
      <c r="Z87">
        <v>159463.32019979</v>
      </c>
      <c r="AA87" t="s">
        <v>551</v>
      </c>
      <c r="AB87" t="e">
        <v>#N/A</v>
      </c>
      <c r="AF87">
        <v>18</v>
      </c>
      <c r="AG87" s="8">
        <v>124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0.16666666666666666</v>
      </c>
      <c r="AS87">
        <v>0.83333333333333337</v>
      </c>
      <c r="AT87">
        <v>0</v>
      </c>
      <c r="AU87">
        <v>177122.64471079002</v>
      </c>
      <c r="AV87" t="s">
        <v>489</v>
      </c>
      <c r="AW87" t="str">
        <f t="shared" si="10"/>
        <v>n/a</v>
      </c>
      <c r="AY87" t="e">
        <f t="shared" si="11"/>
        <v>#N/A</v>
      </c>
      <c r="AZ87" t="e">
        <v>#N/A</v>
      </c>
      <c r="BA87">
        <v>3</v>
      </c>
      <c r="BB87">
        <v>2018</v>
      </c>
      <c r="BC87">
        <v>4</v>
      </c>
      <c r="BD87">
        <v>2018</v>
      </c>
      <c r="BE87">
        <v>4</v>
      </c>
      <c r="BF87">
        <v>2018</v>
      </c>
    </row>
    <row r="88" spans="1:58" x14ac:dyDescent="0.2">
      <c r="A88" s="7">
        <v>0</v>
      </c>
      <c r="B88" s="7">
        <v>15</v>
      </c>
      <c r="C88" s="7">
        <v>0</v>
      </c>
      <c r="D88" s="7">
        <v>0</v>
      </c>
      <c r="E88" s="7">
        <f t="shared" si="6"/>
        <v>15</v>
      </c>
      <c r="F88" s="11" t="s">
        <v>36</v>
      </c>
      <c r="G88">
        <v>0</v>
      </c>
      <c r="H88">
        <v>15</v>
      </c>
      <c r="I88">
        <v>0</v>
      </c>
      <c r="J88">
        <v>0</v>
      </c>
      <c r="K88">
        <f t="shared" si="7"/>
        <v>15</v>
      </c>
      <c r="L88" t="s">
        <v>36</v>
      </c>
      <c r="M88">
        <v>13270.199176300001</v>
      </c>
      <c r="N88" s="7">
        <v>0</v>
      </c>
      <c r="O88" s="7">
        <v>21</v>
      </c>
      <c r="P88" s="7">
        <v>0</v>
      </c>
      <c r="Q88" s="7">
        <v>3</v>
      </c>
      <c r="R88" s="7">
        <f t="shared" si="8"/>
        <v>24</v>
      </c>
      <c r="S88" t="s">
        <v>36</v>
      </c>
      <c r="T88" s="7">
        <v>0</v>
      </c>
      <c r="U88" s="7">
        <v>15</v>
      </c>
      <c r="V88" s="7">
        <v>0</v>
      </c>
      <c r="W88" s="7">
        <v>0</v>
      </c>
      <c r="X88" s="7">
        <f t="shared" si="9"/>
        <v>15</v>
      </c>
      <c r="Y88" t="s">
        <v>36</v>
      </c>
      <c r="Z88">
        <v>35257.550643000002</v>
      </c>
      <c r="AA88" t="s">
        <v>552</v>
      </c>
      <c r="AB88" t="e">
        <v>#N/A</v>
      </c>
      <c r="AF88">
        <v>81</v>
      </c>
      <c r="AG88" s="8">
        <v>18</v>
      </c>
      <c r="AH88">
        <v>-9</v>
      </c>
      <c r="AI88">
        <v>0</v>
      </c>
      <c r="AJ88">
        <v>0</v>
      </c>
      <c r="AK88">
        <v>-0.5</v>
      </c>
      <c r="AL88">
        <v>-2.1213203435596428</v>
      </c>
      <c r="AM88">
        <v>9</v>
      </c>
      <c r="AN88">
        <v>0</v>
      </c>
      <c r="AO88">
        <v>-0.375</v>
      </c>
      <c r="AP88">
        <v>-0.6</v>
      </c>
      <c r="AQ88">
        <v>0</v>
      </c>
      <c r="AR88">
        <v>0</v>
      </c>
      <c r="AS88">
        <v>1</v>
      </c>
      <c r="AT88">
        <v>0</v>
      </c>
      <c r="AU88">
        <v>48527.749819300006</v>
      </c>
      <c r="AV88" t="s">
        <v>489</v>
      </c>
      <c r="AW88" t="str">
        <f t="shared" si="10"/>
        <v>n/a</v>
      </c>
      <c r="AY88" t="e">
        <f t="shared" si="11"/>
        <v>#N/A</v>
      </c>
      <c r="AZ88" t="e">
        <v>#N/A</v>
      </c>
      <c r="BA88">
        <v>6</v>
      </c>
      <c r="BB88">
        <v>2018</v>
      </c>
      <c r="BC88">
        <v>8</v>
      </c>
      <c r="BD88">
        <v>2018</v>
      </c>
      <c r="BE88">
        <v>10</v>
      </c>
      <c r="BF88">
        <v>2018</v>
      </c>
    </row>
    <row r="89" spans="1:58" x14ac:dyDescent="0.2">
      <c r="A89" s="7">
        <v>8</v>
      </c>
      <c r="B89" s="7">
        <v>20</v>
      </c>
      <c r="C89" s="7">
        <v>2</v>
      </c>
      <c r="D89" s="7">
        <v>6</v>
      </c>
      <c r="E89" s="7">
        <f t="shared" si="6"/>
        <v>36</v>
      </c>
      <c r="F89" s="11" t="s">
        <v>36</v>
      </c>
      <c r="G89">
        <v>8</v>
      </c>
      <c r="H89">
        <v>20</v>
      </c>
      <c r="I89">
        <v>2</v>
      </c>
      <c r="J89">
        <v>6</v>
      </c>
      <c r="K89">
        <f t="shared" si="7"/>
        <v>36</v>
      </c>
      <c r="L89" t="s">
        <v>36</v>
      </c>
      <c r="M89">
        <v>18229.432185180001</v>
      </c>
      <c r="N89" s="7">
        <v>6</v>
      </c>
      <c r="O89" s="7">
        <v>10</v>
      </c>
      <c r="P89" s="7">
        <v>2</v>
      </c>
      <c r="Q89" s="7">
        <v>4</v>
      </c>
      <c r="R89" s="7">
        <f t="shared" si="8"/>
        <v>22</v>
      </c>
      <c r="S89" t="s">
        <v>36</v>
      </c>
      <c r="T89" s="7">
        <v>18</v>
      </c>
      <c r="U89" s="7">
        <v>15</v>
      </c>
      <c r="V89" s="7">
        <v>7</v>
      </c>
      <c r="W89" s="7">
        <v>5</v>
      </c>
      <c r="X89" s="7">
        <f t="shared" si="9"/>
        <v>45</v>
      </c>
      <c r="Y89" t="s">
        <v>36</v>
      </c>
      <c r="Z89">
        <v>106295.7862762825</v>
      </c>
      <c r="AA89" t="s">
        <v>553</v>
      </c>
      <c r="AB89">
        <v>76</v>
      </c>
      <c r="AC89">
        <v>0</v>
      </c>
      <c r="AD89" t="s">
        <v>122</v>
      </c>
      <c r="AE89" t="s">
        <v>41</v>
      </c>
      <c r="AF89" t="e">
        <v>#N/A</v>
      </c>
      <c r="AG89" s="8">
        <v>109</v>
      </c>
      <c r="AH89">
        <v>23</v>
      </c>
      <c r="AI89">
        <v>9</v>
      </c>
      <c r="AJ89">
        <v>0</v>
      </c>
      <c r="AK89">
        <v>0.21100917431192662</v>
      </c>
      <c r="AL89">
        <v>2.203000456008648</v>
      </c>
      <c r="AM89">
        <v>-14</v>
      </c>
      <c r="AN89">
        <v>1</v>
      </c>
      <c r="AO89">
        <v>1.0454545454545454</v>
      </c>
      <c r="AP89">
        <v>0.63888888888888884</v>
      </c>
      <c r="AQ89">
        <v>0.16666666666666666</v>
      </c>
      <c r="AR89">
        <v>0.22222222222222221</v>
      </c>
      <c r="AS89">
        <v>0.55555555555555558</v>
      </c>
      <c r="AT89">
        <v>5.5555555555555552E-2</v>
      </c>
      <c r="AU89">
        <v>124525.2184614625</v>
      </c>
      <c r="AV89">
        <v>15</v>
      </c>
      <c r="AW89">
        <f t="shared" si="10"/>
        <v>1</v>
      </c>
      <c r="AX89">
        <v>0</v>
      </c>
      <c r="AY89">
        <f t="shared" si="11"/>
        <v>0</v>
      </c>
      <c r="AZ89" t="e">
        <v>#N/A</v>
      </c>
      <c r="BA89">
        <v>12</v>
      </c>
      <c r="BB89">
        <v>2018</v>
      </c>
      <c r="BC89">
        <v>12</v>
      </c>
      <c r="BD89">
        <v>2018</v>
      </c>
      <c r="BE89">
        <v>1</v>
      </c>
      <c r="BF89">
        <v>2019</v>
      </c>
    </row>
    <row r="90" spans="1:58" x14ac:dyDescent="0.2">
      <c r="A90" s="7">
        <v>5</v>
      </c>
      <c r="B90" s="7">
        <v>6</v>
      </c>
      <c r="C90" s="7">
        <v>2</v>
      </c>
      <c r="D90" s="7">
        <v>2</v>
      </c>
      <c r="E90" s="7">
        <f t="shared" si="6"/>
        <v>15</v>
      </c>
      <c r="F90" s="11" t="s">
        <v>42</v>
      </c>
      <c r="G90">
        <v>5</v>
      </c>
      <c r="H90">
        <v>6</v>
      </c>
      <c r="I90">
        <v>2</v>
      </c>
      <c r="J90">
        <v>2</v>
      </c>
      <c r="K90">
        <f t="shared" si="7"/>
        <v>15</v>
      </c>
      <c r="L90" t="s">
        <v>42</v>
      </c>
      <c r="M90">
        <v>20728.53869949</v>
      </c>
      <c r="N90" s="7">
        <v>6</v>
      </c>
      <c r="O90" s="7">
        <v>6</v>
      </c>
      <c r="P90" s="7">
        <v>2</v>
      </c>
      <c r="Q90" s="7">
        <v>2</v>
      </c>
      <c r="R90" s="7">
        <f t="shared" si="8"/>
        <v>16</v>
      </c>
      <c r="S90" t="s">
        <v>42</v>
      </c>
      <c r="T90" s="7">
        <v>5</v>
      </c>
      <c r="U90" s="7">
        <v>7</v>
      </c>
      <c r="V90" s="7">
        <v>0</v>
      </c>
      <c r="W90" s="7">
        <v>2</v>
      </c>
      <c r="X90" s="7">
        <f t="shared" si="9"/>
        <v>14</v>
      </c>
      <c r="Y90" t="e">
        <v>#N/A</v>
      </c>
      <c r="Z90">
        <v>87599.050981800014</v>
      </c>
      <c r="AA90" t="s">
        <v>553</v>
      </c>
      <c r="AB90">
        <v>77</v>
      </c>
      <c r="AC90">
        <v>0</v>
      </c>
      <c r="AD90" t="s">
        <v>123</v>
      </c>
      <c r="AE90" t="s">
        <v>41</v>
      </c>
      <c r="AF90" t="e">
        <v>#N/A</v>
      </c>
      <c r="AG90" s="8">
        <v>435</v>
      </c>
      <c r="AH90">
        <v>-2</v>
      </c>
      <c r="AI90">
        <v>-1</v>
      </c>
      <c r="AJ90">
        <v>0</v>
      </c>
      <c r="AK90">
        <v>-4.5977011494252873E-3</v>
      </c>
      <c r="AL90">
        <v>-9.5892660297076826E-2</v>
      </c>
      <c r="AM90">
        <v>1</v>
      </c>
      <c r="AN90">
        <v>0</v>
      </c>
      <c r="AO90">
        <v>-0.125</v>
      </c>
      <c r="AP90">
        <v>-0.13333333333333333</v>
      </c>
      <c r="AQ90">
        <v>0.13333333333333333</v>
      </c>
      <c r="AR90">
        <v>0.33333333333333331</v>
      </c>
      <c r="AS90">
        <v>0.4</v>
      </c>
      <c r="AT90">
        <v>0.13333333333333333</v>
      </c>
      <c r="AU90">
        <v>108327.58968129002</v>
      </c>
      <c r="AV90">
        <v>3</v>
      </c>
      <c r="AW90">
        <f t="shared" si="10"/>
        <v>0</v>
      </c>
      <c r="AX90">
        <v>0</v>
      </c>
      <c r="AY90">
        <f t="shared" si="11"/>
        <v>0</v>
      </c>
      <c r="AZ90" t="e">
        <v>#N/A</v>
      </c>
      <c r="BA90">
        <v>7</v>
      </c>
      <c r="BB90">
        <v>2019</v>
      </c>
      <c r="BC90">
        <v>7</v>
      </c>
      <c r="BD90">
        <v>2019</v>
      </c>
      <c r="BE90">
        <v>1</v>
      </c>
      <c r="BF90">
        <v>2019</v>
      </c>
    </row>
    <row r="91" spans="1:58" x14ac:dyDescent="0.2">
      <c r="A91" s="7">
        <v>15</v>
      </c>
      <c r="B91" s="7">
        <v>28</v>
      </c>
      <c r="C91" s="7">
        <v>10</v>
      </c>
      <c r="D91" s="7">
        <v>11</v>
      </c>
      <c r="E91" s="7">
        <f t="shared" si="6"/>
        <v>64</v>
      </c>
      <c r="F91" s="11" t="s">
        <v>36</v>
      </c>
      <c r="G91">
        <v>15</v>
      </c>
      <c r="H91">
        <v>28</v>
      </c>
      <c r="I91">
        <v>10</v>
      </c>
      <c r="J91">
        <v>11</v>
      </c>
      <c r="K91">
        <f t="shared" si="7"/>
        <v>64</v>
      </c>
      <c r="L91" t="s">
        <v>36</v>
      </c>
      <c r="M91">
        <v>11045.38928202</v>
      </c>
      <c r="N91" s="7">
        <v>0</v>
      </c>
      <c r="O91" s="7">
        <v>0</v>
      </c>
      <c r="P91" s="7">
        <v>0</v>
      </c>
      <c r="Q91" s="7">
        <v>0</v>
      </c>
      <c r="R91" s="7">
        <f t="shared" si="8"/>
        <v>0</v>
      </c>
      <c r="S91" t="e">
        <v>#N/A</v>
      </c>
      <c r="T91" s="7">
        <v>0</v>
      </c>
      <c r="U91" s="7">
        <v>0</v>
      </c>
      <c r="V91" s="7">
        <v>0</v>
      </c>
      <c r="W91" s="7">
        <v>0</v>
      </c>
      <c r="X91" s="7">
        <f t="shared" si="9"/>
        <v>0</v>
      </c>
      <c r="Y91" t="e">
        <v>#N/A</v>
      </c>
      <c r="AA91" t="s">
        <v>554</v>
      </c>
      <c r="AB91" t="e">
        <v>#N/A</v>
      </c>
      <c r="AF91" t="e">
        <v>#N/A</v>
      </c>
      <c r="AG91" s="8"/>
      <c r="AH91">
        <v>0</v>
      </c>
      <c r="AI91">
        <v>-64</v>
      </c>
      <c r="AJ91">
        <v>0</v>
      </c>
      <c r="AK91" t="e">
        <v>#N/A</v>
      </c>
      <c r="AL91" t="e">
        <v>#N/A</v>
      </c>
      <c r="AM91">
        <v>-64</v>
      </c>
      <c r="AN91">
        <v>1</v>
      </c>
      <c r="AO91" t="e">
        <v>#N/A</v>
      </c>
      <c r="AP91">
        <v>0</v>
      </c>
      <c r="AQ91">
        <v>0.171875</v>
      </c>
      <c r="AR91">
        <v>0.234375</v>
      </c>
      <c r="AS91">
        <v>0.4375</v>
      </c>
      <c r="AT91">
        <v>0.15625</v>
      </c>
      <c r="AU91">
        <v>11045.38928202</v>
      </c>
      <c r="AV91" t="s">
        <v>489</v>
      </c>
      <c r="AW91" t="str">
        <f t="shared" si="10"/>
        <v>n/a</v>
      </c>
      <c r="AY91" t="e">
        <f t="shared" si="11"/>
        <v>#N/A</v>
      </c>
      <c r="AZ91" t="e">
        <v>#N/A</v>
      </c>
      <c r="BA91">
        <v>11</v>
      </c>
      <c r="BB91">
        <v>2018</v>
      </c>
      <c r="BC91">
        <v>11</v>
      </c>
      <c r="BD91">
        <v>2018</v>
      </c>
      <c r="BE91" t="e">
        <v>#N/A</v>
      </c>
      <c r="BF91" t="e">
        <v>#N/A</v>
      </c>
    </row>
    <row r="92" spans="1:58" x14ac:dyDescent="0.2">
      <c r="A92" s="7">
        <v>20</v>
      </c>
      <c r="B92" s="7">
        <v>36</v>
      </c>
      <c r="C92" s="7">
        <v>10</v>
      </c>
      <c r="D92" s="7">
        <v>3</v>
      </c>
      <c r="E92" s="7">
        <f t="shared" si="6"/>
        <v>69</v>
      </c>
      <c r="F92" s="11" t="s">
        <v>36</v>
      </c>
      <c r="G92">
        <v>20</v>
      </c>
      <c r="H92">
        <v>36</v>
      </c>
      <c r="I92">
        <v>10</v>
      </c>
      <c r="J92">
        <v>3</v>
      </c>
      <c r="K92">
        <f t="shared" si="7"/>
        <v>69</v>
      </c>
      <c r="L92" t="s">
        <v>36</v>
      </c>
      <c r="M92">
        <v>5483.9986339200004</v>
      </c>
      <c r="N92" s="7">
        <v>4</v>
      </c>
      <c r="O92" s="7">
        <v>16</v>
      </c>
      <c r="P92" s="7">
        <v>2</v>
      </c>
      <c r="Q92" s="7">
        <v>3</v>
      </c>
      <c r="R92" s="7">
        <f t="shared" si="8"/>
        <v>25</v>
      </c>
      <c r="S92" t="s">
        <v>36</v>
      </c>
      <c r="T92" s="7">
        <v>18</v>
      </c>
      <c r="U92" s="7">
        <v>29</v>
      </c>
      <c r="V92" s="7">
        <v>8</v>
      </c>
      <c r="W92" s="7">
        <v>6</v>
      </c>
      <c r="X92" s="7">
        <f t="shared" si="9"/>
        <v>61</v>
      </c>
      <c r="Y92" t="e">
        <v>#N/A</v>
      </c>
      <c r="Z92">
        <v>41638.310090819992</v>
      </c>
      <c r="AA92" t="s">
        <v>555</v>
      </c>
      <c r="AB92">
        <v>41</v>
      </c>
      <c r="AC92">
        <v>0</v>
      </c>
      <c r="AD92" t="s">
        <v>73</v>
      </c>
      <c r="AE92" t="s">
        <v>41</v>
      </c>
      <c r="AF92" t="e">
        <v>#N/A</v>
      </c>
      <c r="AG92" s="8">
        <v>55</v>
      </c>
      <c r="AH92">
        <v>36</v>
      </c>
      <c r="AI92">
        <v>-8</v>
      </c>
      <c r="AJ92">
        <v>0</v>
      </c>
      <c r="AK92">
        <v>0.65454545454545454</v>
      </c>
      <c r="AL92">
        <v>4.8542390097353429</v>
      </c>
      <c r="AM92">
        <v>-44</v>
      </c>
      <c r="AN92">
        <v>1</v>
      </c>
      <c r="AO92">
        <v>1.44</v>
      </c>
      <c r="AP92">
        <v>0.52173913043478259</v>
      </c>
      <c r="AQ92">
        <v>4.3478260869565216E-2</v>
      </c>
      <c r="AR92">
        <v>0.28985507246376813</v>
      </c>
      <c r="AS92">
        <v>0.52173913043478259</v>
      </c>
      <c r="AT92">
        <v>0.14492753623188406</v>
      </c>
      <c r="AU92">
        <v>47122.308724739996</v>
      </c>
      <c r="AV92">
        <v>3</v>
      </c>
      <c r="AW92">
        <f t="shared" si="10"/>
        <v>0</v>
      </c>
      <c r="AX92">
        <v>0</v>
      </c>
      <c r="AY92">
        <f t="shared" si="11"/>
        <v>0</v>
      </c>
      <c r="AZ92" t="e">
        <v>#N/A</v>
      </c>
      <c r="BA92">
        <v>12</v>
      </c>
      <c r="BB92">
        <v>2019</v>
      </c>
      <c r="BC92">
        <v>12</v>
      </c>
      <c r="BD92">
        <v>2019</v>
      </c>
      <c r="BE92">
        <v>1</v>
      </c>
      <c r="BF92">
        <v>2020</v>
      </c>
    </row>
    <row r="93" spans="1:58" x14ac:dyDescent="0.2">
      <c r="A93" s="7">
        <v>10</v>
      </c>
      <c r="B93" s="7">
        <v>15</v>
      </c>
      <c r="C93" s="7">
        <v>0</v>
      </c>
      <c r="D93" s="7">
        <v>0</v>
      </c>
      <c r="E93" s="7">
        <f t="shared" si="6"/>
        <v>25</v>
      </c>
      <c r="F93" s="11" t="s">
        <v>65</v>
      </c>
      <c r="G93">
        <v>15</v>
      </c>
      <c r="H93">
        <v>16</v>
      </c>
      <c r="I93">
        <v>4</v>
      </c>
      <c r="J93">
        <v>0</v>
      </c>
      <c r="K93">
        <f t="shared" si="7"/>
        <v>35</v>
      </c>
      <c r="L93" t="s">
        <v>36</v>
      </c>
      <c r="M93">
        <v>11456.85060129</v>
      </c>
      <c r="N93" s="7">
        <v>10</v>
      </c>
      <c r="O93" s="7">
        <v>15</v>
      </c>
      <c r="P93" s="7">
        <v>0</v>
      </c>
      <c r="Q93" s="7">
        <v>0</v>
      </c>
      <c r="R93" s="7">
        <f t="shared" si="8"/>
        <v>25</v>
      </c>
      <c r="S93" t="s">
        <v>65</v>
      </c>
      <c r="T93" s="7">
        <v>18</v>
      </c>
      <c r="U93" s="7">
        <v>16</v>
      </c>
      <c r="V93" s="7">
        <v>7</v>
      </c>
      <c r="W93" s="7">
        <v>6</v>
      </c>
      <c r="X93" s="7">
        <f t="shared" si="9"/>
        <v>47</v>
      </c>
      <c r="Y93" t="s">
        <v>53</v>
      </c>
      <c r="Z93">
        <v>19931.44257232</v>
      </c>
      <c r="AA93" t="s">
        <v>556</v>
      </c>
      <c r="AB93" t="e">
        <v>#N/A</v>
      </c>
      <c r="AF93">
        <v>193</v>
      </c>
      <c r="AG93" s="8">
        <v>67</v>
      </c>
      <c r="AH93">
        <v>22</v>
      </c>
      <c r="AI93">
        <v>22</v>
      </c>
      <c r="AJ93">
        <v>10</v>
      </c>
      <c r="AK93">
        <v>0.32835820895522388</v>
      </c>
      <c r="AL93">
        <v>2.6877277758387148</v>
      </c>
      <c r="AM93">
        <v>-10</v>
      </c>
      <c r="AN93">
        <v>1</v>
      </c>
      <c r="AO93">
        <v>0.88</v>
      </c>
      <c r="AP93">
        <v>0.88</v>
      </c>
      <c r="AQ93">
        <v>0</v>
      </c>
      <c r="AR93">
        <v>0.4</v>
      </c>
      <c r="AS93">
        <v>0.6</v>
      </c>
      <c r="AT93">
        <v>0</v>
      </c>
      <c r="AU93">
        <v>31388.29317361</v>
      </c>
      <c r="AV93" t="s">
        <v>489</v>
      </c>
      <c r="AW93" t="str">
        <f t="shared" si="10"/>
        <v>n/a</v>
      </c>
      <c r="AY93" t="e">
        <f t="shared" si="11"/>
        <v>#N/A</v>
      </c>
      <c r="AZ93" t="e">
        <v>#N/A</v>
      </c>
      <c r="BA93">
        <v>1</v>
      </c>
      <c r="BB93">
        <v>2018</v>
      </c>
      <c r="BC93">
        <v>7</v>
      </c>
      <c r="BD93">
        <v>2018</v>
      </c>
      <c r="BE93">
        <v>7</v>
      </c>
      <c r="BF93">
        <v>2018</v>
      </c>
    </row>
    <row r="94" spans="1:58" x14ac:dyDescent="0.2">
      <c r="A94" s="7">
        <v>14</v>
      </c>
      <c r="B94" s="7">
        <v>17</v>
      </c>
      <c r="C94" s="7">
        <v>4</v>
      </c>
      <c r="D94" s="7">
        <v>0</v>
      </c>
      <c r="E94" s="7">
        <f t="shared" si="6"/>
        <v>35</v>
      </c>
      <c r="F94" s="11" t="s">
        <v>53</v>
      </c>
      <c r="G94">
        <v>14</v>
      </c>
      <c r="H94">
        <v>17</v>
      </c>
      <c r="I94">
        <v>4</v>
      </c>
      <c r="J94">
        <v>0</v>
      </c>
      <c r="K94">
        <f t="shared" si="7"/>
        <v>35</v>
      </c>
      <c r="L94" t="s">
        <v>53</v>
      </c>
      <c r="M94">
        <v>13103.532962359999</v>
      </c>
      <c r="N94" s="7">
        <v>14</v>
      </c>
      <c r="O94" s="7">
        <v>17</v>
      </c>
      <c r="P94" s="7">
        <v>4</v>
      </c>
      <c r="Q94" s="7">
        <v>0</v>
      </c>
      <c r="R94" s="7">
        <f t="shared" si="8"/>
        <v>35</v>
      </c>
      <c r="S94" t="s">
        <v>53</v>
      </c>
      <c r="T94" s="7">
        <v>17</v>
      </c>
      <c r="U94" s="7">
        <v>19</v>
      </c>
      <c r="V94" s="7">
        <v>5</v>
      </c>
      <c r="W94" s="7">
        <v>5</v>
      </c>
      <c r="X94" s="7">
        <f t="shared" si="9"/>
        <v>46</v>
      </c>
      <c r="Y94" t="s">
        <v>83</v>
      </c>
      <c r="Z94">
        <v>27893.20420321</v>
      </c>
      <c r="AA94" t="s">
        <v>557</v>
      </c>
      <c r="AB94">
        <v>51</v>
      </c>
      <c r="AC94">
        <v>0</v>
      </c>
      <c r="AD94" t="s">
        <v>57</v>
      </c>
      <c r="AE94" t="s">
        <v>75</v>
      </c>
      <c r="AF94" t="e">
        <v>#N/A</v>
      </c>
      <c r="AG94" s="8">
        <v>64</v>
      </c>
      <c r="AH94">
        <v>11</v>
      </c>
      <c r="AI94">
        <v>11</v>
      </c>
      <c r="AJ94">
        <v>0</v>
      </c>
      <c r="AK94">
        <v>0.171875</v>
      </c>
      <c r="AL94">
        <v>1.375</v>
      </c>
      <c r="AM94">
        <v>0</v>
      </c>
      <c r="AN94">
        <v>0</v>
      </c>
      <c r="AO94">
        <v>0.31428571428571428</v>
      </c>
      <c r="AP94">
        <v>0.31428571428571428</v>
      </c>
      <c r="AQ94">
        <v>0</v>
      </c>
      <c r="AR94">
        <v>0.4</v>
      </c>
      <c r="AS94">
        <v>0.48571428571428571</v>
      </c>
      <c r="AT94">
        <v>0.11428571428571428</v>
      </c>
      <c r="AU94">
        <v>40996.737165569997</v>
      </c>
      <c r="AV94">
        <v>13</v>
      </c>
      <c r="AW94">
        <f t="shared" si="10"/>
        <v>1</v>
      </c>
      <c r="AX94">
        <v>0</v>
      </c>
      <c r="AY94">
        <f t="shared" si="11"/>
        <v>0</v>
      </c>
      <c r="AZ94" t="e">
        <v>#N/A</v>
      </c>
      <c r="BA94">
        <v>8</v>
      </c>
      <c r="BB94">
        <v>2018</v>
      </c>
      <c r="BC94">
        <v>8</v>
      </c>
      <c r="BD94">
        <v>2018</v>
      </c>
      <c r="BE94">
        <v>11</v>
      </c>
      <c r="BF94">
        <v>2018</v>
      </c>
    </row>
    <row r="95" spans="1:58" x14ac:dyDescent="0.2">
      <c r="A95" s="7">
        <v>14</v>
      </c>
      <c r="B95" s="7">
        <v>19</v>
      </c>
      <c r="C95" s="7">
        <v>7</v>
      </c>
      <c r="D95" s="7">
        <v>8</v>
      </c>
      <c r="E95" s="7">
        <f t="shared" si="6"/>
        <v>48</v>
      </c>
      <c r="F95" s="11" t="s">
        <v>39</v>
      </c>
      <c r="G95">
        <v>12</v>
      </c>
      <c r="H95">
        <v>10</v>
      </c>
      <c r="I95">
        <v>5</v>
      </c>
      <c r="J95">
        <v>8</v>
      </c>
      <c r="K95">
        <f t="shared" si="7"/>
        <v>35</v>
      </c>
      <c r="L95" t="s">
        <v>39</v>
      </c>
      <c r="M95">
        <v>18735.182539009998</v>
      </c>
      <c r="N95" s="7">
        <v>15</v>
      </c>
      <c r="O95" s="7">
        <v>30</v>
      </c>
      <c r="P95" s="7">
        <v>7</v>
      </c>
      <c r="Q95" s="7">
        <v>8</v>
      </c>
      <c r="R95" s="7">
        <f t="shared" si="8"/>
        <v>60</v>
      </c>
      <c r="S95" t="s">
        <v>39</v>
      </c>
      <c r="T95" s="7">
        <v>15</v>
      </c>
      <c r="U95" s="7">
        <v>30</v>
      </c>
      <c r="V95" s="7">
        <v>7</v>
      </c>
      <c r="W95" s="7">
        <v>8</v>
      </c>
      <c r="X95" s="7">
        <f t="shared" si="9"/>
        <v>60</v>
      </c>
      <c r="Y95" t="s">
        <v>39</v>
      </c>
      <c r="Z95">
        <v>12925.46437646</v>
      </c>
      <c r="AA95" t="s">
        <v>558</v>
      </c>
      <c r="AB95">
        <v>55</v>
      </c>
      <c r="AC95">
        <v>0</v>
      </c>
      <c r="AD95" t="s">
        <v>124</v>
      </c>
      <c r="AE95" t="s">
        <v>41</v>
      </c>
      <c r="AF95">
        <v>158</v>
      </c>
      <c r="AG95" s="8">
        <v>0</v>
      </c>
      <c r="AH95">
        <v>0</v>
      </c>
      <c r="AI95">
        <v>12</v>
      </c>
      <c r="AJ95">
        <v>-13</v>
      </c>
      <c r="AK95" t="e">
        <v>#N/A</v>
      </c>
      <c r="AL95" t="e">
        <v>#N/A</v>
      </c>
      <c r="AM95">
        <v>25</v>
      </c>
      <c r="AN95">
        <v>0</v>
      </c>
      <c r="AO95">
        <v>0</v>
      </c>
      <c r="AP95">
        <v>0</v>
      </c>
      <c r="AQ95">
        <v>0.16666666666666666</v>
      </c>
      <c r="AR95">
        <v>0.29166666666666669</v>
      </c>
      <c r="AS95">
        <v>0.39583333333333331</v>
      </c>
      <c r="AT95">
        <v>0.14583333333333334</v>
      </c>
      <c r="AU95">
        <v>31660.646915469999</v>
      </c>
      <c r="AV95">
        <v>13</v>
      </c>
      <c r="AW95">
        <f t="shared" si="10"/>
        <v>1</v>
      </c>
      <c r="AX95">
        <v>0</v>
      </c>
      <c r="AY95">
        <f t="shared" si="11"/>
        <v>0</v>
      </c>
      <c r="AZ95">
        <v>0</v>
      </c>
      <c r="BA95">
        <v>1</v>
      </c>
      <c r="BB95">
        <v>2019</v>
      </c>
      <c r="BC95">
        <v>6</v>
      </c>
      <c r="BD95">
        <v>2019</v>
      </c>
      <c r="BE95">
        <v>7</v>
      </c>
      <c r="BF95">
        <v>2019</v>
      </c>
    </row>
    <row r="96" spans="1:58" x14ac:dyDescent="0.2">
      <c r="A96" s="7">
        <v>11</v>
      </c>
      <c r="B96" s="7">
        <v>33</v>
      </c>
      <c r="C96" s="7">
        <v>4</v>
      </c>
      <c r="D96" s="7">
        <v>6</v>
      </c>
      <c r="E96" s="7">
        <f t="shared" si="6"/>
        <v>54</v>
      </c>
      <c r="F96" s="11" t="e">
        <v>#N/A</v>
      </c>
      <c r="G96">
        <v>7</v>
      </c>
      <c r="H96">
        <v>10</v>
      </c>
      <c r="I96">
        <v>4</v>
      </c>
      <c r="J96">
        <v>5</v>
      </c>
      <c r="K96">
        <f t="shared" si="7"/>
        <v>26</v>
      </c>
      <c r="L96" t="e">
        <v>#N/A</v>
      </c>
      <c r="M96">
        <v>24212.818766889999</v>
      </c>
      <c r="N96" s="7">
        <v>16</v>
      </c>
      <c r="O96" s="7">
        <v>33</v>
      </c>
      <c r="P96" s="7">
        <v>8</v>
      </c>
      <c r="Q96" s="7">
        <v>8</v>
      </c>
      <c r="R96" s="7">
        <f t="shared" si="8"/>
        <v>65</v>
      </c>
      <c r="S96" t="e">
        <v>#N/A</v>
      </c>
      <c r="T96" s="7">
        <v>16</v>
      </c>
      <c r="U96" s="7">
        <v>33</v>
      </c>
      <c r="V96" s="7">
        <v>8</v>
      </c>
      <c r="W96" s="7">
        <v>8</v>
      </c>
      <c r="X96" s="7">
        <f t="shared" si="9"/>
        <v>65</v>
      </c>
      <c r="Y96" t="e">
        <v>#N/A</v>
      </c>
      <c r="Z96">
        <v>15255.2644351</v>
      </c>
      <c r="AA96" t="s">
        <v>125</v>
      </c>
      <c r="AB96">
        <v>64</v>
      </c>
      <c r="AC96">
        <v>0</v>
      </c>
      <c r="AD96" t="s">
        <v>126</v>
      </c>
      <c r="AE96" t="s">
        <v>75</v>
      </c>
      <c r="AF96">
        <v>133</v>
      </c>
      <c r="AG96" s="8">
        <v>0</v>
      </c>
      <c r="AH96">
        <v>0</v>
      </c>
      <c r="AI96">
        <v>11</v>
      </c>
      <c r="AJ96">
        <v>-28</v>
      </c>
      <c r="AK96" t="e">
        <v>#N/A</v>
      </c>
      <c r="AL96" t="e">
        <v>#N/A</v>
      </c>
      <c r="AM96">
        <v>39</v>
      </c>
      <c r="AN96">
        <v>0</v>
      </c>
      <c r="AO96">
        <v>0</v>
      </c>
      <c r="AP96">
        <v>0</v>
      </c>
      <c r="AQ96">
        <v>0.1111111111111111</v>
      </c>
      <c r="AR96">
        <v>0.20370370370370369</v>
      </c>
      <c r="AS96">
        <v>0.61111111111111116</v>
      </c>
      <c r="AT96">
        <v>7.407407407407407E-2</v>
      </c>
      <c r="AU96">
        <v>39468.083201989997</v>
      </c>
      <c r="AV96">
        <v>11</v>
      </c>
      <c r="AW96">
        <f t="shared" si="10"/>
        <v>1</v>
      </c>
      <c r="AX96">
        <v>0</v>
      </c>
      <c r="AY96">
        <f t="shared" si="11"/>
        <v>0</v>
      </c>
      <c r="AZ96">
        <v>0</v>
      </c>
      <c r="BA96">
        <v>1</v>
      </c>
      <c r="BB96">
        <v>2020</v>
      </c>
      <c r="BC96">
        <v>5</v>
      </c>
      <c r="BD96">
        <v>2020</v>
      </c>
      <c r="BE96">
        <v>2</v>
      </c>
      <c r="BF96">
        <v>2020</v>
      </c>
    </row>
    <row r="97" spans="1:58" x14ac:dyDescent="0.2">
      <c r="A97" s="7">
        <v>10</v>
      </c>
      <c r="B97" s="7">
        <v>31</v>
      </c>
      <c r="C97" s="7">
        <v>4</v>
      </c>
      <c r="D97" s="7">
        <v>5</v>
      </c>
      <c r="E97" s="7">
        <f t="shared" si="6"/>
        <v>50</v>
      </c>
      <c r="F97" s="11" t="s">
        <v>36</v>
      </c>
      <c r="G97">
        <v>10</v>
      </c>
      <c r="H97">
        <v>31</v>
      </c>
      <c r="I97">
        <v>4</v>
      </c>
      <c r="J97">
        <v>5</v>
      </c>
      <c r="K97">
        <f t="shared" si="7"/>
        <v>50</v>
      </c>
      <c r="L97" t="s">
        <v>36</v>
      </c>
      <c r="M97">
        <v>15709.5003454</v>
      </c>
      <c r="N97" s="7">
        <v>10</v>
      </c>
      <c r="O97" s="7">
        <v>16</v>
      </c>
      <c r="P97" s="7">
        <v>4</v>
      </c>
      <c r="Q97" s="7">
        <v>6</v>
      </c>
      <c r="R97" s="7">
        <f t="shared" si="8"/>
        <v>36</v>
      </c>
      <c r="S97" t="s">
        <v>36</v>
      </c>
      <c r="T97" s="7">
        <v>20</v>
      </c>
      <c r="U97" s="7">
        <v>40</v>
      </c>
      <c r="V97" s="7">
        <v>9</v>
      </c>
      <c r="W97" s="7">
        <v>16</v>
      </c>
      <c r="X97" s="7">
        <f t="shared" si="9"/>
        <v>85</v>
      </c>
      <c r="Y97" t="s">
        <v>36</v>
      </c>
      <c r="Z97">
        <v>27547.311101129999</v>
      </c>
      <c r="AA97" t="s">
        <v>559</v>
      </c>
      <c r="AB97" t="e">
        <v>#N/A</v>
      </c>
      <c r="AF97" t="e">
        <v>#N/A</v>
      </c>
      <c r="AG97" s="8">
        <v>274</v>
      </c>
      <c r="AH97">
        <v>49</v>
      </c>
      <c r="AI97">
        <v>35</v>
      </c>
      <c r="AJ97">
        <v>0</v>
      </c>
      <c r="AK97">
        <v>0.17883211678832117</v>
      </c>
      <c r="AL97">
        <v>2.9601982573178671</v>
      </c>
      <c r="AM97">
        <v>-14</v>
      </c>
      <c r="AN97">
        <v>1</v>
      </c>
      <c r="AO97">
        <v>1.3611111111111112</v>
      </c>
      <c r="AP97">
        <v>0.98</v>
      </c>
      <c r="AQ97">
        <v>0.1</v>
      </c>
      <c r="AR97">
        <v>0.2</v>
      </c>
      <c r="AS97">
        <v>0.62</v>
      </c>
      <c r="AT97">
        <v>0.08</v>
      </c>
      <c r="AU97">
        <v>43256.811446530002</v>
      </c>
      <c r="AV97" t="s">
        <v>489</v>
      </c>
      <c r="AW97" t="str">
        <f t="shared" si="10"/>
        <v>n/a</v>
      </c>
      <c r="AY97" t="e">
        <f t="shared" si="11"/>
        <v>#N/A</v>
      </c>
      <c r="AZ97" t="e">
        <v>#N/A</v>
      </c>
      <c r="BA97">
        <v>11</v>
      </c>
      <c r="BB97">
        <v>2018</v>
      </c>
      <c r="BC97">
        <v>11</v>
      </c>
      <c r="BD97">
        <v>2018</v>
      </c>
      <c r="BE97">
        <v>1</v>
      </c>
      <c r="BF97">
        <v>2018</v>
      </c>
    </row>
    <row r="98" spans="1:58" x14ac:dyDescent="0.2">
      <c r="A98" s="7">
        <v>4</v>
      </c>
      <c r="B98" s="7">
        <v>12</v>
      </c>
      <c r="C98" s="7">
        <v>0</v>
      </c>
      <c r="D98" s="7">
        <v>0</v>
      </c>
      <c r="E98" s="7">
        <f t="shared" si="6"/>
        <v>16</v>
      </c>
      <c r="F98" s="11" t="s">
        <v>36</v>
      </c>
      <c r="G98">
        <v>4</v>
      </c>
      <c r="H98">
        <v>12</v>
      </c>
      <c r="I98">
        <v>0</v>
      </c>
      <c r="J98">
        <v>0</v>
      </c>
      <c r="K98">
        <f t="shared" si="7"/>
        <v>16</v>
      </c>
      <c r="L98" t="s">
        <v>36</v>
      </c>
      <c r="M98">
        <v>26198.742955919999</v>
      </c>
      <c r="N98" s="7">
        <v>4</v>
      </c>
      <c r="O98" s="7">
        <v>12</v>
      </c>
      <c r="P98" s="7">
        <v>0</v>
      </c>
      <c r="Q98" s="7">
        <v>5</v>
      </c>
      <c r="R98" s="7">
        <f t="shared" si="8"/>
        <v>21</v>
      </c>
      <c r="S98" t="s">
        <v>36</v>
      </c>
      <c r="T98" s="7">
        <v>4</v>
      </c>
      <c r="U98" s="7">
        <v>12</v>
      </c>
      <c r="V98" s="7">
        <v>0</v>
      </c>
      <c r="W98" s="7">
        <v>0</v>
      </c>
      <c r="X98" s="7">
        <f t="shared" si="9"/>
        <v>16</v>
      </c>
      <c r="Y98" t="s">
        <v>36</v>
      </c>
      <c r="Z98">
        <v>30831.406399089999</v>
      </c>
      <c r="AA98" t="s">
        <v>560</v>
      </c>
      <c r="AB98" t="e">
        <v>#N/A</v>
      </c>
      <c r="AF98" t="e">
        <v>#N/A</v>
      </c>
      <c r="AG98" s="8">
        <v>90</v>
      </c>
      <c r="AH98">
        <v>-5</v>
      </c>
      <c r="AI98">
        <v>0</v>
      </c>
      <c r="AJ98">
        <v>0</v>
      </c>
      <c r="AK98">
        <v>-5.5555555555555552E-2</v>
      </c>
      <c r="AL98">
        <v>-0.52704627669472992</v>
      </c>
      <c r="AM98">
        <v>5</v>
      </c>
      <c r="AN98">
        <v>0</v>
      </c>
      <c r="AO98">
        <v>-0.23809523809523808</v>
      </c>
      <c r="AP98">
        <v>-0.3125</v>
      </c>
      <c r="AQ98">
        <v>0</v>
      </c>
      <c r="AR98">
        <v>0.25</v>
      </c>
      <c r="AS98">
        <v>0.75</v>
      </c>
      <c r="AT98">
        <v>0</v>
      </c>
      <c r="AU98">
        <v>57030.149355009999</v>
      </c>
      <c r="AV98" t="s">
        <v>489</v>
      </c>
      <c r="AW98" t="str">
        <f t="shared" si="10"/>
        <v>n/a</v>
      </c>
      <c r="AY98" t="e">
        <f t="shared" si="11"/>
        <v>#N/A</v>
      </c>
      <c r="AZ98" t="e">
        <v>#N/A</v>
      </c>
      <c r="BA98">
        <v>1</v>
      </c>
      <c r="BB98">
        <v>2018</v>
      </c>
      <c r="BC98">
        <v>1</v>
      </c>
      <c r="BD98">
        <v>2018</v>
      </c>
      <c r="BE98">
        <v>9</v>
      </c>
      <c r="BF98">
        <v>2018</v>
      </c>
    </row>
    <row r="99" spans="1:58" x14ac:dyDescent="0.2">
      <c r="A99" s="7">
        <v>0</v>
      </c>
      <c r="B99" s="7">
        <v>11</v>
      </c>
      <c r="C99" s="7">
        <v>0</v>
      </c>
      <c r="D99" s="7">
        <v>1</v>
      </c>
      <c r="E99" s="7">
        <f t="shared" si="6"/>
        <v>12</v>
      </c>
      <c r="F99" s="11" t="s">
        <v>66</v>
      </c>
      <c r="G99">
        <v>0</v>
      </c>
      <c r="H99">
        <v>11</v>
      </c>
      <c r="I99">
        <v>0</v>
      </c>
      <c r="J99">
        <v>1</v>
      </c>
      <c r="K99">
        <f t="shared" si="7"/>
        <v>12</v>
      </c>
      <c r="L99" t="s">
        <v>66</v>
      </c>
      <c r="M99">
        <v>15665.6389303</v>
      </c>
      <c r="N99" s="7">
        <v>0</v>
      </c>
      <c r="O99" s="7">
        <v>0</v>
      </c>
      <c r="P99" s="7">
        <v>0</v>
      </c>
      <c r="Q99" s="7">
        <v>1</v>
      </c>
      <c r="R99" s="7">
        <f t="shared" si="8"/>
        <v>1</v>
      </c>
      <c r="S99" t="s">
        <v>35</v>
      </c>
      <c r="T99" s="7">
        <v>0</v>
      </c>
      <c r="U99" s="7">
        <v>0</v>
      </c>
      <c r="V99" s="7">
        <v>0</v>
      </c>
      <c r="W99" s="7">
        <v>1</v>
      </c>
      <c r="X99" s="7">
        <f t="shared" si="9"/>
        <v>1</v>
      </c>
      <c r="Y99" t="s">
        <v>83</v>
      </c>
      <c r="Z99">
        <v>19522.457872030001</v>
      </c>
      <c r="AA99" t="s">
        <v>561</v>
      </c>
      <c r="AB99">
        <v>73</v>
      </c>
      <c r="AC99">
        <v>44</v>
      </c>
      <c r="AD99" t="s">
        <v>127</v>
      </c>
      <c r="AE99" t="s">
        <v>41</v>
      </c>
      <c r="AF99" t="e">
        <v>#N/A</v>
      </c>
      <c r="AG99" s="8">
        <v>212</v>
      </c>
      <c r="AH99">
        <v>0</v>
      </c>
      <c r="AI99">
        <v>-11</v>
      </c>
      <c r="AJ99">
        <v>0</v>
      </c>
      <c r="AK99">
        <v>0</v>
      </c>
      <c r="AL99">
        <v>0</v>
      </c>
      <c r="AM99">
        <v>-11</v>
      </c>
      <c r="AN99">
        <v>1</v>
      </c>
      <c r="AO99">
        <v>0</v>
      </c>
      <c r="AP99">
        <v>0</v>
      </c>
      <c r="AQ99">
        <v>8.3333333333333329E-2</v>
      </c>
      <c r="AR99">
        <v>0</v>
      </c>
      <c r="AS99">
        <v>0.91666666666666663</v>
      </c>
      <c r="AT99">
        <v>0</v>
      </c>
      <c r="AU99">
        <v>35188.096802330001</v>
      </c>
      <c r="AV99">
        <v>8</v>
      </c>
      <c r="AW99">
        <f t="shared" si="10"/>
        <v>0</v>
      </c>
      <c r="AX99">
        <v>44</v>
      </c>
      <c r="AY99">
        <f t="shared" si="11"/>
        <v>1</v>
      </c>
      <c r="AZ99" t="e">
        <v>#N/A</v>
      </c>
      <c r="BA99">
        <v>8</v>
      </c>
      <c r="BB99">
        <v>2019</v>
      </c>
      <c r="BC99">
        <v>8</v>
      </c>
      <c r="BD99">
        <v>2019</v>
      </c>
      <c r="BE99">
        <v>1</v>
      </c>
      <c r="BF99">
        <v>2019</v>
      </c>
    </row>
    <row r="100" spans="1:58" x14ac:dyDescent="0.2">
      <c r="A100" s="7">
        <v>15</v>
      </c>
      <c r="B100" s="7">
        <v>17</v>
      </c>
      <c r="C100" s="7">
        <v>7</v>
      </c>
      <c r="D100" s="7">
        <v>8</v>
      </c>
      <c r="E100" s="7">
        <f t="shared" si="6"/>
        <v>47</v>
      </c>
      <c r="F100" s="11" t="s">
        <v>39</v>
      </c>
      <c r="G100">
        <v>14</v>
      </c>
      <c r="H100">
        <v>26</v>
      </c>
      <c r="I100">
        <v>9</v>
      </c>
      <c r="J100">
        <v>8</v>
      </c>
      <c r="K100">
        <f t="shared" si="7"/>
        <v>57</v>
      </c>
      <c r="L100" t="s">
        <v>39</v>
      </c>
      <c r="M100">
        <v>7613.0248400000009</v>
      </c>
      <c r="N100" s="7">
        <v>0</v>
      </c>
      <c r="O100" s="7">
        <v>0</v>
      </c>
      <c r="P100" s="7">
        <v>2</v>
      </c>
      <c r="Q100" s="7">
        <v>8</v>
      </c>
      <c r="R100" s="7">
        <f t="shared" si="8"/>
        <v>10</v>
      </c>
      <c r="S100" t="s">
        <v>39</v>
      </c>
      <c r="T100" s="7">
        <v>0</v>
      </c>
      <c r="U100" s="7">
        <v>0</v>
      </c>
      <c r="V100" s="7">
        <v>2</v>
      </c>
      <c r="W100" s="7">
        <v>8</v>
      </c>
      <c r="X100" s="7">
        <f t="shared" si="9"/>
        <v>10</v>
      </c>
      <c r="Y100" t="s">
        <v>39</v>
      </c>
      <c r="Z100">
        <v>7900.5471600000001</v>
      </c>
      <c r="AA100" t="s">
        <v>562</v>
      </c>
      <c r="AB100">
        <v>63</v>
      </c>
      <c r="AC100">
        <v>0</v>
      </c>
      <c r="AD100" t="s">
        <v>128</v>
      </c>
      <c r="AE100" t="s">
        <v>41</v>
      </c>
      <c r="AF100">
        <v>111</v>
      </c>
      <c r="AG100" s="8">
        <v>0</v>
      </c>
      <c r="AH100">
        <v>0</v>
      </c>
      <c r="AI100">
        <v>-37</v>
      </c>
      <c r="AJ100">
        <v>10</v>
      </c>
      <c r="AK100" t="e">
        <v>#N/A</v>
      </c>
      <c r="AL100" t="e">
        <v>#N/A</v>
      </c>
      <c r="AM100">
        <v>-47</v>
      </c>
      <c r="AN100">
        <v>1</v>
      </c>
      <c r="AO100">
        <v>0</v>
      </c>
      <c r="AP100">
        <v>0</v>
      </c>
      <c r="AQ100">
        <v>0.1702127659574468</v>
      </c>
      <c r="AR100">
        <v>0.31914893617021278</v>
      </c>
      <c r="AS100">
        <v>0.36170212765957449</v>
      </c>
      <c r="AT100">
        <v>0.14893617021276595</v>
      </c>
      <c r="AU100">
        <v>15513.572</v>
      </c>
      <c r="AV100">
        <v>3</v>
      </c>
      <c r="AW100">
        <f t="shared" si="10"/>
        <v>0</v>
      </c>
      <c r="AX100">
        <v>0</v>
      </c>
      <c r="AY100">
        <f t="shared" si="11"/>
        <v>0</v>
      </c>
      <c r="AZ100">
        <v>0</v>
      </c>
      <c r="BA100">
        <v>3</v>
      </c>
      <c r="BB100">
        <v>2019</v>
      </c>
      <c r="BC100">
        <v>6</v>
      </c>
      <c r="BD100">
        <v>2019</v>
      </c>
      <c r="BE100">
        <v>6</v>
      </c>
      <c r="BF100">
        <v>2019</v>
      </c>
    </row>
    <row r="101" spans="1:58" x14ac:dyDescent="0.2">
      <c r="A101" s="7">
        <v>17</v>
      </c>
      <c r="B101" s="7">
        <v>33</v>
      </c>
      <c r="C101" s="7">
        <v>9</v>
      </c>
      <c r="D101" s="7">
        <v>7</v>
      </c>
      <c r="E101" s="7">
        <f t="shared" si="6"/>
        <v>66</v>
      </c>
      <c r="F101" s="11" t="s">
        <v>36</v>
      </c>
      <c r="G101">
        <v>17</v>
      </c>
      <c r="H101">
        <v>33</v>
      </c>
      <c r="I101">
        <v>9</v>
      </c>
      <c r="J101">
        <v>7</v>
      </c>
      <c r="K101">
        <f t="shared" si="7"/>
        <v>66</v>
      </c>
      <c r="L101" t="s">
        <v>36</v>
      </c>
      <c r="M101">
        <v>6837.0182400000003</v>
      </c>
      <c r="N101" s="7">
        <v>16</v>
      </c>
      <c r="O101" s="7">
        <v>25</v>
      </c>
      <c r="P101" s="7">
        <v>6</v>
      </c>
      <c r="Q101" s="7">
        <v>0</v>
      </c>
      <c r="R101" s="7">
        <f t="shared" si="8"/>
        <v>47</v>
      </c>
      <c r="S101" t="e">
        <v>#N/A</v>
      </c>
      <c r="T101" s="7">
        <v>16</v>
      </c>
      <c r="U101" s="7">
        <v>25</v>
      </c>
      <c r="V101" s="7">
        <v>6</v>
      </c>
      <c r="W101" s="7">
        <v>0</v>
      </c>
      <c r="X101" s="7">
        <f t="shared" si="9"/>
        <v>47</v>
      </c>
      <c r="Y101" t="e">
        <v>#N/A</v>
      </c>
      <c r="Z101">
        <v>2262.2044550400001</v>
      </c>
      <c r="AA101" t="s">
        <v>563</v>
      </c>
      <c r="AB101">
        <v>66</v>
      </c>
      <c r="AC101">
        <v>0</v>
      </c>
      <c r="AD101" t="s">
        <v>129</v>
      </c>
      <c r="AE101" t="s">
        <v>75</v>
      </c>
      <c r="AF101" t="e">
        <v>#N/A</v>
      </c>
      <c r="AG101" s="8">
        <v>0</v>
      </c>
      <c r="AH101">
        <v>0</v>
      </c>
      <c r="AI101">
        <v>-19</v>
      </c>
      <c r="AJ101">
        <v>0</v>
      </c>
      <c r="AK101" t="e">
        <v>#N/A</v>
      </c>
      <c r="AL101" t="e">
        <v>#N/A</v>
      </c>
      <c r="AM101">
        <v>-19</v>
      </c>
      <c r="AN101">
        <v>1</v>
      </c>
      <c r="AO101">
        <v>0</v>
      </c>
      <c r="AP101">
        <v>0</v>
      </c>
      <c r="AQ101">
        <v>0.10606060606060606</v>
      </c>
      <c r="AR101">
        <v>0.25757575757575757</v>
      </c>
      <c r="AS101">
        <v>0.5</v>
      </c>
      <c r="AT101">
        <v>0.13636363636363635</v>
      </c>
      <c r="AU101">
        <v>9099.22269504</v>
      </c>
      <c r="AV101">
        <v>3</v>
      </c>
      <c r="AW101">
        <f t="shared" si="10"/>
        <v>0</v>
      </c>
      <c r="AX101">
        <v>0</v>
      </c>
      <c r="AY101">
        <f t="shared" si="11"/>
        <v>0</v>
      </c>
      <c r="AZ101" t="e">
        <v>#N/A</v>
      </c>
      <c r="BA101">
        <v>7</v>
      </c>
      <c r="BB101">
        <v>2019</v>
      </c>
      <c r="BC101">
        <v>7</v>
      </c>
      <c r="BD101">
        <v>2019</v>
      </c>
      <c r="BE101">
        <v>1</v>
      </c>
      <c r="BF101">
        <v>2019</v>
      </c>
    </row>
    <row r="102" spans="1:58" x14ac:dyDescent="0.2">
      <c r="A102" s="7">
        <v>13</v>
      </c>
      <c r="B102" s="7">
        <v>17</v>
      </c>
      <c r="C102" s="7">
        <v>6</v>
      </c>
      <c r="D102" s="7">
        <v>6</v>
      </c>
      <c r="E102" s="7">
        <f t="shared" si="6"/>
        <v>42</v>
      </c>
      <c r="F102" s="11" t="s">
        <v>36</v>
      </c>
      <c r="G102">
        <v>13</v>
      </c>
      <c r="H102">
        <v>17</v>
      </c>
      <c r="I102">
        <v>6</v>
      </c>
      <c r="J102">
        <v>6</v>
      </c>
      <c r="K102">
        <f t="shared" si="7"/>
        <v>42</v>
      </c>
      <c r="L102" t="s">
        <v>36</v>
      </c>
      <c r="M102">
        <v>11533.391704199999</v>
      </c>
      <c r="N102" s="7">
        <v>7</v>
      </c>
      <c r="O102" s="7">
        <v>15</v>
      </c>
      <c r="P102" s="7">
        <v>0</v>
      </c>
      <c r="Q102" s="7">
        <v>3</v>
      </c>
      <c r="R102" s="7">
        <f t="shared" si="8"/>
        <v>25</v>
      </c>
      <c r="S102" t="s">
        <v>36</v>
      </c>
      <c r="T102" s="7">
        <v>15</v>
      </c>
      <c r="U102" s="7">
        <v>15</v>
      </c>
      <c r="V102" s="7">
        <v>6</v>
      </c>
      <c r="W102" s="7">
        <v>4</v>
      </c>
      <c r="X102" s="7">
        <f t="shared" si="9"/>
        <v>40</v>
      </c>
      <c r="Y102" t="s">
        <v>36</v>
      </c>
      <c r="Z102">
        <v>53917.740313399998</v>
      </c>
      <c r="AA102" t="s">
        <v>564</v>
      </c>
      <c r="AB102">
        <v>51</v>
      </c>
      <c r="AC102">
        <v>0</v>
      </c>
      <c r="AD102" t="s">
        <v>73</v>
      </c>
      <c r="AE102" t="s">
        <v>41</v>
      </c>
      <c r="AF102" t="e">
        <v>#N/A</v>
      </c>
      <c r="AG102" s="8">
        <v>202</v>
      </c>
      <c r="AH102">
        <v>15</v>
      </c>
      <c r="AI102">
        <v>-2</v>
      </c>
      <c r="AJ102">
        <v>0</v>
      </c>
      <c r="AK102">
        <v>7.4257425742574254E-2</v>
      </c>
      <c r="AL102">
        <v>1.0553963170954379</v>
      </c>
      <c r="AM102">
        <v>-17</v>
      </c>
      <c r="AN102">
        <v>1</v>
      </c>
      <c r="AO102">
        <v>0.6</v>
      </c>
      <c r="AP102">
        <v>0.35714285714285715</v>
      </c>
      <c r="AQ102">
        <v>0.14285714285714285</v>
      </c>
      <c r="AR102">
        <v>0.30952380952380953</v>
      </c>
      <c r="AS102">
        <v>0.40476190476190477</v>
      </c>
      <c r="AT102">
        <v>0.14285714285714285</v>
      </c>
      <c r="AU102">
        <v>65451.132017600001</v>
      </c>
      <c r="AV102">
        <v>6</v>
      </c>
      <c r="AW102">
        <f t="shared" si="10"/>
        <v>0</v>
      </c>
      <c r="AX102">
        <v>0</v>
      </c>
      <c r="AY102">
        <f t="shared" si="11"/>
        <v>0</v>
      </c>
      <c r="AZ102" t="e">
        <v>#N/A</v>
      </c>
      <c r="BA102">
        <v>5</v>
      </c>
      <c r="BB102">
        <v>2019</v>
      </c>
      <c r="BC102">
        <v>5</v>
      </c>
      <c r="BD102">
        <v>2019</v>
      </c>
      <c r="BE102">
        <v>1</v>
      </c>
      <c r="BF102">
        <v>2019</v>
      </c>
    </row>
    <row r="103" spans="1:58" x14ac:dyDescent="0.2">
      <c r="A103" s="7">
        <v>13</v>
      </c>
      <c r="B103" s="7">
        <v>28</v>
      </c>
      <c r="C103" s="7">
        <v>4</v>
      </c>
      <c r="D103" s="7">
        <v>6</v>
      </c>
      <c r="E103" s="7">
        <f t="shared" si="6"/>
        <v>51</v>
      </c>
      <c r="F103" s="11" t="e">
        <v>#N/A</v>
      </c>
      <c r="G103">
        <v>13</v>
      </c>
      <c r="H103">
        <v>28</v>
      </c>
      <c r="I103">
        <v>4</v>
      </c>
      <c r="J103">
        <v>6</v>
      </c>
      <c r="K103">
        <f t="shared" si="7"/>
        <v>51</v>
      </c>
      <c r="L103" t="e">
        <v>#N/A</v>
      </c>
      <c r="M103">
        <v>14473.9816171</v>
      </c>
      <c r="N103" s="7">
        <v>0</v>
      </c>
      <c r="O103" s="7">
        <v>0</v>
      </c>
      <c r="P103" s="7">
        <v>0</v>
      </c>
      <c r="Q103" s="7">
        <v>0</v>
      </c>
      <c r="R103" s="7">
        <f t="shared" si="8"/>
        <v>0</v>
      </c>
      <c r="S103" t="e">
        <v>#N/A</v>
      </c>
      <c r="T103" s="7">
        <v>0</v>
      </c>
      <c r="U103" s="7">
        <v>0</v>
      </c>
      <c r="V103" s="7">
        <v>0</v>
      </c>
      <c r="W103" s="7">
        <v>0</v>
      </c>
      <c r="X103" s="7">
        <f t="shared" si="9"/>
        <v>0</v>
      </c>
      <c r="Y103" t="e">
        <v>#N/A</v>
      </c>
      <c r="AA103" t="s">
        <v>565</v>
      </c>
      <c r="AB103" t="e">
        <v>#N/A</v>
      </c>
      <c r="AF103" t="e">
        <v>#N/A</v>
      </c>
      <c r="AG103" s="8"/>
      <c r="AH103">
        <v>0</v>
      </c>
      <c r="AI103">
        <v>-51</v>
      </c>
      <c r="AJ103">
        <v>0</v>
      </c>
      <c r="AK103" t="e">
        <v>#N/A</v>
      </c>
      <c r="AL103" t="e">
        <v>#N/A</v>
      </c>
      <c r="AM103">
        <v>-51</v>
      </c>
      <c r="AN103">
        <v>1</v>
      </c>
      <c r="AO103" t="e">
        <v>#N/A</v>
      </c>
      <c r="AP103">
        <v>0</v>
      </c>
      <c r="AQ103">
        <v>0.11764705882352941</v>
      </c>
      <c r="AR103">
        <v>0.25490196078431371</v>
      </c>
      <c r="AS103">
        <v>0.5490196078431373</v>
      </c>
      <c r="AT103">
        <v>7.8431372549019607E-2</v>
      </c>
      <c r="AU103">
        <v>14473.9816171</v>
      </c>
      <c r="AV103" t="s">
        <v>489</v>
      </c>
      <c r="AW103" t="str">
        <f t="shared" si="10"/>
        <v>n/a</v>
      </c>
      <c r="AY103" t="e">
        <f t="shared" si="11"/>
        <v>#N/A</v>
      </c>
      <c r="AZ103" t="e">
        <v>#N/A</v>
      </c>
      <c r="BA103">
        <v>10</v>
      </c>
      <c r="BB103">
        <v>2018</v>
      </c>
      <c r="BC103">
        <v>10</v>
      </c>
      <c r="BD103">
        <v>2018</v>
      </c>
      <c r="BE103" t="e">
        <v>#N/A</v>
      </c>
      <c r="BF103" t="e">
        <v>#N/A</v>
      </c>
    </row>
    <row r="104" spans="1:58" x14ac:dyDescent="0.2">
      <c r="A104" s="7">
        <v>19</v>
      </c>
      <c r="B104" s="7">
        <v>35</v>
      </c>
      <c r="C104" s="7">
        <v>9</v>
      </c>
      <c r="D104" s="7">
        <v>8</v>
      </c>
      <c r="E104" s="7">
        <f t="shared" si="6"/>
        <v>71</v>
      </c>
      <c r="F104" s="11" t="s">
        <v>36</v>
      </c>
      <c r="G104">
        <v>19</v>
      </c>
      <c r="H104">
        <v>35</v>
      </c>
      <c r="I104">
        <v>9</v>
      </c>
      <c r="J104">
        <v>8</v>
      </c>
      <c r="K104">
        <f t="shared" si="7"/>
        <v>71</v>
      </c>
      <c r="L104" t="s">
        <v>36</v>
      </c>
      <c r="M104">
        <v>2631.4412200000002</v>
      </c>
      <c r="N104" s="7">
        <v>19</v>
      </c>
      <c r="O104" s="7">
        <v>35</v>
      </c>
      <c r="P104" s="7">
        <v>9</v>
      </c>
      <c r="Q104" s="7">
        <v>8</v>
      </c>
      <c r="R104" s="7">
        <f t="shared" si="8"/>
        <v>71</v>
      </c>
      <c r="S104" t="s">
        <v>36</v>
      </c>
      <c r="T104" s="7">
        <v>19</v>
      </c>
      <c r="U104" s="7">
        <v>35</v>
      </c>
      <c r="V104" s="7">
        <v>9</v>
      </c>
      <c r="W104" s="7">
        <v>8</v>
      </c>
      <c r="X104" s="7">
        <f t="shared" si="9"/>
        <v>71</v>
      </c>
      <c r="Y104" t="s">
        <v>36</v>
      </c>
      <c r="Z104">
        <v>22986.431160609998</v>
      </c>
      <c r="AA104" t="s">
        <v>566</v>
      </c>
      <c r="AB104" t="e">
        <v>#N/A</v>
      </c>
      <c r="AF104" t="e">
        <v>#N/A</v>
      </c>
      <c r="AG104" s="8">
        <v>35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0.11267605633802817</v>
      </c>
      <c r="AR104">
        <v>0.26760563380281688</v>
      </c>
      <c r="AS104">
        <v>0.49295774647887325</v>
      </c>
      <c r="AT104">
        <v>0.12676056338028169</v>
      </c>
      <c r="AU104">
        <v>25617.872380609999</v>
      </c>
      <c r="AV104" t="s">
        <v>489</v>
      </c>
      <c r="AW104" t="str">
        <f t="shared" si="10"/>
        <v>n/a</v>
      </c>
      <c r="AY104" t="e">
        <f t="shared" si="11"/>
        <v>#N/A</v>
      </c>
      <c r="AZ104" t="e">
        <v>#N/A</v>
      </c>
      <c r="BA104">
        <v>1</v>
      </c>
      <c r="BB104">
        <v>2018</v>
      </c>
      <c r="BC104">
        <v>1</v>
      </c>
      <c r="BD104">
        <v>2018</v>
      </c>
      <c r="BE104">
        <v>1</v>
      </c>
      <c r="BF104">
        <v>2018</v>
      </c>
    </row>
    <row r="105" spans="1:58" x14ac:dyDescent="0.2">
      <c r="A105" s="7">
        <v>20</v>
      </c>
      <c r="B105" s="7">
        <v>36</v>
      </c>
      <c r="C105" s="7">
        <v>3</v>
      </c>
      <c r="D105" s="7">
        <v>9</v>
      </c>
      <c r="E105" s="7">
        <f t="shared" si="6"/>
        <v>68</v>
      </c>
      <c r="F105" s="11" t="s">
        <v>36</v>
      </c>
      <c r="G105">
        <v>20</v>
      </c>
      <c r="H105">
        <v>34</v>
      </c>
      <c r="I105">
        <v>3</v>
      </c>
      <c r="J105">
        <v>9</v>
      </c>
      <c r="K105">
        <f t="shared" si="7"/>
        <v>66</v>
      </c>
      <c r="L105" t="s">
        <v>36</v>
      </c>
      <c r="M105">
        <v>12398.53624695</v>
      </c>
      <c r="N105" s="7">
        <v>20</v>
      </c>
      <c r="O105" s="7">
        <v>36</v>
      </c>
      <c r="P105" s="7">
        <v>7</v>
      </c>
      <c r="Q105" s="7">
        <v>9</v>
      </c>
      <c r="R105" s="7">
        <f t="shared" si="8"/>
        <v>72</v>
      </c>
      <c r="S105" t="s">
        <v>36</v>
      </c>
      <c r="T105" s="7">
        <v>20</v>
      </c>
      <c r="U105" s="7">
        <v>36</v>
      </c>
      <c r="V105" s="7">
        <v>7</v>
      </c>
      <c r="W105" s="7">
        <v>9</v>
      </c>
      <c r="X105" s="7">
        <f t="shared" si="9"/>
        <v>72</v>
      </c>
      <c r="Y105" t="s">
        <v>36</v>
      </c>
      <c r="Z105">
        <v>5116.8646157500007</v>
      </c>
      <c r="AA105" t="s">
        <v>567</v>
      </c>
      <c r="AB105">
        <v>67</v>
      </c>
      <c r="AC105">
        <v>0</v>
      </c>
      <c r="AD105" t="s">
        <v>128</v>
      </c>
      <c r="AE105" t="s">
        <v>41</v>
      </c>
      <c r="AF105">
        <v>82</v>
      </c>
      <c r="AG105" s="8">
        <v>0</v>
      </c>
      <c r="AH105">
        <v>0</v>
      </c>
      <c r="AI105">
        <v>4</v>
      </c>
      <c r="AJ105">
        <v>-2</v>
      </c>
      <c r="AK105" t="e">
        <v>#N/A</v>
      </c>
      <c r="AL105" t="e">
        <v>#N/A</v>
      </c>
      <c r="AM105">
        <v>6</v>
      </c>
      <c r="AN105">
        <v>0</v>
      </c>
      <c r="AO105">
        <v>0</v>
      </c>
      <c r="AP105">
        <v>0</v>
      </c>
      <c r="AQ105">
        <v>0.13235294117647059</v>
      </c>
      <c r="AR105">
        <v>0.29411764705882354</v>
      </c>
      <c r="AS105">
        <v>0.52941176470588236</v>
      </c>
      <c r="AT105">
        <v>4.4117647058823532E-2</v>
      </c>
      <c r="AU105">
        <v>17515.4008627</v>
      </c>
      <c r="AV105">
        <v>8</v>
      </c>
      <c r="AW105">
        <f t="shared" si="10"/>
        <v>0</v>
      </c>
      <c r="AX105">
        <v>0</v>
      </c>
      <c r="AY105">
        <f t="shared" si="11"/>
        <v>0</v>
      </c>
      <c r="AZ105">
        <v>0</v>
      </c>
      <c r="BA105">
        <v>1</v>
      </c>
      <c r="BB105">
        <v>2019</v>
      </c>
      <c r="BC105">
        <v>3</v>
      </c>
      <c r="BD105">
        <v>2019</v>
      </c>
      <c r="BE105">
        <v>9</v>
      </c>
      <c r="BF105">
        <v>2019</v>
      </c>
    </row>
    <row r="106" spans="1:58" x14ac:dyDescent="0.2">
      <c r="A106" s="7">
        <v>9</v>
      </c>
      <c r="B106" s="7">
        <v>11</v>
      </c>
      <c r="C106" s="7">
        <v>6</v>
      </c>
      <c r="D106" s="7">
        <v>5</v>
      </c>
      <c r="E106" s="7">
        <f t="shared" si="6"/>
        <v>31</v>
      </c>
      <c r="F106" s="11" t="s">
        <v>36</v>
      </c>
      <c r="G106">
        <v>12</v>
      </c>
      <c r="H106">
        <v>10</v>
      </c>
      <c r="I106">
        <v>2</v>
      </c>
      <c r="J106">
        <v>5</v>
      </c>
      <c r="K106">
        <f t="shared" si="7"/>
        <v>29</v>
      </c>
      <c r="L106" t="s">
        <v>36</v>
      </c>
      <c r="M106">
        <v>14809.61718395</v>
      </c>
      <c r="N106" s="7">
        <v>16</v>
      </c>
      <c r="O106" s="7">
        <v>22</v>
      </c>
      <c r="P106" s="7">
        <v>8</v>
      </c>
      <c r="Q106" s="7">
        <v>5</v>
      </c>
      <c r="R106" s="7">
        <f t="shared" si="8"/>
        <v>51</v>
      </c>
      <c r="S106" t="s">
        <v>36</v>
      </c>
      <c r="T106" s="7">
        <v>16</v>
      </c>
      <c r="U106" s="7">
        <v>22</v>
      </c>
      <c r="V106" s="7">
        <v>8</v>
      </c>
      <c r="W106" s="7">
        <v>5</v>
      </c>
      <c r="X106" s="7">
        <f t="shared" si="9"/>
        <v>51</v>
      </c>
      <c r="Y106" t="s">
        <v>36</v>
      </c>
      <c r="Z106">
        <v>6898.9660545900006</v>
      </c>
      <c r="AA106" t="s">
        <v>568</v>
      </c>
      <c r="AB106" t="e">
        <v>#N/A</v>
      </c>
      <c r="AF106">
        <v>47</v>
      </c>
      <c r="AG106" s="8">
        <v>0</v>
      </c>
      <c r="AH106">
        <v>0</v>
      </c>
      <c r="AI106">
        <v>20</v>
      </c>
      <c r="AJ106">
        <v>-2</v>
      </c>
      <c r="AK106" t="e">
        <v>#N/A</v>
      </c>
      <c r="AL106" t="e">
        <v>#N/A</v>
      </c>
      <c r="AM106">
        <v>22</v>
      </c>
      <c r="AN106">
        <v>0</v>
      </c>
      <c r="AO106">
        <v>0</v>
      </c>
      <c r="AP106">
        <v>0</v>
      </c>
      <c r="AQ106">
        <v>0.16129032258064516</v>
      </c>
      <c r="AR106">
        <v>0.29032258064516131</v>
      </c>
      <c r="AS106">
        <v>0.35483870967741937</v>
      </c>
      <c r="AT106">
        <v>0.19354838709677419</v>
      </c>
      <c r="AU106">
        <v>21708.583238539999</v>
      </c>
      <c r="AV106" t="s">
        <v>489</v>
      </c>
      <c r="AW106" t="str">
        <f t="shared" si="10"/>
        <v>n/a</v>
      </c>
      <c r="AY106" t="e">
        <f t="shared" si="11"/>
        <v>#N/A</v>
      </c>
      <c r="AZ106" t="e">
        <v>#N/A</v>
      </c>
      <c r="BA106">
        <v>1</v>
      </c>
      <c r="BB106">
        <v>2018</v>
      </c>
      <c r="BC106">
        <v>2</v>
      </c>
      <c r="BD106">
        <v>2018</v>
      </c>
      <c r="BE106">
        <v>3</v>
      </c>
      <c r="BF106">
        <v>2018</v>
      </c>
    </row>
    <row r="107" spans="1:58" x14ac:dyDescent="0.2">
      <c r="A107" s="7">
        <v>5</v>
      </c>
      <c r="B107" s="7">
        <v>15</v>
      </c>
      <c r="C107" s="7">
        <v>2</v>
      </c>
      <c r="D107" s="7">
        <v>6</v>
      </c>
      <c r="E107" s="7">
        <f t="shared" si="6"/>
        <v>28</v>
      </c>
      <c r="F107" s="11" t="s">
        <v>42</v>
      </c>
      <c r="G107">
        <v>5</v>
      </c>
      <c r="H107">
        <v>15</v>
      </c>
      <c r="I107">
        <v>2</v>
      </c>
      <c r="J107">
        <v>6</v>
      </c>
      <c r="K107">
        <f t="shared" si="7"/>
        <v>28</v>
      </c>
      <c r="L107" t="s">
        <v>42</v>
      </c>
      <c r="M107">
        <v>9714.1732507199995</v>
      </c>
      <c r="N107" s="7">
        <v>5</v>
      </c>
      <c r="O107" s="7">
        <v>15</v>
      </c>
      <c r="P107" s="7">
        <v>2</v>
      </c>
      <c r="Q107" s="7">
        <v>4</v>
      </c>
      <c r="R107" s="7">
        <f t="shared" si="8"/>
        <v>26</v>
      </c>
      <c r="S107" t="e">
        <v>#N/A</v>
      </c>
      <c r="T107" s="7">
        <v>5</v>
      </c>
      <c r="U107" s="7">
        <v>15</v>
      </c>
      <c r="V107" s="7">
        <v>2</v>
      </c>
      <c r="W107" s="7">
        <v>6</v>
      </c>
      <c r="X107" s="7">
        <f t="shared" si="9"/>
        <v>28</v>
      </c>
      <c r="Y107" t="s">
        <v>42</v>
      </c>
      <c r="Z107">
        <v>12139.38619264</v>
      </c>
      <c r="AA107" t="s">
        <v>569</v>
      </c>
      <c r="AB107" t="e">
        <v>#N/A</v>
      </c>
      <c r="AF107" t="e">
        <v>#N/A</v>
      </c>
      <c r="AG107" s="8">
        <v>252</v>
      </c>
      <c r="AH107">
        <v>2</v>
      </c>
      <c r="AI107">
        <v>0</v>
      </c>
      <c r="AJ107">
        <v>0</v>
      </c>
      <c r="AK107">
        <v>7.9365079365079361E-3</v>
      </c>
      <c r="AL107">
        <v>0.12598815766974239</v>
      </c>
      <c r="AM107">
        <v>-2</v>
      </c>
      <c r="AN107">
        <v>1</v>
      </c>
      <c r="AO107">
        <v>7.6923076923076927E-2</v>
      </c>
      <c r="AP107">
        <v>7.1428571428571425E-2</v>
      </c>
      <c r="AQ107">
        <v>0.21428571428571427</v>
      </c>
      <c r="AR107">
        <v>0.17857142857142858</v>
      </c>
      <c r="AS107">
        <v>0.5357142857142857</v>
      </c>
      <c r="AT107">
        <v>7.1428571428571425E-2</v>
      </c>
      <c r="AU107">
        <v>21853.559443359998</v>
      </c>
      <c r="AV107" t="s">
        <v>489</v>
      </c>
      <c r="AW107" t="str">
        <f t="shared" si="10"/>
        <v>n/a</v>
      </c>
      <c r="AY107" t="e">
        <f t="shared" si="11"/>
        <v>#N/A</v>
      </c>
      <c r="AZ107" t="e">
        <v>#N/A</v>
      </c>
      <c r="BA107">
        <v>12</v>
      </c>
      <c r="BB107">
        <v>2018</v>
      </c>
      <c r="BC107">
        <v>12</v>
      </c>
      <c r="BD107">
        <v>2018</v>
      </c>
      <c r="BE107">
        <v>1</v>
      </c>
      <c r="BF107">
        <v>2018</v>
      </c>
    </row>
    <row r="108" spans="1:58" x14ac:dyDescent="0.2">
      <c r="A108" s="7">
        <v>15</v>
      </c>
      <c r="B108" s="7">
        <v>17</v>
      </c>
      <c r="C108" s="7">
        <v>5</v>
      </c>
      <c r="D108" s="7">
        <v>6</v>
      </c>
      <c r="E108" s="7">
        <f t="shared" si="6"/>
        <v>43</v>
      </c>
      <c r="F108" s="11" t="e">
        <v>#N/A</v>
      </c>
      <c r="G108">
        <v>13</v>
      </c>
      <c r="H108">
        <v>15</v>
      </c>
      <c r="I108">
        <v>4</v>
      </c>
      <c r="J108">
        <v>0</v>
      </c>
      <c r="K108">
        <f t="shared" si="7"/>
        <v>32</v>
      </c>
      <c r="L108" t="e">
        <v>#N/A</v>
      </c>
      <c r="M108">
        <v>21100.067906140001</v>
      </c>
      <c r="N108" s="7">
        <v>0</v>
      </c>
      <c r="O108" s="7">
        <v>0</v>
      </c>
      <c r="P108" s="7">
        <v>1</v>
      </c>
      <c r="Q108" s="7">
        <v>6</v>
      </c>
      <c r="R108" s="7">
        <f t="shared" si="8"/>
        <v>7</v>
      </c>
      <c r="S108" t="e">
        <v>#N/A</v>
      </c>
      <c r="T108" s="7">
        <v>0</v>
      </c>
      <c r="U108" s="7">
        <v>0</v>
      </c>
      <c r="V108" s="7">
        <v>1</v>
      </c>
      <c r="W108" s="7">
        <v>6</v>
      </c>
      <c r="X108" s="7">
        <f t="shared" si="9"/>
        <v>7</v>
      </c>
      <c r="Y108" t="e">
        <v>#N/A</v>
      </c>
      <c r="Z108">
        <v>8540.5240198600004</v>
      </c>
      <c r="AA108" t="s">
        <v>130</v>
      </c>
      <c r="AB108">
        <v>50</v>
      </c>
      <c r="AC108">
        <v>19</v>
      </c>
      <c r="AD108" t="s">
        <v>95</v>
      </c>
      <c r="AE108" t="s">
        <v>41</v>
      </c>
      <c r="AF108">
        <v>109</v>
      </c>
      <c r="AG108" s="8">
        <v>0</v>
      </c>
      <c r="AH108">
        <v>0</v>
      </c>
      <c r="AI108">
        <v>-36</v>
      </c>
      <c r="AJ108">
        <v>-11</v>
      </c>
      <c r="AK108" t="e">
        <v>#N/A</v>
      </c>
      <c r="AL108" t="e">
        <v>#N/A</v>
      </c>
      <c r="AM108">
        <v>-25</v>
      </c>
      <c r="AN108">
        <v>1</v>
      </c>
      <c r="AO108">
        <v>0</v>
      </c>
      <c r="AP108">
        <v>0</v>
      </c>
      <c r="AQ108">
        <v>0.13953488372093023</v>
      </c>
      <c r="AR108">
        <v>0.34883720930232559</v>
      </c>
      <c r="AS108">
        <v>0.39534883720930231</v>
      </c>
      <c r="AT108">
        <v>0.11627906976744186</v>
      </c>
      <c r="AU108">
        <v>29640.591926000001</v>
      </c>
      <c r="AV108">
        <v>12</v>
      </c>
      <c r="AW108">
        <f t="shared" si="10"/>
        <v>1</v>
      </c>
      <c r="AX108">
        <v>19</v>
      </c>
      <c r="AY108">
        <f t="shared" si="11"/>
        <v>1</v>
      </c>
      <c r="AZ108">
        <v>0.1743119266055046</v>
      </c>
      <c r="BA108">
        <v>2</v>
      </c>
      <c r="BB108">
        <v>2020</v>
      </c>
      <c r="BC108">
        <v>5</v>
      </c>
      <c r="BD108">
        <v>2020</v>
      </c>
      <c r="BE108">
        <v>6</v>
      </c>
      <c r="BF108">
        <v>2020</v>
      </c>
    </row>
    <row r="109" spans="1:58" x14ac:dyDescent="0.2">
      <c r="A109" s="7">
        <v>7</v>
      </c>
      <c r="B109" s="7">
        <v>12</v>
      </c>
      <c r="C109" s="7">
        <v>3</v>
      </c>
      <c r="D109" s="7">
        <v>0</v>
      </c>
      <c r="E109" s="7">
        <f t="shared" si="6"/>
        <v>22</v>
      </c>
      <c r="F109" s="11" t="s">
        <v>36</v>
      </c>
      <c r="G109">
        <v>7</v>
      </c>
      <c r="H109">
        <v>12</v>
      </c>
      <c r="I109">
        <v>3</v>
      </c>
      <c r="J109">
        <v>0</v>
      </c>
      <c r="K109">
        <f t="shared" si="7"/>
        <v>22</v>
      </c>
      <c r="L109" t="s">
        <v>36</v>
      </c>
      <c r="M109">
        <v>9676.0107117000007</v>
      </c>
      <c r="N109" s="7">
        <v>7</v>
      </c>
      <c r="O109" s="7">
        <v>12</v>
      </c>
      <c r="P109" s="7">
        <v>3</v>
      </c>
      <c r="Q109" s="7">
        <v>0</v>
      </c>
      <c r="R109" s="7">
        <f t="shared" si="8"/>
        <v>22</v>
      </c>
      <c r="S109" t="s">
        <v>36</v>
      </c>
      <c r="T109" s="7">
        <v>17</v>
      </c>
      <c r="U109" s="7">
        <v>12</v>
      </c>
      <c r="V109" s="7">
        <v>9</v>
      </c>
      <c r="W109" s="7">
        <v>1</v>
      </c>
      <c r="X109" s="7">
        <f t="shared" si="9"/>
        <v>39</v>
      </c>
      <c r="Y109" t="s">
        <v>36</v>
      </c>
      <c r="Z109">
        <v>14982.07448039</v>
      </c>
      <c r="AA109" t="s">
        <v>570</v>
      </c>
      <c r="AB109" t="e">
        <v>#N/A</v>
      </c>
      <c r="AF109">
        <v>214</v>
      </c>
      <c r="AG109" s="8">
        <v>21</v>
      </c>
      <c r="AH109">
        <v>17</v>
      </c>
      <c r="AI109">
        <v>17</v>
      </c>
      <c r="AJ109">
        <v>0</v>
      </c>
      <c r="AK109">
        <v>0.80952380952380953</v>
      </c>
      <c r="AL109">
        <v>3.7097041340118708</v>
      </c>
      <c r="AM109">
        <v>0</v>
      </c>
      <c r="AN109">
        <v>0</v>
      </c>
      <c r="AO109">
        <v>0.77272727272727271</v>
      </c>
      <c r="AP109">
        <v>0.77272727272727271</v>
      </c>
      <c r="AQ109">
        <v>0</v>
      </c>
      <c r="AR109">
        <v>0.31818181818181818</v>
      </c>
      <c r="AS109">
        <v>0.54545454545454541</v>
      </c>
      <c r="AT109">
        <v>0.13636363636363635</v>
      </c>
      <c r="AU109">
        <v>24658.085192090002</v>
      </c>
      <c r="AV109" t="s">
        <v>489</v>
      </c>
      <c r="AW109" t="str">
        <f t="shared" si="10"/>
        <v>n/a</v>
      </c>
      <c r="AY109" t="e">
        <f t="shared" si="11"/>
        <v>#N/A</v>
      </c>
      <c r="AZ109" t="e">
        <v>#N/A</v>
      </c>
      <c r="BA109">
        <v>4</v>
      </c>
      <c r="BB109">
        <v>2018</v>
      </c>
      <c r="BC109">
        <v>11</v>
      </c>
      <c r="BD109">
        <v>2018</v>
      </c>
      <c r="BE109">
        <v>5</v>
      </c>
      <c r="BF109">
        <v>2018</v>
      </c>
    </row>
    <row r="110" spans="1:58" x14ac:dyDescent="0.2">
      <c r="A110" s="7">
        <v>7</v>
      </c>
      <c r="B110" s="7">
        <v>15</v>
      </c>
      <c r="C110" s="7">
        <v>0</v>
      </c>
      <c r="D110" s="7">
        <v>3</v>
      </c>
      <c r="E110" s="7">
        <f t="shared" si="6"/>
        <v>25</v>
      </c>
      <c r="F110" s="11" t="s">
        <v>36</v>
      </c>
      <c r="G110">
        <v>7</v>
      </c>
      <c r="H110">
        <v>15</v>
      </c>
      <c r="I110">
        <v>0</v>
      </c>
      <c r="J110">
        <v>3</v>
      </c>
      <c r="K110">
        <f t="shared" si="7"/>
        <v>25</v>
      </c>
      <c r="L110" t="s">
        <v>36</v>
      </c>
      <c r="M110">
        <v>7919.9545997700006</v>
      </c>
      <c r="N110" s="7">
        <v>8</v>
      </c>
      <c r="O110" s="7">
        <v>15</v>
      </c>
      <c r="P110" s="7">
        <v>4</v>
      </c>
      <c r="Q110" s="7">
        <v>5</v>
      </c>
      <c r="R110" s="7">
        <f t="shared" si="8"/>
        <v>32</v>
      </c>
      <c r="S110" t="s">
        <v>36</v>
      </c>
      <c r="T110" s="7">
        <v>7</v>
      </c>
      <c r="U110" s="7">
        <v>15</v>
      </c>
      <c r="V110" s="7">
        <v>0</v>
      </c>
      <c r="W110" s="7">
        <v>3</v>
      </c>
      <c r="X110" s="7">
        <f t="shared" si="9"/>
        <v>25</v>
      </c>
      <c r="Y110" t="s">
        <v>36</v>
      </c>
      <c r="Z110">
        <v>11910.32960284</v>
      </c>
      <c r="AA110" t="s">
        <v>571</v>
      </c>
      <c r="AB110" t="e">
        <v>#N/A</v>
      </c>
      <c r="AF110" t="e">
        <v>#N/A</v>
      </c>
      <c r="AG110" s="8">
        <v>157</v>
      </c>
      <c r="AH110">
        <v>-7</v>
      </c>
      <c r="AI110">
        <v>0</v>
      </c>
      <c r="AJ110">
        <v>0</v>
      </c>
      <c r="AK110">
        <v>-4.4585987261146494E-2</v>
      </c>
      <c r="AL110">
        <v>-0.55866081912733556</v>
      </c>
      <c r="AM110">
        <v>7</v>
      </c>
      <c r="AN110">
        <v>0</v>
      </c>
      <c r="AO110">
        <v>-0.21875</v>
      </c>
      <c r="AP110">
        <v>-0.28000000000000003</v>
      </c>
      <c r="AQ110">
        <v>0.12</v>
      </c>
      <c r="AR110">
        <v>0.28000000000000003</v>
      </c>
      <c r="AS110">
        <v>0.6</v>
      </c>
      <c r="AT110">
        <v>0</v>
      </c>
      <c r="AU110">
        <v>19830.284202610001</v>
      </c>
      <c r="AV110" t="s">
        <v>489</v>
      </c>
      <c r="AW110" t="str">
        <f t="shared" si="10"/>
        <v>n/a</v>
      </c>
      <c r="AY110" t="e">
        <f t="shared" si="11"/>
        <v>#N/A</v>
      </c>
      <c r="AZ110" t="e">
        <v>#N/A</v>
      </c>
      <c r="BA110">
        <v>1</v>
      </c>
      <c r="BB110">
        <v>2018</v>
      </c>
      <c r="BC110">
        <v>1</v>
      </c>
      <c r="BD110">
        <v>2018</v>
      </c>
      <c r="BE110">
        <v>2</v>
      </c>
      <c r="BF110">
        <v>2018</v>
      </c>
    </row>
    <row r="111" spans="1:58" x14ac:dyDescent="0.2">
      <c r="A111" s="7">
        <v>0</v>
      </c>
      <c r="B111" s="7">
        <v>0</v>
      </c>
      <c r="C111" s="7">
        <v>0</v>
      </c>
      <c r="D111" s="7">
        <v>0</v>
      </c>
      <c r="E111" s="7">
        <f t="shared" si="6"/>
        <v>0</v>
      </c>
      <c r="F111" s="11" t="e">
        <v>#N/A</v>
      </c>
      <c r="G111">
        <v>0</v>
      </c>
      <c r="H111">
        <v>0</v>
      </c>
      <c r="I111">
        <v>0</v>
      </c>
      <c r="J111">
        <v>0</v>
      </c>
      <c r="K111">
        <f t="shared" si="7"/>
        <v>0</v>
      </c>
      <c r="L111" t="e">
        <v>#N/A</v>
      </c>
      <c r="N111" s="7">
        <v>9</v>
      </c>
      <c r="O111" s="7">
        <v>11</v>
      </c>
      <c r="P111" s="7">
        <v>5</v>
      </c>
      <c r="Q111" s="7">
        <v>6</v>
      </c>
      <c r="R111" s="7">
        <f t="shared" si="8"/>
        <v>31</v>
      </c>
      <c r="S111" t="s">
        <v>39</v>
      </c>
      <c r="T111" s="7">
        <v>9</v>
      </c>
      <c r="U111" s="7">
        <v>7</v>
      </c>
      <c r="V111" s="7">
        <v>6</v>
      </c>
      <c r="W111" s="7">
        <v>6</v>
      </c>
      <c r="X111" s="7">
        <f t="shared" si="9"/>
        <v>28</v>
      </c>
      <c r="Y111" t="s">
        <v>39</v>
      </c>
      <c r="Z111">
        <v>14081.16010227</v>
      </c>
      <c r="AA111" t="s">
        <v>572</v>
      </c>
      <c r="AB111" t="e">
        <v>#N/A</v>
      </c>
      <c r="AF111" t="e">
        <v>#N/A</v>
      </c>
      <c r="AG111" s="8">
        <v>14</v>
      </c>
      <c r="AH111">
        <v>-3</v>
      </c>
      <c r="AI111">
        <v>28</v>
      </c>
      <c r="AJ111">
        <v>0</v>
      </c>
      <c r="AK111">
        <v>-0.21428571428571427</v>
      </c>
      <c r="AL111">
        <v>-0.80178372573727319</v>
      </c>
      <c r="AM111">
        <v>31</v>
      </c>
      <c r="AN111">
        <v>0</v>
      </c>
      <c r="AO111">
        <v>-9.6774193548387094E-2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>
        <v>14081.16010227</v>
      </c>
      <c r="AV111" t="s">
        <v>489</v>
      </c>
      <c r="AW111" t="str">
        <f t="shared" si="10"/>
        <v>n/a</v>
      </c>
      <c r="AY111" t="e">
        <f t="shared" si="11"/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>
        <v>7</v>
      </c>
      <c r="BF111">
        <v>2018</v>
      </c>
    </row>
    <row r="112" spans="1:58" x14ac:dyDescent="0.2">
      <c r="A112" s="7">
        <v>14</v>
      </c>
      <c r="B112" s="7">
        <v>32</v>
      </c>
      <c r="C112" s="7">
        <v>4</v>
      </c>
      <c r="D112" s="7">
        <v>5</v>
      </c>
      <c r="E112" s="7">
        <f t="shared" si="6"/>
        <v>55</v>
      </c>
      <c r="F112" s="11" t="s">
        <v>39</v>
      </c>
      <c r="G112">
        <v>14</v>
      </c>
      <c r="H112">
        <v>32</v>
      </c>
      <c r="I112">
        <v>4</v>
      </c>
      <c r="J112">
        <v>5</v>
      </c>
      <c r="K112">
        <f t="shared" si="7"/>
        <v>55</v>
      </c>
      <c r="L112" t="s">
        <v>39</v>
      </c>
      <c r="M112">
        <v>11567.428367930001</v>
      </c>
      <c r="N112" s="7">
        <v>15</v>
      </c>
      <c r="O112" s="7">
        <v>33</v>
      </c>
      <c r="P112" s="7">
        <v>9</v>
      </c>
      <c r="Q112" s="7">
        <v>6</v>
      </c>
      <c r="R112" s="7">
        <f t="shared" si="8"/>
        <v>63</v>
      </c>
      <c r="S112" t="s">
        <v>39</v>
      </c>
      <c r="T112" s="7">
        <v>16</v>
      </c>
      <c r="U112" s="7">
        <v>35</v>
      </c>
      <c r="V112" s="7">
        <v>9</v>
      </c>
      <c r="W112" s="7">
        <v>6</v>
      </c>
      <c r="X112" s="7">
        <f t="shared" si="9"/>
        <v>66</v>
      </c>
      <c r="Y112" t="s">
        <v>39</v>
      </c>
      <c r="Z112">
        <v>43624.495155850003</v>
      </c>
      <c r="AA112" t="s">
        <v>573</v>
      </c>
      <c r="AB112">
        <v>59</v>
      </c>
      <c r="AC112">
        <v>0</v>
      </c>
      <c r="AD112" t="s">
        <v>131</v>
      </c>
      <c r="AE112" t="s">
        <v>41</v>
      </c>
      <c r="AF112" t="e">
        <v>#N/A</v>
      </c>
      <c r="AG112" s="8">
        <v>258</v>
      </c>
      <c r="AH112">
        <v>3</v>
      </c>
      <c r="AI112">
        <v>11</v>
      </c>
      <c r="AJ112">
        <v>0</v>
      </c>
      <c r="AK112">
        <v>1.1627906976744186E-2</v>
      </c>
      <c r="AL112">
        <v>0.1867718419094071</v>
      </c>
      <c r="AM112">
        <v>8</v>
      </c>
      <c r="AN112">
        <v>0</v>
      </c>
      <c r="AO112">
        <v>4.7619047619047616E-2</v>
      </c>
      <c r="AP112">
        <v>5.4545454545454543E-2</v>
      </c>
      <c r="AQ112">
        <v>9.0909090909090912E-2</v>
      </c>
      <c r="AR112">
        <v>0.25454545454545452</v>
      </c>
      <c r="AS112">
        <v>0.58181818181818179</v>
      </c>
      <c r="AT112">
        <v>7.2727272727272724E-2</v>
      </c>
      <c r="AU112">
        <v>55191.923523780002</v>
      </c>
      <c r="AV112">
        <v>10</v>
      </c>
      <c r="AW112">
        <f t="shared" si="10"/>
        <v>1</v>
      </c>
      <c r="AX112">
        <v>0</v>
      </c>
      <c r="AY112">
        <f t="shared" si="11"/>
        <v>0</v>
      </c>
      <c r="AZ112" t="e">
        <v>#N/A</v>
      </c>
      <c r="BA112">
        <v>3</v>
      </c>
      <c r="BB112">
        <v>2019</v>
      </c>
      <c r="BC112">
        <v>3</v>
      </c>
      <c r="BD112">
        <v>2019</v>
      </c>
      <c r="BE112">
        <v>1</v>
      </c>
      <c r="BF112">
        <v>2019</v>
      </c>
    </row>
    <row r="113" spans="1:58" x14ac:dyDescent="0.2">
      <c r="A113" s="7">
        <v>1</v>
      </c>
      <c r="B113" s="7">
        <v>13</v>
      </c>
      <c r="C113" s="7">
        <v>0</v>
      </c>
      <c r="D113" s="7">
        <v>3</v>
      </c>
      <c r="E113" s="7">
        <f t="shared" si="6"/>
        <v>17</v>
      </c>
      <c r="F113" s="11" t="e">
        <v>#N/A</v>
      </c>
      <c r="G113">
        <v>0</v>
      </c>
      <c r="H113">
        <v>5</v>
      </c>
      <c r="I113">
        <v>0</v>
      </c>
      <c r="J113">
        <v>3</v>
      </c>
      <c r="K113">
        <f t="shared" si="7"/>
        <v>8</v>
      </c>
      <c r="L113" t="e">
        <v>#N/A</v>
      </c>
      <c r="M113">
        <v>26372.88797711</v>
      </c>
      <c r="N113" s="7">
        <v>3</v>
      </c>
      <c r="O113" s="7">
        <v>17</v>
      </c>
      <c r="P113" s="7">
        <v>0</v>
      </c>
      <c r="Q113" s="7">
        <v>3</v>
      </c>
      <c r="R113" s="7">
        <f t="shared" si="8"/>
        <v>23</v>
      </c>
      <c r="S113" t="e">
        <v>#N/A</v>
      </c>
      <c r="T113" s="7">
        <v>4</v>
      </c>
      <c r="U113" s="7">
        <v>19</v>
      </c>
      <c r="V113" s="7">
        <v>0</v>
      </c>
      <c r="W113" s="7">
        <v>3</v>
      </c>
      <c r="X113" s="7">
        <f t="shared" si="9"/>
        <v>26</v>
      </c>
      <c r="Y113" t="e">
        <v>#N/A</v>
      </c>
      <c r="Z113">
        <v>54783.603874110013</v>
      </c>
      <c r="AA113" t="s">
        <v>132</v>
      </c>
      <c r="AB113">
        <v>59</v>
      </c>
      <c r="AC113">
        <v>0</v>
      </c>
      <c r="AD113" t="s">
        <v>127</v>
      </c>
      <c r="AE113" t="s">
        <v>75</v>
      </c>
      <c r="AF113">
        <v>75</v>
      </c>
      <c r="AG113" s="8">
        <v>142</v>
      </c>
      <c r="AH113">
        <v>3</v>
      </c>
      <c r="AI113">
        <v>9</v>
      </c>
      <c r="AJ113">
        <v>-9</v>
      </c>
      <c r="AK113">
        <v>2.1126760563380281E-2</v>
      </c>
      <c r="AL113">
        <v>0.25175440748900674</v>
      </c>
      <c r="AM113">
        <v>15</v>
      </c>
      <c r="AN113">
        <v>0</v>
      </c>
      <c r="AO113">
        <v>0.13043478260869565</v>
      </c>
      <c r="AP113">
        <v>0.17647058823529413</v>
      </c>
      <c r="AQ113">
        <v>0.17647058823529413</v>
      </c>
      <c r="AR113">
        <v>5.8823529411764705E-2</v>
      </c>
      <c r="AS113">
        <v>0.76470588235294112</v>
      </c>
      <c r="AT113">
        <v>0</v>
      </c>
      <c r="AU113">
        <v>81156.491851220009</v>
      </c>
      <c r="AV113">
        <v>7</v>
      </c>
      <c r="AW113">
        <f t="shared" si="10"/>
        <v>0</v>
      </c>
      <c r="AX113">
        <v>0</v>
      </c>
      <c r="AY113">
        <f t="shared" si="11"/>
        <v>0</v>
      </c>
      <c r="AZ113">
        <v>0</v>
      </c>
      <c r="BA113">
        <v>1</v>
      </c>
      <c r="BB113">
        <v>2020</v>
      </c>
      <c r="BC113">
        <v>3</v>
      </c>
      <c r="BD113">
        <v>2020</v>
      </c>
      <c r="BE113">
        <v>1</v>
      </c>
      <c r="BF113">
        <v>2020</v>
      </c>
    </row>
    <row r="114" spans="1:58" x14ac:dyDescent="0.2">
      <c r="A114" s="7">
        <v>0</v>
      </c>
      <c r="B114" s="7">
        <v>16</v>
      </c>
      <c r="C114" s="7">
        <v>0</v>
      </c>
      <c r="D114" s="7">
        <v>3</v>
      </c>
      <c r="E114" s="7">
        <f t="shared" si="6"/>
        <v>19</v>
      </c>
      <c r="F114" s="11" t="e">
        <v>#N/A</v>
      </c>
      <c r="G114">
        <v>0</v>
      </c>
      <c r="H114">
        <v>16</v>
      </c>
      <c r="I114">
        <v>0</v>
      </c>
      <c r="J114">
        <v>3</v>
      </c>
      <c r="K114">
        <f t="shared" si="7"/>
        <v>19</v>
      </c>
      <c r="L114" t="e">
        <v>#N/A</v>
      </c>
      <c r="M114">
        <v>9221.9262975600013</v>
      </c>
      <c r="N114" s="7">
        <v>0</v>
      </c>
      <c r="O114" s="7">
        <v>24</v>
      </c>
      <c r="P114" s="7">
        <v>0</v>
      </c>
      <c r="Q114" s="7">
        <v>3</v>
      </c>
      <c r="R114" s="7">
        <f t="shared" si="8"/>
        <v>27</v>
      </c>
      <c r="S114" t="e">
        <v>#N/A</v>
      </c>
      <c r="T114" s="7">
        <v>0</v>
      </c>
      <c r="U114" s="7">
        <v>24</v>
      </c>
      <c r="V114" s="7">
        <v>0</v>
      </c>
      <c r="W114" s="7">
        <v>3</v>
      </c>
      <c r="X114" s="7">
        <f t="shared" si="9"/>
        <v>27</v>
      </c>
      <c r="Y114" t="e">
        <v>#N/A</v>
      </c>
      <c r="Z114">
        <v>14149.30202986</v>
      </c>
      <c r="AA114" t="s">
        <v>133</v>
      </c>
      <c r="AB114">
        <v>39</v>
      </c>
      <c r="AC114">
        <v>0</v>
      </c>
      <c r="AD114" t="s">
        <v>134</v>
      </c>
      <c r="AE114" t="s">
        <v>75</v>
      </c>
      <c r="AF114" t="e">
        <v>#N/A</v>
      </c>
      <c r="AG114" s="8">
        <v>111</v>
      </c>
      <c r="AH114">
        <v>0</v>
      </c>
      <c r="AI114">
        <v>8</v>
      </c>
      <c r="AJ114">
        <v>0</v>
      </c>
      <c r="AK114">
        <v>0</v>
      </c>
      <c r="AL114">
        <v>0</v>
      </c>
      <c r="AM114">
        <v>8</v>
      </c>
      <c r="AN114">
        <v>0</v>
      </c>
      <c r="AO114">
        <v>0</v>
      </c>
      <c r="AP114">
        <v>0</v>
      </c>
      <c r="AQ114">
        <v>0.15789473684210525</v>
      </c>
      <c r="AR114">
        <v>0</v>
      </c>
      <c r="AS114">
        <v>0.84210526315789469</v>
      </c>
      <c r="AT114">
        <v>0</v>
      </c>
      <c r="AU114">
        <v>23371.228327420002</v>
      </c>
      <c r="AV114">
        <v>5</v>
      </c>
      <c r="AW114">
        <f t="shared" si="10"/>
        <v>0</v>
      </c>
      <c r="AX114">
        <v>0</v>
      </c>
      <c r="AY114">
        <f t="shared" si="11"/>
        <v>0</v>
      </c>
      <c r="AZ114" t="e">
        <v>#N/A</v>
      </c>
      <c r="BA114">
        <v>10</v>
      </c>
      <c r="BB114">
        <v>2020</v>
      </c>
      <c r="BC114">
        <v>10</v>
      </c>
      <c r="BD114">
        <v>2020</v>
      </c>
      <c r="BE114">
        <v>7</v>
      </c>
      <c r="BF114">
        <v>2020</v>
      </c>
    </row>
    <row r="115" spans="1:58" x14ac:dyDescent="0.2">
      <c r="A115" s="7">
        <v>7</v>
      </c>
      <c r="B115" s="7">
        <v>24</v>
      </c>
      <c r="C115" s="7">
        <v>1</v>
      </c>
      <c r="D115" s="7">
        <v>3</v>
      </c>
      <c r="E115" s="7">
        <f t="shared" si="6"/>
        <v>35</v>
      </c>
      <c r="F115" s="11" t="s">
        <v>36</v>
      </c>
      <c r="G115">
        <v>7</v>
      </c>
      <c r="H115">
        <v>24</v>
      </c>
      <c r="I115">
        <v>1</v>
      </c>
      <c r="J115">
        <v>3</v>
      </c>
      <c r="K115">
        <f t="shared" si="7"/>
        <v>35</v>
      </c>
      <c r="L115" t="s">
        <v>36</v>
      </c>
      <c r="M115">
        <v>8378.2828200000004</v>
      </c>
      <c r="N115" s="7">
        <v>9</v>
      </c>
      <c r="O115" s="7">
        <v>26</v>
      </c>
      <c r="P115" s="7">
        <v>3</v>
      </c>
      <c r="Q115" s="7">
        <v>3</v>
      </c>
      <c r="R115" s="7">
        <f t="shared" si="8"/>
        <v>41</v>
      </c>
      <c r="S115" t="s">
        <v>36</v>
      </c>
      <c r="T115" s="7">
        <v>9</v>
      </c>
      <c r="U115" s="7">
        <v>26</v>
      </c>
      <c r="V115" s="7">
        <v>1</v>
      </c>
      <c r="W115" s="7">
        <v>3</v>
      </c>
      <c r="X115" s="7">
        <f t="shared" si="9"/>
        <v>39</v>
      </c>
      <c r="Y115" t="s">
        <v>36</v>
      </c>
      <c r="Z115">
        <v>4118.9070400000001</v>
      </c>
      <c r="AA115" t="s">
        <v>574</v>
      </c>
      <c r="AB115" t="e">
        <v>#N/A</v>
      </c>
      <c r="AF115">
        <v>250</v>
      </c>
      <c r="AG115" s="8">
        <v>151</v>
      </c>
      <c r="AH115">
        <v>-2</v>
      </c>
      <c r="AI115">
        <v>4</v>
      </c>
      <c r="AJ115">
        <v>0</v>
      </c>
      <c r="AK115">
        <v>-1.3245033112582781E-2</v>
      </c>
      <c r="AL115">
        <v>-0.16275769175423188</v>
      </c>
      <c r="AM115">
        <v>6</v>
      </c>
      <c r="AN115">
        <v>0</v>
      </c>
      <c r="AO115">
        <v>-4.878048780487805E-2</v>
      </c>
      <c r="AP115">
        <v>-5.7142857142857141E-2</v>
      </c>
      <c r="AQ115">
        <v>8.5714285714285715E-2</v>
      </c>
      <c r="AR115">
        <v>0.2</v>
      </c>
      <c r="AS115">
        <v>0.68571428571428572</v>
      </c>
      <c r="AT115">
        <v>2.8571428571428571E-2</v>
      </c>
      <c r="AU115">
        <v>12497.18986</v>
      </c>
      <c r="AV115" t="s">
        <v>489</v>
      </c>
      <c r="AW115" t="str">
        <f t="shared" si="10"/>
        <v>n/a</v>
      </c>
      <c r="AY115" t="e">
        <f t="shared" si="11"/>
        <v>#N/A</v>
      </c>
      <c r="AZ115" t="e">
        <v>#N/A</v>
      </c>
      <c r="BA115">
        <v>1</v>
      </c>
      <c r="BB115">
        <v>2018</v>
      </c>
      <c r="BC115">
        <v>10</v>
      </c>
      <c r="BD115">
        <v>2018</v>
      </c>
      <c r="BE115">
        <v>1</v>
      </c>
      <c r="BF115">
        <v>2018</v>
      </c>
    </row>
    <row r="116" spans="1:58" x14ac:dyDescent="0.2">
      <c r="A116" s="7">
        <v>15</v>
      </c>
      <c r="B116" s="7">
        <v>23</v>
      </c>
      <c r="C116" s="7">
        <v>8</v>
      </c>
      <c r="D116" s="7">
        <v>7</v>
      </c>
      <c r="E116" s="7">
        <f t="shared" si="6"/>
        <v>53</v>
      </c>
      <c r="F116" s="11" t="s">
        <v>36</v>
      </c>
      <c r="G116">
        <v>15</v>
      </c>
      <c r="H116">
        <v>23</v>
      </c>
      <c r="I116">
        <v>8</v>
      </c>
      <c r="J116">
        <v>7</v>
      </c>
      <c r="K116">
        <f t="shared" si="7"/>
        <v>53</v>
      </c>
      <c r="L116" t="s">
        <v>36</v>
      </c>
      <c r="M116">
        <v>12369.137678715</v>
      </c>
      <c r="N116" s="7">
        <v>17</v>
      </c>
      <c r="O116" s="7">
        <v>23</v>
      </c>
      <c r="P116" s="7">
        <v>8</v>
      </c>
      <c r="Q116" s="7">
        <v>7</v>
      </c>
      <c r="R116" s="7">
        <f t="shared" si="8"/>
        <v>55</v>
      </c>
      <c r="S116" t="s">
        <v>36</v>
      </c>
      <c r="T116" s="7">
        <v>17</v>
      </c>
      <c r="U116" s="7">
        <v>23</v>
      </c>
      <c r="V116" s="7">
        <v>8</v>
      </c>
      <c r="W116" s="7">
        <v>7</v>
      </c>
      <c r="X116" s="7">
        <f t="shared" si="9"/>
        <v>55</v>
      </c>
      <c r="Y116" t="s">
        <v>36</v>
      </c>
      <c r="Z116">
        <v>4005.4354066350002</v>
      </c>
      <c r="AA116" t="s">
        <v>575</v>
      </c>
      <c r="AB116" t="e">
        <v>#N/A</v>
      </c>
      <c r="AF116">
        <v>250</v>
      </c>
      <c r="AG116" s="8">
        <v>0</v>
      </c>
      <c r="AH116">
        <v>0</v>
      </c>
      <c r="AI116">
        <v>2</v>
      </c>
      <c r="AJ116">
        <v>0</v>
      </c>
      <c r="AK116" t="e">
        <v>#N/A</v>
      </c>
      <c r="AL116" t="e">
        <v>#N/A</v>
      </c>
      <c r="AM116">
        <v>2</v>
      </c>
      <c r="AN116">
        <v>0</v>
      </c>
      <c r="AO116">
        <v>0</v>
      </c>
      <c r="AP116">
        <v>0</v>
      </c>
      <c r="AQ116">
        <v>0.13207547169811321</v>
      </c>
      <c r="AR116">
        <v>0.28301886792452829</v>
      </c>
      <c r="AS116">
        <v>0.43396226415094341</v>
      </c>
      <c r="AT116">
        <v>0.15094339622641509</v>
      </c>
      <c r="AU116">
        <v>16374.573085350001</v>
      </c>
      <c r="AV116" t="s">
        <v>489</v>
      </c>
      <c r="AW116" t="str">
        <f t="shared" si="10"/>
        <v>n/a</v>
      </c>
      <c r="AY116" t="e">
        <f t="shared" si="11"/>
        <v>#N/A</v>
      </c>
      <c r="AZ116" t="e">
        <v>#N/A</v>
      </c>
      <c r="BA116">
        <v>3</v>
      </c>
      <c r="BB116">
        <v>2018</v>
      </c>
      <c r="BC116">
        <v>12</v>
      </c>
      <c r="BD116">
        <v>2018</v>
      </c>
      <c r="BE116">
        <v>5</v>
      </c>
      <c r="BF116">
        <v>2018</v>
      </c>
    </row>
    <row r="117" spans="1:58" x14ac:dyDescent="0.2">
      <c r="A117" s="7">
        <v>17</v>
      </c>
      <c r="B117" s="7">
        <v>35</v>
      </c>
      <c r="C117" s="7">
        <v>4</v>
      </c>
      <c r="D117" s="7">
        <v>4</v>
      </c>
      <c r="E117" s="7">
        <f t="shared" si="6"/>
        <v>60</v>
      </c>
      <c r="F117" s="11" t="s">
        <v>36</v>
      </c>
      <c r="G117">
        <v>17</v>
      </c>
      <c r="H117">
        <v>35</v>
      </c>
      <c r="I117">
        <v>4</v>
      </c>
      <c r="J117">
        <v>4</v>
      </c>
      <c r="K117">
        <f t="shared" si="7"/>
        <v>60</v>
      </c>
      <c r="L117" t="s">
        <v>36</v>
      </c>
      <c r="M117">
        <v>11422.204205280001</v>
      </c>
      <c r="N117" s="7">
        <v>5</v>
      </c>
      <c r="O117" s="7">
        <v>26</v>
      </c>
      <c r="P117" s="7">
        <v>0</v>
      </c>
      <c r="Q117" s="7">
        <v>3</v>
      </c>
      <c r="R117" s="7">
        <f t="shared" si="8"/>
        <v>34</v>
      </c>
      <c r="S117" t="s">
        <v>36</v>
      </c>
      <c r="T117" s="7">
        <v>19</v>
      </c>
      <c r="U117" s="7">
        <v>26</v>
      </c>
      <c r="V117" s="7">
        <v>6</v>
      </c>
      <c r="W117" s="7">
        <v>7</v>
      </c>
      <c r="X117" s="7">
        <f t="shared" si="9"/>
        <v>58</v>
      </c>
      <c r="Y117" t="s">
        <v>36</v>
      </c>
      <c r="Z117">
        <v>57536.609020540011</v>
      </c>
      <c r="AA117" t="s">
        <v>576</v>
      </c>
      <c r="AB117">
        <v>58</v>
      </c>
      <c r="AC117">
        <v>0</v>
      </c>
      <c r="AD117" t="s">
        <v>40</v>
      </c>
      <c r="AE117" t="s">
        <v>75</v>
      </c>
      <c r="AF117" t="e">
        <v>#N/A</v>
      </c>
      <c r="AG117" s="8">
        <v>47</v>
      </c>
      <c r="AH117">
        <v>24</v>
      </c>
      <c r="AI117">
        <v>-2</v>
      </c>
      <c r="AJ117">
        <v>0</v>
      </c>
      <c r="AK117">
        <v>0.51063829787234039</v>
      </c>
      <c r="AL117">
        <v>3.5007597959494694</v>
      </c>
      <c r="AM117">
        <v>-26</v>
      </c>
      <c r="AN117">
        <v>1</v>
      </c>
      <c r="AO117">
        <v>0.70588235294117652</v>
      </c>
      <c r="AP117">
        <v>0.4</v>
      </c>
      <c r="AQ117">
        <v>6.6666666666666666E-2</v>
      </c>
      <c r="AR117">
        <v>0.28333333333333333</v>
      </c>
      <c r="AS117">
        <v>0.58333333333333337</v>
      </c>
      <c r="AT117">
        <v>6.6666666666666666E-2</v>
      </c>
      <c r="AU117">
        <v>68958.813225820006</v>
      </c>
      <c r="AV117">
        <v>12</v>
      </c>
      <c r="AW117">
        <f t="shared" si="10"/>
        <v>1</v>
      </c>
      <c r="AX117">
        <v>0</v>
      </c>
      <c r="AY117">
        <f t="shared" si="11"/>
        <v>0</v>
      </c>
      <c r="AZ117" t="e">
        <v>#N/A</v>
      </c>
      <c r="BA117">
        <v>11</v>
      </c>
      <c r="BB117">
        <v>2018</v>
      </c>
      <c r="BC117">
        <v>11</v>
      </c>
      <c r="BD117">
        <v>2018</v>
      </c>
      <c r="BE117">
        <v>1</v>
      </c>
      <c r="BF117">
        <v>2019</v>
      </c>
    </row>
    <row r="118" spans="1:58" x14ac:dyDescent="0.2">
      <c r="A118" s="7">
        <v>11</v>
      </c>
      <c r="B118" s="7">
        <v>18</v>
      </c>
      <c r="C118" s="7">
        <v>4</v>
      </c>
      <c r="D118" s="7">
        <v>4</v>
      </c>
      <c r="E118" s="7">
        <f t="shared" si="6"/>
        <v>37</v>
      </c>
      <c r="F118" s="11" t="s">
        <v>36</v>
      </c>
      <c r="G118">
        <v>12</v>
      </c>
      <c r="H118">
        <v>14</v>
      </c>
      <c r="I118">
        <v>6</v>
      </c>
      <c r="J118">
        <v>3</v>
      </c>
      <c r="K118">
        <f t="shared" si="7"/>
        <v>35</v>
      </c>
      <c r="L118" t="s">
        <v>36</v>
      </c>
      <c r="M118">
        <v>26580.845646059999</v>
      </c>
      <c r="N118" s="7">
        <v>12</v>
      </c>
      <c r="O118" s="7">
        <v>14</v>
      </c>
      <c r="P118" s="7">
        <v>7</v>
      </c>
      <c r="Q118" s="7">
        <v>2</v>
      </c>
      <c r="R118" s="7">
        <f t="shared" si="8"/>
        <v>35</v>
      </c>
      <c r="S118" t="s">
        <v>36</v>
      </c>
      <c r="T118" s="7">
        <v>12</v>
      </c>
      <c r="U118" s="7">
        <v>14</v>
      </c>
      <c r="V118" s="7">
        <v>7</v>
      </c>
      <c r="W118" s="7">
        <v>0</v>
      </c>
      <c r="X118" s="7">
        <f t="shared" si="9"/>
        <v>33</v>
      </c>
      <c r="Y118" t="s">
        <v>36</v>
      </c>
      <c r="Z118">
        <v>61441.000914599987</v>
      </c>
      <c r="AA118" t="s">
        <v>577</v>
      </c>
      <c r="AB118">
        <v>44</v>
      </c>
      <c r="AC118">
        <v>0</v>
      </c>
      <c r="AD118" t="s">
        <v>40</v>
      </c>
      <c r="AE118" t="s">
        <v>75</v>
      </c>
      <c r="AF118">
        <v>6</v>
      </c>
      <c r="AG118" s="8">
        <v>2</v>
      </c>
      <c r="AH118">
        <v>-2</v>
      </c>
      <c r="AI118">
        <v>-4</v>
      </c>
      <c r="AJ118">
        <v>-2</v>
      </c>
      <c r="AK118">
        <v>-1</v>
      </c>
      <c r="AL118">
        <v>-1.4142135623730949</v>
      </c>
      <c r="AM118">
        <v>0</v>
      </c>
      <c r="AN118">
        <v>0</v>
      </c>
      <c r="AO118">
        <v>-5.7142857142857141E-2</v>
      </c>
      <c r="AP118">
        <v>-5.4054054054054057E-2</v>
      </c>
      <c r="AQ118">
        <v>0.10810810810810811</v>
      </c>
      <c r="AR118">
        <v>0.29729729729729731</v>
      </c>
      <c r="AS118">
        <v>0.48648648648648651</v>
      </c>
      <c r="AT118">
        <v>0.10810810810810811</v>
      </c>
      <c r="AU118">
        <v>88021.846560659993</v>
      </c>
      <c r="AV118">
        <v>18</v>
      </c>
      <c r="AW118">
        <f t="shared" si="10"/>
        <v>1</v>
      </c>
      <c r="AX118">
        <v>0</v>
      </c>
      <c r="AY118">
        <f t="shared" si="11"/>
        <v>0</v>
      </c>
      <c r="AZ118">
        <v>0</v>
      </c>
      <c r="BA118">
        <v>12</v>
      </c>
      <c r="BB118">
        <v>2018</v>
      </c>
      <c r="BC118">
        <v>1</v>
      </c>
      <c r="BD118">
        <v>2019</v>
      </c>
      <c r="BE118">
        <v>1</v>
      </c>
      <c r="BF118">
        <v>2019</v>
      </c>
    </row>
    <row r="119" spans="1:58" x14ac:dyDescent="0.2">
      <c r="A119" s="7">
        <v>4</v>
      </c>
      <c r="B119" s="7">
        <v>15</v>
      </c>
      <c r="C119" s="7">
        <v>5</v>
      </c>
      <c r="D119" s="7">
        <v>6</v>
      </c>
      <c r="E119" s="7">
        <f t="shared" si="6"/>
        <v>30</v>
      </c>
      <c r="F119" s="11" t="s">
        <v>36</v>
      </c>
      <c r="G119">
        <v>4</v>
      </c>
      <c r="H119">
        <v>15</v>
      </c>
      <c r="I119">
        <v>5</v>
      </c>
      <c r="J119">
        <v>6</v>
      </c>
      <c r="K119">
        <f t="shared" si="7"/>
        <v>30</v>
      </c>
      <c r="L119" t="s">
        <v>36</v>
      </c>
      <c r="M119">
        <v>7000.17703016</v>
      </c>
      <c r="N119" s="7">
        <v>4</v>
      </c>
      <c r="O119" s="7">
        <v>15</v>
      </c>
      <c r="P119" s="7">
        <v>2</v>
      </c>
      <c r="Q119" s="7">
        <v>3</v>
      </c>
      <c r="R119" s="7">
        <f t="shared" si="8"/>
        <v>24</v>
      </c>
      <c r="S119" t="s">
        <v>36</v>
      </c>
      <c r="T119" s="7">
        <v>13</v>
      </c>
      <c r="U119" s="7">
        <v>25</v>
      </c>
      <c r="V119" s="7">
        <v>9</v>
      </c>
      <c r="W119" s="7">
        <v>7</v>
      </c>
      <c r="X119" s="7">
        <f t="shared" si="9"/>
        <v>54</v>
      </c>
      <c r="Y119" t="s">
        <v>36</v>
      </c>
      <c r="Z119">
        <v>41527.020756520003</v>
      </c>
      <c r="AA119" t="s">
        <v>578</v>
      </c>
      <c r="AB119" t="e">
        <v>#N/A</v>
      </c>
      <c r="AF119" t="e">
        <v>#N/A</v>
      </c>
      <c r="AG119" s="8">
        <v>220</v>
      </c>
      <c r="AH119">
        <v>30</v>
      </c>
      <c r="AI119">
        <v>24</v>
      </c>
      <c r="AJ119">
        <v>0</v>
      </c>
      <c r="AK119">
        <v>0.13636363636363635</v>
      </c>
      <c r="AL119">
        <v>2.0225995873897262</v>
      </c>
      <c r="AM119">
        <v>-6</v>
      </c>
      <c r="AN119">
        <v>1</v>
      </c>
      <c r="AO119">
        <v>1.25</v>
      </c>
      <c r="AP119">
        <v>1</v>
      </c>
      <c r="AQ119">
        <v>0.2</v>
      </c>
      <c r="AR119">
        <v>0.13333333333333333</v>
      </c>
      <c r="AS119">
        <v>0.5</v>
      </c>
      <c r="AT119">
        <v>0.16666666666666666</v>
      </c>
      <c r="AU119">
        <v>48527.197786680001</v>
      </c>
      <c r="AV119" t="s">
        <v>489</v>
      </c>
      <c r="AW119" t="str">
        <f t="shared" si="10"/>
        <v>n/a</v>
      </c>
      <c r="AY119" t="e">
        <f t="shared" si="11"/>
        <v>#N/A</v>
      </c>
      <c r="AZ119" t="e">
        <v>#N/A</v>
      </c>
      <c r="BA119">
        <v>5</v>
      </c>
      <c r="BB119">
        <v>2018</v>
      </c>
      <c r="BC119">
        <v>5</v>
      </c>
      <c r="BD119">
        <v>2018</v>
      </c>
      <c r="BE119">
        <v>1</v>
      </c>
      <c r="BF119">
        <v>2018</v>
      </c>
    </row>
    <row r="120" spans="1:58" x14ac:dyDescent="0.2">
      <c r="A120" s="7">
        <v>0</v>
      </c>
      <c r="B120" s="7">
        <v>0</v>
      </c>
      <c r="C120" s="7">
        <v>0</v>
      </c>
      <c r="D120" s="7">
        <v>0</v>
      </c>
      <c r="E120" s="7">
        <f t="shared" si="6"/>
        <v>0</v>
      </c>
      <c r="F120" s="11" t="e">
        <v>#N/A</v>
      </c>
      <c r="G120">
        <v>0</v>
      </c>
      <c r="H120">
        <v>0</v>
      </c>
      <c r="I120">
        <v>0</v>
      </c>
      <c r="J120">
        <v>0</v>
      </c>
      <c r="K120">
        <f t="shared" si="7"/>
        <v>0</v>
      </c>
      <c r="L120" t="e">
        <v>#N/A</v>
      </c>
      <c r="N120" s="7">
        <v>18</v>
      </c>
      <c r="O120" s="7">
        <v>37</v>
      </c>
      <c r="P120" s="7">
        <v>8</v>
      </c>
      <c r="Q120" s="7">
        <v>7</v>
      </c>
      <c r="R120" s="7">
        <f t="shared" si="8"/>
        <v>70</v>
      </c>
      <c r="S120" t="e">
        <v>#N/A</v>
      </c>
      <c r="T120" s="7">
        <v>20</v>
      </c>
      <c r="U120" s="7">
        <v>40</v>
      </c>
      <c r="V120" s="7">
        <v>8</v>
      </c>
      <c r="W120" s="7">
        <v>7</v>
      </c>
      <c r="X120" s="7">
        <f t="shared" si="9"/>
        <v>75</v>
      </c>
      <c r="Y120" t="e">
        <v>#N/A</v>
      </c>
      <c r="Z120">
        <v>4549.6625533800006</v>
      </c>
      <c r="AA120" t="s">
        <v>135</v>
      </c>
      <c r="AB120">
        <v>68</v>
      </c>
      <c r="AC120">
        <v>0</v>
      </c>
      <c r="AD120" t="s">
        <v>136</v>
      </c>
      <c r="AE120" t="s">
        <v>41</v>
      </c>
      <c r="AF120" t="e">
        <v>#N/A</v>
      </c>
      <c r="AG120" s="8">
        <v>8</v>
      </c>
      <c r="AH120">
        <v>5</v>
      </c>
      <c r="AI120">
        <v>75</v>
      </c>
      <c r="AJ120">
        <v>0</v>
      </c>
      <c r="AK120">
        <v>0.625</v>
      </c>
      <c r="AL120">
        <v>1.7677669529663687</v>
      </c>
      <c r="AM120">
        <v>70</v>
      </c>
      <c r="AN120">
        <v>0</v>
      </c>
      <c r="AO120">
        <v>7.1428571428571425E-2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>
        <v>4549.6625533800006</v>
      </c>
      <c r="AV120">
        <v>7</v>
      </c>
      <c r="AW120">
        <f t="shared" si="10"/>
        <v>0</v>
      </c>
      <c r="AX120">
        <v>0</v>
      </c>
      <c r="AY120">
        <f t="shared" si="11"/>
        <v>0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>
        <v>1</v>
      </c>
      <c r="BF120">
        <v>2020</v>
      </c>
    </row>
    <row r="121" spans="1:58" x14ac:dyDescent="0.2">
      <c r="A121" s="7">
        <v>10</v>
      </c>
      <c r="B121" s="7">
        <v>11</v>
      </c>
      <c r="C121" s="7">
        <v>2</v>
      </c>
      <c r="D121" s="7">
        <v>5</v>
      </c>
      <c r="E121" s="7">
        <f t="shared" si="6"/>
        <v>28</v>
      </c>
      <c r="F121" s="11" t="e">
        <v>#N/A</v>
      </c>
      <c r="G121">
        <v>10</v>
      </c>
      <c r="H121">
        <v>11</v>
      </c>
      <c r="I121">
        <v>2</v>
      </c>
      <c r="J121">
        <v>5</v>
      </c>
      <c r="K121">
        <f t="shared" si="7"/>
        <v>28</v>
      </c>
      <c r="L121" t="e">
        <v>#N/A</v>
      </c>
      <c r="M121">
        <v>13637.06474281</v>
      </c>
      <c r="N121" s="7">
        <v>11</v>
      </c>
      <c r="O121" s="7">
        <v>16</v>
      </c>
      <c r="P121" s="7">
        <v>0</v>
      </c>
      <c r="Q121" s="7">
        <v>6</v>
      </c>
      <c r="R121" s="7">
        <f t="shared" si="8"/>
        <v>33</v>
      </c>
      <c r="S121" t="e">
        <v>#N/A</v>
      </c>
      <c r="T121" s="7">
        <v>18</v>
      </c>
      <c r="U121" s="7">
        <v>19</v>
      </c>
      <c r="V121" s="7">
        <v>5</v>
      </c>
      <c r="W121" s="7">
        <v>6</v>
      </c>
      <c r="X121" s="7">
        <f t="shared" si="9"/>
        <v>48</v>
      </c>
      <c r="Y121" t="e">
        <v>#N/A</v>
      </c>
      <c r="Z121">
        <v>36877.833195530009</v>
      </c>
      <c r="AA121" t="s">
        <v>137</v>
      </c>
      <c r="AB121">
        <v>53</v>
      </c>
      <c r="AC121">
        <v>0</v>
      </c>
      <c r="AD121" t="s">
        <v>138</v>
      </c>
      <c r="AE121" t="s">
        <v>75</v>
      </c>
      <c r="AF121" t="e">
        <v>#N/A</v>
      </c>
      <c r="AG121" s="8">
        <v>183</v>
      </c>
      <c r="AH121">
        <v>15</v>
      </c>
      <c r="AI121">
        <v>20</v>
      </c>
      <c r="AJ121">
        <v>0</v>
      </c>
      <c r="AK121">
        <v>8.1967213114754092E-2</v>
      </c>
      <c r="AL121">
        <v>1.1088319064318592</v>
      </c>
      <c r="AM121">
        <v>5</v>
      </c>
      <c r="AN121">
        <v>0</v>
      </c>
      <c r="AO121">
        <v>0.45454545454545453</v>
      </c>
      <c r="AP121">
        <v>0.5357142857142857</v>
      </c>
      <c r="AQ121">
        <v>0.17857142857142858</v>
      </c>
      <c r="AR121">
        <v>0.35714285714285715</v>
      </c>
      <c r="AS121">
        <v>0.39285714285714285</v>
      </c>
      <c r="AT121">
        <v>7.1428571428571425E-2</v>
      </c>
      <c r="AU121">
        <v>50514.897938340007</v>
      </c>
      <c r="AV121">
        <v>13</v>
      </c>
      <c r="AW121">
        <f t="shared" si="10"/>
        <v>1</v>
      </c>
      <c r="AX121">
        <v>0</v>
      </c>
      <c r="AY121">
        <f t="shared" si="11"/>
        <v>0</v>
      </c>
      <c r="AZ121" t="e">
        <v>#N/A</v>
      </c>
      <c r="BA121">
        <v>5</v>
      </c>
      <c r="BB121">
        <v>2020</v>
      </c>
      <c r="BC121">
        <v>5</v>
      </c>
      <c r="BD121">
        <v>2020</v>
      </c>
      <c r="BE121">
        <v>1</v>
      </c>
      <c r="BF121">
        <v>2020</v>
      </c>
    </row>
    <row r="122" spans="1:58" x14ac:dyDescent="0.2">
      <c r="A122" s="7">
        <v>16</v>
      </c>
      <c r="B122" s="7">
        <v>18</v>
      </c>
      <c r="C122" s="7">
        <v>0</v>
      </c>
      <c r="D122" s="7">
        <v>0</v>
      </c>
      <c r="E122" s="7">
        <f t="shared" si="6"/>
        <v>34</v>
      </c>
      <c r="F122" s="11" t="s">
        <v>39</v>
      </c>
      <c r="G122">
        <v>12</v>
      </c>
      <c r="H122">
        <v>18</v>
      </c>
      <c r="I122">
        <v>0</v>
      </c>
      <c r="J122">
        <v>0</v>
      </c>
      <c r="K122">
        <f t="shared" si="7"/>
        <v>30</v>
      </c>
      <c r="L122" t="s">
        <v>39</v>
      </c>
      <c r="M122">
        <v>18958.977147670001</v>
      </c>
      <c r="N122" s="7">
        <v>16</v>
      </c>
      <c r="O122" s="7">
        <v>18</v>
      </c>
      <c r="P122" s="7">
        <v>0</v>
      </c>
      <c r="Q122" s="7">
        <v>0</v>
      </c>
      <c r="R122" s="7">
        <f t="shared" si="8"/>
        <v>34</v>
      </c>
      <c r="S122" t="s">
        <v>39</v>
      </c>
      <c r="T122" s="7">
        <v>15</v>
      </c>
      <c r="U122" s="7">
        <v>25</v>
      </c>
      <c r="V122" s="7">
        <v>8</v>
      </c>
      <c r="W122" s="7">
        <v>6</v>
      </c>
      <c r="X122" s="7">
        <f t="shared" si="9"/>
        <v>54</v>
      </c>
      <c r="Y122" t="s">
        <v>36</v>
      </c>
      <c r="Z122">
        <v>9535.2237575599993</v>
      </c>
      <c r="AA122" t="s">
        <v>579</v>
      </c>
      <c r="AB122" t="e">
        <v>#N/A</v>
      </c>
      <c r="AF122">
        <v>224</v>
      </c>
      <c r="AG122" s="8">
        <v>132</v>
      </c>
      <c r="AH122">
        <v>20</v>
      </c>
      <c r="AI122">
        <v>20</v>
      </c>
      <c r="AJ122">
        <v>-4</v>
      </c>
      <c r="AK122">
        <v>0.15151515151515152</v>
      </c>
      <c r="AL122">
        <v>1.7407765595569784</v>
      </c>
      <c r="AM122">
        <v>4</v>
      </c>
      <c r="AN122">
        <v>0</v>
      </c>
      <c r="AO122">
        <v>0.58823529411764708</v>
      </c>
      <c r="AP122">
        <v>0.58823529411764708</v>
      </c>
      <c r="AQ122">
        <v>0</v>
      </c>
      <c r="AR122">
        <v>0.47058823529411764</v>
      </c>
      <c r="AS122">
        <v>0.52941176470588236</v>
      </c>
      <c r="AT122">
        <v>0</v>
      </c>
      <c r="AU122">
        <v>28494.200905229998</v>
      </c>
      <c r="AV122" t="s">
        <v>489</v>
      </c>
      <c r="AW122" t="str">
        <f t="shared" si="10"/>
        <v>n/a</v>
      </c>
      <c r="AY122" t="e">
        <f t="shared" si="11"/>
        <v>#N/A</v>
      </c>
      <c r="AZ122" t="e">
        <v>#N/A</v>
      </c>
      <c r="BA122">
        <v>1</v>
      </c>
      <c r="BB122">
        <v>2018</v>
      </c>
      <c r="BC122">
        <v>8</v>
      </c>
      <c r="BD122">
        <v>2018</v>
      </c>
      <c r="BE122">
        <v>5</v>
      </c>
      <c r="BF122">
        <v>2018</v>
      </c>
    </row>
    <row r="123" spans="1:58" x14ac:dyDescent="0.2">
      <c r="A123" s="7">
        <v>11</v>
      </c>
      <c r="B123" s="7">
        <v>20</v>
      </c>
      <c r="C123" s="7">
        <v>4</v>
      </c>
      <c r="D123" s="7">
        <v>0</v>
      </c>
      <c r="E123" s="7">
        <f t="shared" si="6"/>
        <v>35</v>
      </c>
      <c r="F123" s="11" t="s">
        <v>42</v>
      </c>
      <c r="G123">
        <v>11</v>
      </c>
      <c r="H123">
        <v>20</v>
      </c>
      <c r="I123">
        <v>4</v>
      </c>
      <c r="J123">
        <v>0</v>
      </c>
      <c r="K123">
        <f t="shared" si="7"/>
        <v>35</v>
      </c>
      <c r="L123" t="s">
        <v>42</v>
      </c>
      <c r="M123">
        <v>57462.231289699987</v>
      </c>
      <c r="N123" s="7">
        <v>11</v>
      </c>
      <c r="O123" s="7">
        <v>20</v>
      </c>
      <c r="P123" s="7">
        <v>5</v>
      </c>
      <c r="Q123" s="7">
        <v>4</v>
      </c>
      <c r="R123" s="7">
        <f t="shared" si="8"/>
        <v>40</v>
      </c>
      <c r="S123" t="s">
        <v>42</v>
      </c>
      <c r="T123" s="7">
        <v>16</v>
      </c>
      <c r="U123" s="7">
        <v>20</v>
      </c>
      <c r="V123" s="7">
        <v>7</v>
      </c>
      <c r="W123" s="7">
        <v>6</v>
      </c>
      <c r="X123" s="7">
        <f t="shared" si="9"/>
        <v>49</v>
      </c>
      <c r="Y123" t="s">
        <v>42</v>
      </c>
      <c r="Z123">
        <v>58419.594200200001</v>
      </c>
      <c r="AA123" t="s">
        <v>580</v>
      </c>
      <c r="AB123">
        <v>57</v>
      </c>
      <c r="AC123">
        <v>958</v>
      </c>
      <c r="AD123" t="s">
        <v>46</v>
      </c>
      <c r="AE123" t="s">
        <v>41</v>
      </c>
      <c r="AF123" t="e">
        <v>#N/A</v>
      </c>
      <c r="AG123" s="8">
        <v>92</v>
      </c>
      <c r="AH123">
        <v>9</v>
      </c>
      <c r="AI123">
        <v>14</v>
      </c>
      <c r="AJ123">
        <v>0</v>
      </c>
      <c r="AK123">
        <v>9.7826086956521743E-2</v>
      </c>
      <c r="AL123">
        <v>0.93831486325683655</v>
      </c>
      <c r="AM123">
        <v>5</v>
      </c>
      <c r="AN123">
        <v>0</v>
      </c>
      <c r="AO123">
        <v>0.22500000000000001</v>
      </c>
      <c r="AP123">
        <v>0.25714285714285712</v>
      </c>
      <c r="AQ123">
        <v>0</v>
      </c>
      <c r="AR123">
        <v>0.31428571428571428</v>
      </c>
      <c r="AS123">
        <v>0.5714285714285714</v>
      </c>
      <c r="AT123">
        <v>0.11428571428571428</v>
      </c>
      <c r="AU123">
        <v>115881.82548989999</v>
      </c>
      <c r="AV123">
        <v>9</v>
      </c>
      <c r="AW123">
        <f t="shared" si="10"/>
        <v>0</v>
      </c>
      <c r="AX123">
        <v>958</v>
      </c>
      <c r="AY123">
        <f t="shared" si="11"/>
        <v>1</v>
      </c>
      <c r="AZ123" t="e">
        <v>#N/A</v>
      </c>
      <c r="BA123">
        <v>3</v>
      </c>
      <c r="BB123">
        <v>2019</v>
      </c>
      <c r="BC123">
        <v>3</v>
      </c>
      <c r="BD123">
        <v>2019</v>
      </c>
      <c r="BE123">
        <v>1</v>
      </c>
      <c r="BF123">
        <v>2019</v>
      </c>
    </row>
    <row r="124" spans="1:58" x14ac:dyDescent="0.2">
      <c r="A124" s="7">
        <v>0</v>
      </c>
      <c r="B124" s="7">
        <v>6</v>
      </c>
      <c r="C124" s="7">
        <v>0</v>
      </c>
      <c r="D124" s="7">
        <v>0</v>
      </c>
      <c r="E124" s="7">
        <f t="shared" si="6"/>
        <v>6</v>
      </c>
      <c r="F124" s="11" t="s">
        <v>60</v>
      </c>
      <c r="G124">
        <v>0</v>
      </c>
      <c r="H124">
        <v>6</v>
      </c>
      <c r="I124">
        <v>0</v>
      </c>
      <c r="J124">
        <v>0</v>
      </c>
      <c r="K124">
        <f t="shared" si="7"/>
        <v>6</v>
      </c>
      <c r="L124" t="s">
        <v>60</v>
      </c>
      <c r="M124">
        <v>15158.657475489999</v>
      </c>
      <c r="N124" s="7">
        <v>1</v>
      </c>
      <c r="O124" s="7">
        <v>11</v>
      </c>
      <c r="P124" s="7">
        <v>0</v>
      </c>
      <c r="Q124" s="7">
        <v>0</v>
      </c>
      <c r="R124" s="7">
        <f t="shared" si="8"/>
        <v>12</v>
      </c>
      <c r="S124" t="e">
        <v>#N/A</v>
      </c>
      <c r="T124" s="7">
        <v>1</v>
      </c>
      <c r="U124" s="7">
        <v>11</v>
      </c>
      <c r="V124" s="7">
        <v>0</v>
      </c>
      <c r="W124" s="7">
        <v>0</v>
      </c>
      <c r="X124" s="7">
        <f t="shared" si="9"/>
        <v>12</v>
      </c>
      <c r="Y124" t="e">
        <v>#N/A</v>
      </c>
      <c r="Z124">
        <v>3134.1076400000002</v>
      </c>
      <c r="AA124" t="s">
        <v>581</v>
      </c>
      <c r="AB124" t="e">
        <v>#N/A</v>
      </c>
      <c r="AF124" t="e">
        <v>#N/A</v>
      </c>
      <c r="AG124" s="8">
        <v>0</v>
      </c>
      <c r="AH124">
        <v>0</v>
      </c>
      <c r="AI124">
        <v>6</v>
      </c>
      <c r="AJ124">
        <v>0</v>
      </c>
      <c r="AK124" t="e">
        <v>#N/A</v>
      </c>
      <c r="AL124" t="e">
        <v>#N/A</v>
      </c>
      <c r="AM124">
        <v>6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18292.765115490001</v>
      </c>
      <c r="AV124" t="s">
        <v>489</v>
      </c>
      <c r="AW124" t="str">
        <f t="shared" si="10"/>
        <v>n/a</v>
      </c>
      <c r="AY124" t="e">
        <f t="shared" si="11"/>
        <v>#N/A</v>
      </c>
      <c r="AZ124" t="e">
        <v>#N/A</v>
      </c>
      <c r="BA124">
        <v>4</v>
      </c>
      <c r="BB124">
        <v>2018</v>
      </c>
      <c r="BC124">
        <v>4</v>
      </c>
      <c r="BD124">
        <v>2018</v>
      </c>
      <c r="BE124">
        <v>5</v>
      </c>
      <c r="BF124">
        <v>2018</v>
      </c>
    </row>
    <row r="125" spans="1:58" x14ac:dyDescent="0.2">
      <c r="A125" s="7">
        <v>20</v>
      </c>
      <c r="B125" s="7">
        <v>33</v>
      </c>
      <c r="C125" s="7">
        <v>6</v>
      </c>
      <c r="D125" s="7">
        <v>6</v>
      </c>
      <c r="E125" s="7">
        <f t="shared" si="6"/>
        <v>65</v>
      </c>
      <c r="F125" s="11" t="s">
        <v>36</v>
      </c>
      <c r="G125">
        <v>20</v>
      </c>
      <c r="H125">
        <v>33</v>
      </c>
      <c r="I125">
        <v>6</v>
      </c>
      <c r="J125">
        <v>6</v>
      </c>
      <c r="K125">
        <f t="shared" si="7"/>
        <v>65</v>
      </c>
      <c r="L125" t="s">
        <v>36</v>
      </c>
      <c r="M125">
        <v>18516.60343114</v>
      </c>
      <c r="N125" s="7">
        <v>20</v>
      </c>
      <c r="O125" s="7">
        <v>33</v>
      </c>
      <c r="P125" s="7">
        <v>6</v>
      </c>
      <c r="Q125" s="7">
        <v>6</v>
      </c>
      <c r="R125" s="7">
        <f t="shared" si="8"/>
        <v>65</v>
      </c>
      <c r="S125" t="s">
        <v>36</v>
      </c>
      <c r="T125" s="7">
        <v>20</v>
      </c>
      <c r="U125" s="7">
        <v>33</v>
      </c>
      <c r="V125" s="7">
        <v>6</v>
      </c>
      <c r="W125" s="7">
        <v>6</v>
      </c>
      <c r="X125" s="7">
        <f t="shared" si="9"/>
        <v>65</v>
      </c>
      <c r="Y125" t="s">
        <v>36</v>
      </c>
      <c r="Z125">
        <v>19939.26803943</v>
      </c>
      <c r="AA125" t="s">
        <v>582</v>
      </c>
      <c r="AB125" t="e">
        <v>#N/A</v>
      </c>
      <c r="AF125" t="e">
        <v>#N/A</v>
      </c>
      <c r="AG125" s="8">
        <v>74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9.2307692307692313E-2</v>
      </c>
      <c r="AR125">
        <v>0.30769230769230771</v>
      </c>
      <c r="AS125">
        <v>0.50769230769230766</v>
      </c>
      <c r="AT125">
        <v>9.2307692307692313E-2</v>
      </c>
      <c r="AU125">
        <v>38455.871470569997</v>
      </c>
      <c r="AV125" t="s">
        <v>489</v>
      </c>
      <c r="AW125" t="str">
        <f t="shared" si="10"/>
        <v>n/a</v>
      </c>
      <c r="AY125" t="e">
        <f t="shared" si="11"/>
        <v>#N/A</v>
      </c>
      <c r="AZ125" t="e">
        <v>#N/A</v>
      </c>
      <c r="BA125">
        <v>6</v>
      </c>
      <c r="BB125">
        <v>2018</v>
      </c>
      <c r="BC125">
        <v>6</v>
      </c>
      <c r="BD125">
        <v>2018</v>
      </c>
      <c r="BE125">
        <v>3</v>
      </c>
      <c r="BF125">
        <v>2018</v>
      </c>
    </row>
    <row r="126" spans="1:58" x14ac:dyDescent="0.2">
      <c r="A126" s="7">
        <v>5</v>
      </c>
      <c r="B126" s="7">
        <v>18</v>
      </c>
      <c r="C126" s="7">
        <v>0</v>
      </c>
      <c r="D126" s="7">
        <v>2</v>
      </c>
      <c r="E126" s="7">
        <f t="shared" si="6"/>
        <v>25</v>
      </c>
      <c r="F126" s="11" t="s">
        <v>36</v>
      </c>
      <c r="G126">
        <v>5</v>
      </c>
      <c r="H126">
        <v>18</v>
      </c>
      <c r="I126">
        <v>0</v>
      </c>
      <c r="J126">
        <v>2</v>
      </c>
      <c r="K126">
        <f t="shared" si="7"/>
        <v>25</v>
      </c>
      <c r="L126" t="s">
        <v>36</v>
      </c>
      <c r="M126">
        <v>9690.9775902000001</v>
      </c>
      <c r="N126" s="7">
        <v>4</v>
      </c>
      <c r="O126" s="7">
        <v>18</v>
      </c>
      <c r="P126" s="7">
        <v>0</v>
      </c>
      <c r="Q126" s="7">
        <v>3</v>
      </c>
      <c r="R126" s="7">
        <f t="shared" si="8"/>
        <v>25</v>
      </c>
      <c r="S126" t="s">
        <v>36</v>
      </c>
      <c r="T126" s="7">
        <v>4</v>
      </c>
      <c r="U126" s="7">
        <v>18</v>
      </c>
      <c r="V126" s="7">
        <v>0</v>
      </c>
      <c r="W126" s="7">
        <v>3</v>
      </c>
      <c r="X126" s="7">
        <f t="shared" si="9"/>
        <v>25</v>
      </c>
      <c r="Y126" t="s">
        <v>36</v>
      </c>
      <c r="Z126">
        <v>11964.217124459999</v>
      </c>
      <c r="AA126" t="s">
        <v>583</v>
      </c>
      <c r="AB126">
        <v>30</v>
      </c>
      <c r="AC126">
        <v>0</v>
      </c>
      <c r="AD126" t="s">
        <v>82</v>
      </c>
      <c r="AE126" t="s">
        <v>41</v>
      </c>
      <c r="AF126" t="e">
        <v>#N/A</v>
      </c>
      <c r="AG126" s="8">
        <v>0</v>
      </c>
      <c r="AH126">
        <v>0</v>
      </c>
      <c r="AI126">
        <v>0</v>
      </c>
      <c r="AJ126">
        <v>0</v>
      </c>
      <c r="AK126" t="e">
        <v>#N/A</v>
      </c>
      <c r="AL126" t="e">
        <v>#N/A</v>
      </c>
      <c r="AM126">
        <v>0</v>
      </c>
      <c r="AN126">
        <v>0</v>
      </c>
      <c r="AO126">
        <v>0</v>
      </c>
      <c r="AP126">
        <v>0</v>
      </c>
      <c r="AQ126">
        <v>0.08</v>
      </c>
      <c r="AR126">
        <v>0.2</v>
      </c>
      <c r="AS126">
        <v>0.72</v>
      </c>
      <c r="AT126">
        <v>0</v>
      </c>
      <c r="AU126">
        <v>21655.19471466</v>
      </c>
      <c r="AV126">
        <v>4</v>
      </c>
      <c r="AW126">
        <f t="shared" si="10"/>
        <v>0</v>
      </c>
      <c r="AX126">
        <v>0</v>
      </c>
      <c r="AY126">
        <f t="shared" si="11"/>
        <v>0</v>
      </c>
      <c r="AZ126" t="e">
        <v>#N/A</v>
      </c>
      <c r="BA126">
        <v>2</v>
      </c>
      <c r="BB126">
        <v>2019</v>
      </c>
      <c r="BC126">
        <v>2</v>
      </c>
      <c r="BD126">
        <v>2019</v>
      </c>
      <c r="BE126">
        <v>3</v>
      </c>
      <c r="BF126">
        <v>2019</v>
      </c>
    </row>
    <row r="127" spans="1:58" x14ac:dyDescent="0.2">
      <c r="A127" s="7">
        <v>4</v>
      </c>
      <c r="B127" s="7">
        <v>18</v>
      </c>
      <c r="C127" s="7">
        <v>0</v>
      </c>
      <c r="D127" s="7">
        <v>3</v>
      </c>
      <c r="E127" s="7">
        <f t="shared" si="6"/>
        <v>25</v>
      </c>
      <c r="F127" s="11" t="s">
        <v>36</v>
      </c>
      <c r="G127">
        <v>4</v>
      </c>
      <c r="H127">
        <v>18</v>
      </c>
      <c r="I127">
        <v>0</v>
      </c>
      <c r="J127">
        <v>3</v>
      </c>
      <c r="K127">
        <f t="shared" si="7"/>
        <v>25</v>
      </c>
      <c r="L127" t="s">
        <v>36</v>
      </c>
      <c r="M127">
        <v>20036.379588560001</v>
      </c>
      <c r="N127" s="7">
        <v>4</v>
      </c>
      <c r="O127" s="7">
        <v>18</v>
      </c>
      <c r="P127" s="7">
        <v>0</v>
      </c>
      <c r="Q127" s="7">
        <v>3</v>
      </c>
      <c r="R127" s="7">
        <f t="shared" si="8"/>
        <v>25</v>
      </c>
      <c r="S127" t="e">
        <v>#N/A</v>
      </c>
      <c r="T127" s="7">
        <v>5</v>
      </c>
      <c r="U127" s="7">
        <v>18</v>
      </c>
      <c r="V127" s="7">
        <v>0</v>
      </c>
      <c r="W127" s="7">
        <v>3</v>
      </c>
      <c r="X127" s="7">
        <f t="shared" si="9"/>
        <v>26</v>
      </c>
      <c r="Y127" t="s">
        <v>36</v>
      </c>
      <c r="Z127">
        <v>30936.268025270001</v>
      </c>
      <c r="AA127" t="s">
        <v>139</v>
      </c>
      <c r="AB127">
        <v>31</v>
      </c>
      <c r="AC127">
        <v>95</v>
      </c>
      <c r="AD127" t="s">
        <v>140</v>
      </c>
      <c r="AE127" t="s">
        <v>41</v>
      </c>
      <c r="AF127" t="e">
        <v>#N/A</v>
      </c>
      <c r="AG127" s="8">
        <v>105</v>
      </c>
      <c r="AH127">
        <v>1</v>
      </c>
      <c r="AI127">
        <v>1</v>
      </c>
      <c r="AJ127">
        <v>0</v>
      </c>
      <c r="AK127">
        <v>9.5238095238095247E-3</v>
      </c>
      <c r="AL127">
        <v>9.7590007294853329E-2</v>
      </c>
      <c r="AM127">
        <v>0</v>
      </c>
      <c r="AN127">
        <v>0</v>
      </c>
      <c r="AO127">
        <v>0.04</v>
      </c>
      <c r="AP127">
        <v>0.04</v>
      </c>
      <c r="AQ127">
        <v>0.12</v>
      </c>
      <c r="AR127">
        <v>0.16</v>
      </c>
      <c r="AS127">
        <v>0.72</v>
      </c>
      <c r="AT127">
        <v>0</v>
      </c>
      <c r="AU127">
        <v>50972.647613830006</v>
      </c>
      <c r="AV127">
        <v>7</v>
      </c>
      <c r="AW127">
        <f t="shared" si="10"/>
        <v>0</v>
      </c>
      <c r="AX127">
        <v>95</v>
      </c>
      <c r="AY127">
        <f t="shared" si="11"/>
        <v>1</v>
      </c>
      <c r="AZ127" t="e">
        <v>#N/A</v>
      </c>
      <c r="BA127">
        <v>7</v>
      </c>
      <c r="BB127">
        <v>2020</v>
      </c>
      <c r="BC127">
        <v>7</v>
      </c>
      <c r="BD127">
        <v>2020</v>
      </c>
      <c r="BE127">
        <v>3</v>
      </c>
      <c r="BF127">
        <v>2020</v>
      </c>
    </row>
    <row r="128" spans="1:58" x14ac:dyDescent="0.2">
      <c r="A128" s="7">
        <v>4</v>
      </c>
      <c r="B128" s="7">
        <v>15</v>
      </c>
      <c r="C128" s="7">
        <v>0</v>
      </c>
      <c r="D128" s="7">
        <v>2</v>
      </c>
      <c r="E128" s="7">
        <f t="shared" si="6"/>
        <v>21</v>
      </c>
      <c r="F128" s="11" t="s">
        <v>52</v>
      </c>
      <c r="G128">
        <v>4</v>
      </c>
      <c r="H128">
        <v>13</v>
      </c>
      <c r="I128">
        <v>0</v>
      </c>
      <c r="J128">
        <v>0</v>
      </c>
      <c r="K128">
        <f t="shared" si="7"/>
        <v>17</v>
      </c>
      <c r="L128" t="s">
        <v>52</v>
      </c>
      <c r="M128">
        <v>34132.145558370001</v>
      </c>
      <c r="N128" s="7">
        <v>5</v>
      </c>
      <c r="O128" s="7">
        <v>13</v>
      </c>
      <c r="P128" s="7">
        <v>2</v>
      </c>
      <c r="Q128" s="7">
        <v>2</v>
      </c>
      <c r="R128" s="7">
        <f t="shared" si="8"/>
        <v>22</v>
      </c>
      <c r="S128" t="s">
        <v>52</v>
      </c>
      <c r="T128" s="7">
        <v>5</v>
      </c>
      <c r="U128" s="7">
        <v>13</v>
      </c>
      <c r="V128" s="7">
        <v>2</v>
      </c>
      <c r="W128" s="7">
        <v>2</v>
      </c>
      <c r="X128" s="7">
        <f t="shared" si="9"/>
        <v>22</v>
      </c>
      <c r="Y128" t="s">
        <v>52</v>
      </c>
      <c r="Z128">
        <v>37946.539995810002</v>
      </c>
      <c r="AA128" t="s">
        <v>584</v>
      </c>
      <c r="AB128">
        <v>68</v>
      </c>
      <c r="AC128">
        <v>359</v>
      </c>
      <c r="AD128" t="s">
        <v>141</v>
      </c>
      <c r="AE128" t="s">
        <v>41</v>
      </c>
      <c r="AF128">
        <v>41</v>
      </c>
      <c r="AG128" s="8">
        <v>0</v>
      </c>
      <c r="AH128">
        <v>0</v>
      </c>
      <c r="AI128">
        <v>1</v>
      </c>
      <c r="AJ128">
        <v>-4</v>
      </c>
      <c r="AK128" t="e">
        <v>#N/A</v>
      </c>
      <c r="AL128" t="e">
        <v>#N/A</v>
      </c>
      <c r="AM128">
        <v>5</v>
      </c>
      <c r="AN128">
        <v>0</v>
      </c>
      <c r="AO128">
        <v>0</v>
      </c>
      <c r="AP128">
        <v>0</v>
      </c>
      <c r="AQ128">
        <v>9.5238095238095233E-2</v>
      </c>
      <c r="AR128">
        <v>0.19047619047619047</v>
      </c>
      <c r="AS128">
        <v>0.7142857142857143</v>
      </c>
      <c r="AT128">
        <v>0</v>
      </c>
      <c r="AU128">
        <v>72078.685554180003</v>
      </c>
      <c r="AV128">
        <v>15</v>
      </c>
      <c r="AW128">
        <f t="shared" si="10"/>
        <v>1</v>
      </c>
      <c r="AX128">
        <v>359</v>
      </c>
      <c r="AY128">
        <f t="shared" si="11"/>
        <v>1</v>
      </c>
      <c r="AZ128">
        <v>8.7560975609756095</v>
      </c>
      <c r="BA128">
        <v>1</v>
      </c>
      <c r="BB128">
        <v>2019</v>
      </c>
      <c r="BC128">
        <v>2</v>
      </c>
      <c r="BD128">
        <v>2019</v>
      </c>
      <c r="BE128">
        <v>3</v>
      </c>
      <c r="BF128">
        <v>2019</v>
      </c>
    </row>
    <row r="129" spans="1:58" x14ac:dyDescent="0.2">
      <c r="A129" s="7">
        <v>7</v>
      </c>
      <c r="B129" s="7">
        <v>18</v>
      </c>
      <c r="C129" s="7">
        <v>0</v>
      </c>
      <c r="D129" s="7">
        <v>3</v>
      </c>
      <c r="E129" s="7">
        <f t="shared" si="6"/>
        <v>28</v>
      </c>
      <c r="F129" s="11" t="s">
        <v>39</v>
      </c>
      <c r="G129">
        <v>7</v>
      </c>
      <c r="H129">
        <v>18</v>
      </c>
      <c r="I129">
        <v>0</v>
      </c>
      <c r="J129">
        <v>3</v>
      </c>
      <c r="K129">
        <f t="shared" si="7"/>
        <v>28</v>
      </c>
      <c r="L129" t="s">
        <v>39</v>
      </c>
      <c r="M129">
        <v>7824.5470800000003</v>
      </c>
      <c r="N129" s="7">
        <v>7</v>
      </c>
      <c r="O129" s="7">
        <v>15</v>
      </c>
      <c r="P129" s="7">
        <v>5</v>
      </c>
      <c r="Q129" s="7">
        <v>5</v>
      </c>
      <c r="R129" s="7">
        <f t="shared" si="8"/>
        <v>32</v>
      </c>
      <c r="S129" t="s">
        <v>39</v>
      </c>
      <c r="T129" s="7">
        <v>11</v>
      </c>
      <c r="U129" s="7">
        <v>16</v>
      </c>
      <c r="V129" s="7">
        <v>5</v>
      </c>
      <c r="W129" s="7">
        <v>5</v>
      </c>
      <c r="X129" s="7">
        <f t="shared" si="9"/>
        <v>37</v>
      </c>
      <c r="Y129" t="s">
        <v>39</v>
      </c>
      <c r="Z129">
        <v>21646.80718199</v>
      </c>
      <c r="AA129" t="s">
        <v>585</v>
      </c>
      <c r="AB129">
        <v>54</v>
      </c>
      <c r="AC129">
        <v>0</v>
      </c>
      <c r="AD129" t="s">
        <v>142</v>
      </c>
      <c r="AE129" t="s">
        <v>75</v>
      </c>
      <c r="AF129" t="e">
        <v>#N/A</v>
      </c>
      <c r="AG129" s="8">
        <v>273</v>
      </c>
      <c r="AH129">
        <v>5</v>
      </c>
      <c r="AI129">
        <v>9</v>
      </c>
      <c r="AJ129">
        <v>0</v>
      </c>
      <c r="AK129">
        <v>1.8315018315018316E-2</v>
      </c>
      <c r="AL129">
        <v>0.30261376633440124</v>
      </c>
      <c r="AM129">
        <v>4</v>
      </c>
      <c r="AN129">
        <v>0</v>
      </c>
      <c r="AO129">
        <v>0.15625</v>
      </c>
      <c r="AP129">
        <v>0.17857142857142858</v>
      </c>
      <c r="AQ129">
        <v>0.10714285714285714</v>
      </c>
      <c r="AR129">
        <v>0.25</v>
      </c>
      <c r="AS129">
        <v>0.6428571428571429</v>
      </c>
      <c r="AT129">
        <v>0</v>
      </c>
      <c r="AU129">
        <v>29471.35426199</v>
      </c>
      <c r="AV129">
        <v>7</v>
      </c>
      <c r="AW129">
        <f t="shared" si="10"/>
        <v>0</v>
      </c>
      <c r="AX129">
        <v>0</v>
      </c>
      <c r="AY129">
        <f t="shared" si="11"/>
        <v>0</v>
      </c>
      <c r="AZ129" t="e">
        <v>#N/A</v>
      </c>
      <c r="BA129">
        <v>8</v>
      </c>
      <c r="BB129">
        <v>2019</v>
      </c>
      <c r="BC129">
        <v>8</v>
      </c>
      <c r="BD129">
        <v>2019</v>
      </c>
      <c r="BE129">
        <v>1</v>
      </c>
      <c r="BF129">
        <v>2019</v>
      </c>
    </row>
    <row r="130" spans="1:58" x14ac:dyDescent="0.2">
      <c r="A130" s="7">
        <v>10</v>
      </c>
      <c r="B130" s="7">
        <v>15</v>
      </c>
      <c r="C130" s="7">
        <v>2</v>
      </c>
      <c r="D130" s="7">
        <v>0</v>
      </c>
      <c r="E130" s="7">
        <f t="shared" ref="E130:E193" si="12">SUM(A130,B130,C130,D130)</f>
        <v>27</v>
      </c>
      <c r="F130" s="11" t="e">
        <v>#N/A</v>
      </c>
      <c r="G130">
        <v>10</v>
      </c>
      <c r="H130">
        <v>15</v>
      </c>
      <c r="I130">
        <v>2</v>
      </c>
      <c r="J130">
        <v>0</v>
      </c>
      <c r="K130">
        <f t="shared" ref="K130:K193" si="13">SUM(G130,H130,I130,J130)</f>
        <v>27</v>
      </c>
      <c r="L130" t="e">
        <v>#N/A</v>
      </c>
      <c r="M130">
        <v>18514.799622809998</v>
      </c>
      <c r="N130" s="7">
        <v>20</v>
      </c>
      <c r="O130" s="7">
        <v>29</v>
      </c>
      <c r="P130" s="7">
        <v>9</v>
      </c>
      <c r="Q130" s="7">
        <v>8</v>
      </c>
      <c r="R130" s="7">
        <f t="shared" ref="R130:R193" si="14">SUM(N130,O130,P130,Q130)</f>
        <v>66</v>
      </c>
      <c r="S130" t="e">
        <v>#N/A</v>
      </c>
      <c r="T130" s="7">
        <v>20</v>
      </c>
      <c r="U130" s="7">
        <v>29</v>
      </c>
      <c r="V130" s="7">
        <v>9</v>
      </c>
      <c r="W130" s="7">
        <v>8</v>
      </c>
      <c r="X130" s="7">
        <f t="shared" ref="X130:X193" si="15">SUM(T130,U130,V130,W130)</f>
        <v>66</v>
      </c>
      <c r="Y130" t="e">
        <v>#N/A</v>
      </c>
      <c r="Z130">
        <v>9757.8436262999985</v>
      </c>
      <c r="AA130" t="s">
        <v>143</v>
      </c>
      <c r="AB130">
        <v>39</v>
      </c>
      <c r="AC130">
        <v>0</v>
      </c>
      <c r="AD130" t="s">
        <v>64</v>
      </c>
      <c r="AE130" t="s">
        <v>41</v>
      </c>
      <c r="AF130" t="e">
        <v>#N/A</v>
      </c>
      <c r="AG130" s="8">
        <v>0</v>
      </c>
      <c r="AH130">
        <v>0</v>
      </c>
      <c r="AI130">
        <v>39</v>
      </c>
      <c r="AJ130">
        <v>0</v>
      </c>
      <c r="AK130" t="e">
        <v>#N/A</v>
      </c>
      <c r="AL130" t="e">
        <v>#N/A</v>
      </c>
      <c r="AM130">
        <v>39</v>
      </c>
      <c r="AN130">
        <v>0</v>
      </c>
      <c r="AO130">
        <v>0</v>
      </c>
      <c r="AP130">
        <v>0</v>
      </c>
      <c r="AQ130">
        <v>0</v>
      </c>
      <c r="AR130">
        <v>0.37037037037037035</v>
      </c>
      <c r="AS130">
        <v>0.55555555555555558</v>
      </c>
      <c r="AT130">
        <v>7.407407407407407E-2</v>
      </c>
      <c r="AU130">
        <v>28272.643249109999</v>
      </c>
      <c r="AV130">
        <v>7</v>
      </c>
      <c r="AW130">
        <f t="shared" si="10"/>
        <v>0</v>
      </c>
      <c r="AX130">
        <v>0</v>
      </c>
      <c r="AY130">
        <f t="shared" si="11"/>
        <v>0</v>
      </c>
      <c r="AZ130" t="e">
        <v>#N/A</v>
      </c>
      <c r="BA130">
        <v>1</v>
      </c>
      <c r="BB130">
        <v>2020</v>
      </c>
      <c r="BC130">
        <v>1</v>
      </c>
      <c r="BD130">
        <v>2020</v>
      </c>
      <c r="BE130">
        <v>12</v>
      </c>
      <c r="BF130">
        <v>2020</v>
      </c>
    </row>
    <row r="131" spans="1:58" x14ac:dyDescent="0.2">
      <c r="A131" s="7">
        <v>13</v>
      </c>
      <c r="B131" s="7">
        <v>28</v>
      </c>
      <c r="C131" s="7">
        <v>7</v>
      </c>
      <c r="D131" s="7">
        <v>6</v>
      </c>
      <c r="E131" s="7">
        <f t="shared" si="12"/>
        <v>54</v>
      </c>
      <c r="F131" s="11" t="s">
        <v>36</v>
      </c>
      <c r="G131">
        <v>13</v>
      </c>
      <c r="H131">
        <v>28</v>
      </c>
      <c r="I131">
        <v>7</v>
      </c>
      <c r="J131">
        <v>6</v>
      </c>
      <c r="K131">
        <f t="shared" si="13"/>
        <v>54</v>
      </c>
      <c r="L131" t="s">
        <v>36</v>
      </c>
      <c r="M131">
        <v>9271.1901338399985</v>
      </c>
      <c r="N131" s="7">
        <v>13</v>
      </c>
      <c r="O131" s="7">
        <v>28</v>
      </c>
      <c r="P131" s="7">
        <v>6</v>
      </c>
      <c r="Q131" s="7">
        <v>3</v>
      </c>
      <c r="R131" s="7">
        <f t="shared" si="14"/>
        <v>50</v>
      </c>
      <c r="S131" t="s">
        <v>36</v>
      </c>
      <c r="T131" s="7">
        <v>13</v>
      </c>
      <c r="U131" s="7">
        <v>28</v>
      </c>
      <c r="V131" s="7">
        <v>4</v>
      </c>
      <c r="W131" s="7">
        <v>6</v>
      </c>
      <c r="X131" s="7">
        <f t="shared" si="15"/>
        <v>51</v>
      </c>
      <c r="Y131" t="s">
        <v>36</v>
      </c>
      <c r="Z131">
        <v>46448.440597729998</v>
      </c>
      <c r="AA131" t="s">
        <v>586</v>
      </c>
      <c r="AB131" t="e">
        <v>#N/A</v>
      </c>
      <c r="AF131" t="e">
        <v>#N/A</v>
      </c>
      <c r="AG131" s="8">
        <v>64</v>
      </c>
      <c r="AH131">
        <v>1</v>
      </c>
      <c r="AI131">
        <v>-3</v>
      </c>
      <c r="AJ131">
        <v>0</v>
      </c>
      <c r="AK131">
        <v>1.5625E-2</v>
      </c>
      <c r="AL131">
        <v>0.125</v>
      </c>
      <c r="AM131">
        <v>-4</v>
      </c>
      <c r="AN131">
        <v>1</v>
      </c>
      <c r="AO131">
        <v>0.02</v>
      </c>
      <c r="AP131">
        <v>1.8518518518518517E-2</v>
      </c>
      <c r="AQ131">
        <v>0.1111111111111111</v>
      </c>
      <c r="AR131">
        <v>0.24074074074074073</v>
      </c>
      <c r="AS131">
        <v>0.51851851851851849</v>
      </c>
      <c r="AT131">
        <v>0.12962962962962962</v>
      </c>
      <c r="AU131">
        <v>55719.630731569996</v>
      </c>
      <c r="AV131" t="s">
        <v>489</v>
      </c>
      <c r="AW131" t="str">
        <f t="shared" ref="AW131:AW194" si="16">IF(AV131="n/a","n/a",IF(AV131&gt;=10,1,0))</f>
        <v>n/a</v>
      </c>
      <c r="AY131" t="e">
        <f t="shared" ref="AY131:AY194" si="17">IF(
  ISBLANK(AX131),
  NA(),
  IF(AX131&gt;0, 1, 0)
)</f>
        <v>#N/A</v>
      </c>
      <c r="AZ131" t="e">
        <v>#N/A</v>
      </c>
      <c r="BA131">
        <v>4</v>
      </c>
      <c r="BB131">
        <v>2018</v>
      </c>
      <c r="BC131">
        <v>4</v>
      </c>
      <c r="BD131">
        <v>2018</v>
      </c>
      <c r="BE131">
        <v>4</v>
      </c>
      <c r="BF131">
        <v>2018</v>
      </c>
    </row>
    <row r="132" spans="1:58" x14ac:dyDescent="0.2">
      <c r="A132" s="7">
        <v>0</v>
      </c>
      <c r="B132" s="7">
        <v>0</v>
      </c>
      <c r="C132" s="7">
        <v>0</v>
      </c>
      <c r="D132" s="7">
        <v>0</v>
      </c>
      <c r="E132" s="7">
        <f t="shared" si="12"/>
        <v>0</v>
      </c>
      <c r="F132" s="11" t="e">
        <v>#N/A</v>
      </c>
      <c r="G132">
        <v>0</v>
      </c>
      <c r="H132">
        <v>0</v>
      </c>
      <c r="I132">
        <v>0</v>
      </c>
      <c r="J132">
        <v>0</v>
      </c>
      <c r="K132">
        <f t="shared" si="13"/>
        <v>0</v>
      </c>
      <c r="L132" t="e">
        <v>#N/A</v>
      </c>
      <c r="N132" s="7">
        <v>11</v>
      </c>
      <c r="O132" s="7">
        <v>37</v>
      </c>
      <c r="P132" s="7">
        <v>2</v>
      </c>
      <c r="Q132" s="7">
        <v>2</v>
      </c>
      <c r="R132" s="7">
        <f t="shared" si="14"/>
        <v>52</v>
      </c>
      <c r="S132" t="s">
        <v>36</v>
      </c>
      <c r="T132" s="7">
        <v>15</v>
      </c>
      <c r="U132" s="7">
        <v>37</v>
      </c>
      <c r="V132" s="7">
        <v>9</v>
      </c>
      <c r="W132" s="7">
        <v>6</v>
      </c>
      <c r="X132" s="7">
        <f t="shared" si="15"/>
        <v>67</v>
      </c>
      <c r="Y132" t="s">
        <v>36</v>
      </c>
      <c r="Z132">
        <v>22120.855116679999</v>
      </c>
      <c r="AA132" t="s">
        <v>587</v>
      </c>
      <c r="AB132">
        <v>78</v>
      </c>
      <c r="AC132">
        <v>17</v>
      </c>
      <c r="AD132" t="s">
        <v>144</v>
      </c>
      <c r="AE132" t="s">
        <v>75</v>
      </c>
      <c r="AF132" t="e">
        <v>#N/A</v>
      </c>
      <c r="AG132" s="8">
        <v>184</v>
      </c>
      <c r="AH132">
        <v>15</v>
      </c>
      <c r="AI132">
        <v>67</v>
      </c>
      <c r="AJ132">
        <v>0</v>
      </c>
      <c r="AK132">
        <v>8.1521739130434784E-2</v>
      </c>
      <c r="AL132">
        <v>1.1058146711617285</v>
      </c>
      <c r="AM132">
        <v>52</v>
      </c>
      <c r="AN132">
        <v>0</v>
      </c>
      <c r="AO132">
        <v>0.28846153846153844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>
        <v>22120.855116679999</v>
      </c>
      <c r="AV132">
        <v>8</v>
      </c>
      <c r="AW132">
        <f t="shared" si="16"/>
        <v>0</v>
      </c>
      <c r="AX132">
        <v>17</v>
      </c>
      <c r="AY132">
        <f t="shared" si="17"/>
        <v>1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>
        <v>6</v>
      </c>
      <c r="BF132">
        <v>2019</v>
      </c>
    </row>
    <row r="133" spans="1:58" x14ac:dyDescent="0.2">
      <c r="A133" s="7">
        <v>3</v>
      </c>
      <c r="B133" s="7">
        <v>10</v>
      </c>
      <c r="C133" s="7">
        <v>0</v>
      </c>
      <c r="D133" s="7">
        <v>2</v>
      </c>
      <c r="E133" s="7">
        <f t="shared" si="12"/>
        <v>15</v>
      </c>
      <c r="F133" s="11" t="s">
        <v>36</v>
      </c>
      <c r="G133">
        <v>3</v>
      </c>
      <c r="H133">
        <v>10</v>
      </c>
      <c r="I133">
        <v>0</v>
      </c>
      <c r="J133">
        <v>2</v>
      </c>
      <c r="K133">
        <f t="shared" si="13"/>
        <v>15</v>
      </c>
      <c r="L133" t="s">
        <v>36</v>
      </c>
      <c r="M133">
        <v>7058.73</v>
      </c>
      <c r="N133" s="7">
        <v>4</v>
      </c>
      <c r="O133" s="7">
        <v>10</v>
      </c>
      <c r="P133" s="7">
        <v>0</v>
      </c>
      <c r="Q133" s="7">
        <v>3</v>
      </c>
      <c r="R133" s="7">
        <f t="shared" si="14"/>
        <v>17</v>
      </c>
      <c r="S133" t="s">
        <v>36</v>
      </c>
      <c r="T133" s="7">
        <v>2</v>
      </c>
      <c r="U133" s="7">
        <v>22</v>
      </c>
      <c r="V133" s="7">
        <v>0</v>
      </c>
      <c r="W133" s="7">
        <v>3</v>
      </c>
      <c r="X133" s="7">
        <f t="shared" si="15"/>
        <v>27</v>
      </c>
      <c r="Y133" t="s">
        <v>36</v>
      </c>
      <c r="Z133">
        <v>34764.435061179996</v>
      </c>
      <c r="AA133" t="s">
        <v>588</v>
      </c>
      <c r="AB133">
        <v>26</v>
      </c>
      <c r="AC133">
        <v>0</v>
      </c>
      <c r="AD133" t="s">
        <v>124</v>
      </c>
      <c r="AE133" t="s">
        <v>75</v>
      </c>
      <c r="AF133" t="e">
        <v>#N/A</v>
      </c>
      <c r="AG133" s="8">
        <v>21</v>
      </c>
      <c r="AH133">
        <v>10</v>
      </c>
      <c r="AI133">
        <v>12</v>
      </c>
      <c r="AJ133">
        <v>0</v>
      </c>
      <c r="AK133">
        <v>0.47619047619047616</v>
      </c>
      <c r="AL133">
        <v>2.1821789023599241</v>
      </c>
      <c r="AM133">
        <v>2</v>
      </c>
      <c r="AN133">
        <v>0</v>
      </c>
      <c r="AO133">
        <v>0.58823529411764708</v>
      </c>
      <c r="AP133">
        <v>0.66666666666666663</v>
      </c>
      <c r="AQ133">
        <v>0.13333333333333333</v>
      </c>
      <c r="AR133">
        <v>0.2</v>
      </c>
      <c r="AS133">
        <v>0.66666666666666663</v>
      </c>
      <c r="AT133">
        <v>0</v>
      </c>
      <c r="AU133">
        <v>41823.16506118</v>
      </c>
      <c r="AV133">
        <v>8</v>
      </c>
      <c r="AW133">
        <f t="shared" si="16"/>
        <v>0</v>
      </c>
      <c r="AX133">
        <v>0</v>
      </c>
      <c r="AY133">
        <f t="shared" si="17"/>
        <v>0</v>
      </c>
      <c r="AZ133" t="e">
        <v>#N/A</v>
      </c>
      <c r="BA133">
        <v>1</v>
      </c>
      <c r="BB133">
        <v>2019</v>
      </c>
      <c r="BC133">
        <v>1</v>
      </c>
      <c r="BD133">
        <v>2019</v>
      </c>
      <c r="BE133">
        <v>1</v>
      </c>
      <c r="BF133">
        <v>2020</v>
      </c>
    </row>
    <row r="134" spans="1:58" x14ac:dyDescent="0.2">
      <c r="A134" s="7">
        <v>6</v>
      </c>
      <c r="B134" s="7">
        <v>15</v>
      </c>
      <c r="C134" s="7">
        <v>0</v>
      </c>
      <c r="D134" s="7">
        <v>0</v>
      </c>
      <c r="E134" s="7">
        <f t="shared" si="12"/>
        <v>21</v>
      </c>
      <c r="F134" s="11" t="s">
        <v>54</v>
      </c>
      <c r="G134">
        <v>5</v>
      </c>
      <c r="H134">
        <v>10</v>
      </c>
      <c r="I134">
        <v>0</v>
      </c>
      <c r="J134">
        <v>0</v>
      </c>
      <c r="K134">
        <f t="shared" si="13"/>
        <v>15</v>
      </c>
      <c r="L134" t="s">
        <v>54</v>
      </c>
      <c r="M134">
        <v>21753.781589229999</v>
      </c>
      <c r="N134" s="7">
        <v>4</v>
      </c>
      <c r="O134" s="7">
        <v>10</v>
      </c>
      <c r="P134" s="7">
        <v>0</v>
      </c>
      <c r="Q134" s="7">
        <v>0</v>
      </c>
      <c r="R134" s="7">
        <f t="shared" si="14"/>
        <v>14</v>
      </c>
      <c r="S134" t="s">
        <v>54</v>
      </c>
      <c r="T134" s="7">
        <v>4</v>
      </c>
      <c r="U134" s="7">
        <v>10</v>
      </c>
      <c r="V134" s="7">
        <v>0</v>
      </c>
      <c r="W134" s="7">
        <v>1</v>
      </c>
      <c r="X134" s="7">
        <f t="shared" si="15"/>
        <v>15</v>
      </c>
      <c r="Y134" t="e">
        <v>#N/A</v>
      </c>
      <c r="Z134">
        <v>44926.432859139997</v>
      </c>
      <c r="AA134" t="s">
        <v>589</v>
      </c>
      <c r="AB134">
        <v>67</v>
      </c>
      <c r="AC134">
        <v>0</v>
      </c>
      <c r="AD134" t="s">
        <v>145</v>
      </c>
      <c r="AE134" t="s">
        <v>75</v>
      </c>
      <c r="AF134">
        <v>281</v>
      </c>
      <c r="AG134" s="8">
        <v>304</v>
      </c>
      <c r="AH134">
        <v>1</v>
      </c>
      <c r="AI134">
        <v>-6</v>
      </c>
      <c r="AJ134">
        <v>-6</v>
      </c>
      <c r="AK134">
        <v>3.2894736842105261E-3</v>
      </c>
      <c r="AL134">
        <v>5.7353933467640436E-2</v>
      </c>
      <c r="AM134">
        <v>-1</v>
      </c>
      <c r="AN134">
        <v>1</v>
      </c>
      <c r="AO134">
        <v>7.1428571428571425E-2</v>
      </c>
      <c r="AP134">
        <v>4.7619047619047616E-2</v>
      </c>
      <c r="AQ134">
        <v>0</v>
      </c>
      <c r="AR134">
        <v>0.2857142857142857</v>
      </c>
      <c r="AS134">
        <v>0.7142857142857143</v>
      </c>
      <c r="AT134">
        <v>0</v>
      </c>
      <c r="AU134">
        <v>66680.214448369996</v>
      </c>
      <c r="AV134">
        <v>6</v>
      </c>
      <c r="AW134">
        <f t="shared" si="16"/>
        <v>0</v>
      </c>
      <c r="AX134">
        <v>0</v>
      </c>
      <c r="AY134">
        <f t="shared" si="17"/>
        <v>0</v>
      </c>
      <c r="AZ134">
        <v>0</v>
      </c>
      <c r="BA134">
        <v>12</v>
      </c>
      <c r="BB134">
        <v>2018</v>
      </c>
      <c r="BC134">
        <v>10</v>
      </c>
      <c r="BD134">
        <v>2019</v>
      </c>
      <c r="BE134">
        <v>2</v>
      </c>
      <c r="BF134">
        <v>2019</v>
      </c>
    </row>
    <row r="135" spans="1:58" x14ac:dyDescent="0.2">
      <c r="A135" s="7">
        <v>20</v>
      </c>
      <c r="B135" s="7">
        <v>40</v>
      </c>
      <c r="C135" s="7">
        <v>9</v>
      </c>
      <c r="D135" s="7">
        <v>7</v>
      </c>
      <c r="E135" s="7">
        <f t="shared" si="12"/>
        <v>76</v>
      </c>
      <c r="F135" s="11" t="s">
        <v>36</v>
      </c>
      <c r="G135">
        <v>19</v>
      </c>
      <c r="H135">
        <v>40</v>
      </c>
      <c r="I135">
        <v>9</v>
      </c>
      <c r="J135">
        <v>7</v>
      </c>
      <c r="K135">
        <f t="shared" si="13"/>
        <v>75</v>
      </c>
      <c r="L135" t="s">
        <v>36</v>
      </c>
      <c r="M135">
        <v>30565.592765959998</v>
      </c>
      <c r="N135" s="7">
        <v>20</v>
      </c>
      <c r="O135" s="7">
        <v>40</v>
      </c>
      <c r="P135" s="7">
        <v>9</v>
      </c>
      <c r="Q135" s="7">
        <v>7</v>
      </c>
      <c r="R135" s="7">
        <f t="shared" si="14"/>
        <v>76</v>
      </c>
      <c r="S135" t="s">
        <v>36</v>
      </c>
      <c r="T135" s="7">
        <v>20</v>
      </c>
      <c r="U135" s="7">
        <v>40</v>
      </c>
      <c r="V135" s="7">
        <v>9</v>
      </c>
      <c r="W135" s="7">
        <v>7</v>
      </c>
      <c r="X135" s="7">
        <f t="shared" si="15"/>
        <v>76</v>
      </c>
      <c r="Y135" t="s">
        <v>36</v>
      </c>
      <c r="Z135">
        <v>7727.7603538100011</v>
      </c>
      <c r="AA135" t="s">
        <v>590</v>
      </c>
      <c r="AB135" t="e">
        <v>#N/A</v>
      </c>
      <c r="AF135">
        <v>13</v>
      </c>
      <c r="AG135" s="8">
        <v>334</v>
      </c>
      <c r="AH135">
        <v>0</v>
      </c>
      <c r="AI135">
        <v>0</v>
      </c>
      <c r="AJ135">
        <v>-1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9.2105263157894732E-2</v>
      </c>
      <c r="AR135">
        <v>0.26315789473684209</v>
      </c>
      <c r="AS135">
        <v>0.52631578947368418</v>
      </c>
      <c r="AT135">
        <v>0.11842105263157894</v>
      </c>
      <c r="AU135">
        <v>38293.353119769999</v>
      </c>
      <c r="AV135" t="s">
        <v>489</v>
      </c>
      <c r="AW135" t="str">
        <f t="shared" si="16"/>
        <v>n/a</v>
      </c>
      <c r="AY135" t="e">
        <f t="shared" si="17"/>
        <v>#N/A</v>
      </c>
      <c r="AZ135" t="e">
        <v>#N/A</v>
      </c>
      <c r="BA135">
        <v>11</v>
      </c>
      <c r="BB135">
        <v>2018</v>
      </c>
      <c r="BC135">
        <v>12</v>
      </c>
      <c r="BD135">
        <v>2018</v>
      </c>
      <c r="BE135">
        <v>1</v>
      </c>
      <c r="BF135">
        <v>2018</v>
      </c>
    </row>
    <row r="136" spans="1:58" x14ac:dyDescent="0.2">
      <c r="A136" s="7">
        <v>14</v>
      </c>
      <c r="B136" s="7">
        <v>35</v>
      </c>
      <c r="C136" s="7">
        <v>5</v>
      </c>
      <c r="D136" s="7">
        <v>5</v>
      </c>
      <c r="E136" s="7">
        <f t="shared" si="12"/>
        <v>59</v>
      </c>
      <c r="F136" s="11" t="s">
        <v>42</v>
      </c>
      <c r="G136">
        <v>14</v>
      </c>
      <c r="H136">
        <v>35</v>
      </c>
      <c r="I136">
        <v>5</v>
      </c>
      <c r="J136">
        <v>5</v>
      </c>
      <c r="K136">
        <f t="shared" si="13"/>
        <v>59</v>
      </c>
      <c r="L136" t="s">
        <v>42</v>
      </c>
      <c r="M136">
        <v>11581.513718169999</v>
      </c>
      <c r="N136" s="7">
        <v>10</v>
      </c>
      <c r="O136" s="7">
        <v>21</v>
      </c>
      <c r="P136" s="7">
        <v>4</v>
      </c>
      <c r="Q136" s="7">
        <v>4</v>
      </c>
      <c r="R136" s="7">
        <f t="shared" si="14"/>
        <v>39</v>
      </c>
      <c r="S136" t="s">
        <v>42</v>
      </c>
      <c r="T136" s="7">
        <v>14</v>
      </c>
      <c r="U136" s="7">
        <v>35</v>
      </c>
      <c r="V136" s="7">
        <v>5</v>
      </c>
      <c r="W136" s="7">
        <v>5</v>
      </c>
      <c r="X136" s="7">
        <f t="shared" si="15"/>
        <v>59</v>
      </c>
      <c r="Y136" t="s">
        <v>42</v>
      </c>
      <c r="Z136">
        <v>24295.514325209999</v>
      </c>
      <c r="AA136" t="s">
        <v>591</v>
      </c>
      <c r="AB136" t="e">
        <v>#N/A</v>
      </c>
      <c r="AF136">
        <v>6</v>
      </c>
      <c r="AG136" s="8">
        <v>170</v>
      </c>
      <c r="AH136">
        <v>20</v>
      </c>
      <c r="AI136">
        <v>0</v>
      </c>
      <c r="AJ136">
        <v>0</v>
      </c>
      <c r="AK136">
        <v>0.11764705882352941</v>
      </c>
      <c r="AL136">
        <v>1.5339299776947408</v>
      </c>
      <c r="AM136">
        <v>-20</v>
      </c>
      <c r="AN136">
        <v>1</v>
      </c>
      <c r="AO136">
        <v>0.51282051282051277</v>
      </c>
      <c r="AP136">
        <v>0.33898305084745761</v>
      </c>
      <c r="AQ136">
        <v>8.4745762711864403E-2</v>
      </c>
      <c r="AR136">
        <v>0.23728813559322035</v>
      </c>
      <c r="AS136">
        <v>0.59322033898305082</v>
      </c>
      <c r="AT136">
        <v>8.4745762711864403E-2</v>
      </c>
      <c r="AU136">
        <v>35877.02804338</v>
      </c>
      <c r="AV136" t="s">
        <v>489</v>
      </c>
      <c r="AW136" t="str">
        <f t="shared" si="16"/>
        <v>n/a</v>
      </c>
      <c r="AY136" t="e">
        <f t="shared" si="17"/>
        <v>#N/A</v>
      </c>
      <c r="AZ136" t="e">
        <v>#N/A</v>
      </c>
      <c r="BA136">
        <v>6</v>
      </c>
      <c r="BB136">
        <v>2018</v>
      </c>
      <c r="BC136">
        <v>6</v>
      </c>
      <c r="BD136">
        <v>2018</v>
      </c>
      <c r="BE136">
        <v>1</v>
      </c>
      <c r="BF136">
        <v>2018</v>
      </c>
    </row>
    <row r="137" spans="1:58" x14ac:dyDescent="0.2">
      <c r="A137" s="7">
        <v>2</v>
      </c>
      <c r="B137" s="7">
        <v>11</v>
      </c>
      <c r="C137" s="7">
        <v>0</v>
      </c>
      <c r="D137" s="7">
        <v>3</v>
      </c>
      <c r="E137" s="7">
        <f t="shared" si="12"/>
        <v>16</v>
      </c>
      <c r="F137" s="11" t="s">
        <v>36</v>
      </c>
      <c r="G137">
        <v>2</v>
      </c>
      <c r="H137">
        <v>11</v>
      </c>
      <c r="I137">
        <v>0</v>
      </c>
      <c r="J137">
        <v>3</v>
      </c>
      <c r="K137">
        <f t="shared" si="13"/>
        <v>16</v>
      </c>
      <c r="L137" t="s">
        <v>36</v>
      </c>
      <c r="M137">
        <v>19242.9318327</v>
      </c>
      <c r="N137" s="7">
        <v>2</v>
      </c>
      <c r="O137" s="7">
        <v>11</v>
      </c>
      <c r="P137" s="7">
        <v>0</v>
      </c>
      <c r="Q137" s="7">
        <v>3</v>
      </c>
      <c r="R137" s="7">
        <f t="shared" si="14"/>
        <v>16</v>
      </c>
      <c r="S137" t="s">
        <v>36</v>
      </c>
      <c r="T137" s="7">
        <v>0</v>
      </c>
      <c r="U137" s="7">
        <v>11</v>
      </c>
      <c r="V137" s="7">
        <v>0</v>
      </c>
      <c r="W137" s="7">
        <v>3</v>
      </c>
      <c r="X137" s="7">
        <f t="shared" si="15"/>
        <v>14</v>
      </c>
      <c r="Y137" t="e">
        <v>#N/A</v>
      </c>
      <c r="Z137">
        <v>20856.04260501</v>
      </c>
      <c r="AA137" t="s">
        <v>592</v>
      </c>
      <c r="AB137" t="e">
        <v>#N/A</v>
      </c>
      <c r="AF137">
        <v>103</v>
      </c>
      <c r="AG137" s="8">
        <v>11</v>
      </c>
      <c r="AH137">
        <v>-2</v>
      </c>
      <c r="AI137">
        <v>-2</v>
      </c>
      <c r="AJ137">
        <v>0</v>
      </c>
      <c r="AK137">
        <v>-0.18181818181818182</v>
      </c>
      <c r="AL137">
        <v>-0.60302268915552726</v>
      </c>
      <c r="AM137">
        <v>0</v>
      </c>
      <c r="AN137">
        <v>0</v>
      </c>
      <c r="AO137">
        <v>-0.125</v>
      </c>
      <c r="AP137">
        <v>-0.125</v>
      </c>
      <c r="AQ137">
        <v>0.1875</v>
      </c>
      <c r="AR137">
        <v>0.125</v>
      </c>
      <c r="AS137">
        <v>0.6875</v>
      </c>
      <c r="AT137">
        <v>0</v>
      </c>
      <c r="AU137">
        <v>40098.97443771</v>
      </c>
      <c r="AV137" t="s">
        <v>489</v>
      </c>
      <c r="AW137" t="str">
        <f t="shared" si="16"/>
        <v>n/a</v>
      </c>
      <c r="AY137" t="e">
        <f t="shared" si="17"/>
        <v>#N/A</v>
      </c>
      <c r="AZ137" t="e">
        <v>#N/A</v>
      </c>
      <c r="BA137">
        <v>8</v>
      </c>
      <c r="BB137">
        <v>2018</v>
      </c>
      <c r="BC137">
        <v>12</v>
      </c>
      <c r="BD137">
        <v>2018</v>
      </c>
      <c r="BE137">
        <v>9</v>
      </c>
      <c r="BF137">
        <v>2018</v>
      </c>
    </row>
    <row r="138" spans="1:58" x14ac:dyDescent="0.2">
      <c r="A138" s="7">
        <v>0</v>
      </c>
      <c r="B138" s="7">
        <v>13</v>
      </c>
      <c r="C138" s="7">
        <v>0</v>
      </c>
      <c r="D138" s="7">
        <v>0</v>
      </c>
      <c r="E138" s="7">
        <f t="shared" si="12"/>
        <v>13</v>
      </c>
      <c r="F138" s="11" t="s">
        <v>36</v>
      </c>
      <c r="G138">
        <v>0</v>
      </c>
      <c r="H138">
        <v>13</v>
      </c>
      <c r="I138">
        <v>0</v>
      </c>
      <c r="J138">
        <v>0</v>
      </c>
      <c r="K138">
        <f t="shared" si="13"/>
        <v>13</v>
      </c>
      <c r="L138" t="s">
        <v>36</v>
      </c>
      <c r="M138">
        <v>14175.49995917</v>
      </c>
      <c r="N138" s="7">
        <v>0</v>
      </c>
      <c r="O138" s="7">
        <v>11</v>
      </c>
      <c r="P138" s="7">
        <v>0</v>
      </c>
      <c r="Q138" s="7">
        <v>3</v>
      </c>
      <c r="R138" s="7">
        <f t="shared" si="14"/>
        <v>14</v>
      </c>
      <c r="S138" t="s">
        <v>36</v>
      </c>
      <c r="T138" s="7">
        <v>0</v>
      </c>
      <c r="U138" s="7">
        <v>13</v>
      </c>
      <c r="V138" s="7">
        <v>0</v>
      </c>
      <c r="W138" s="7">
        <v>0</v>
      </c>
      <c r="X138" s="7">
        <f t="shared" si="15"/>
        <v>13</v>
      </c>
      <c r="Y138" t="s">
        <v>36</v>
      </c>
      <c r="Z138">
        <v>8663.5975173000006</v>
      </c>
      <c r="AA138" t="s">
        <v>593</v>
      </c>
      <c r="AB138" t="e">
        <v>#N/A</v>
      </c>
      <c r="AF138">
        <v>7</v>
      </c>
      <c r="AG138" s="8">
        <v>166</v>
      </c>
      <c r="AH138">
        <v>-1</v>
      </c>
      <c r="AI138">
        <v>0</v>
      </c>
      <c r="AJ138">
        <v>0</v>
      </c>
      <c r="AK138">
        <v>-6.024096385542169E-3</v>
      </c>
      <c r="AL138">
        <v>-7.7615052570633281E-2</v>
      </c>
      <c r="AM138">
        <v>1</v>
      </c>
      <c r="AN138">
        <v>0</v>
      </c>
      <c r="AO138">
        <v>-7.1428571428571425E-2</v>
      </c>
      <c r="AP138">
        <v>-7.6923076923076927E-2</v>
      </c>
      <c r="AQ138">
        <v>0</v>
      </c>
      <c r="AR138">
        <v>0</v>
      </c>
      <c r="AS138">
        <v>1</v>
      </c>
      <c r="AT138">
        <v>0</v>
      </c>
      <c r="AU138">
        <v>22839.09747647</v>
      </c>
      <c r="AV138" t="s">
        <v>489</v>
      </c>
      <c r="AW138" t="str">
        <f t="shared" si="16"/>
        <v>n/a</v>
      </c>
      <c r="AY138" t="e">
        <f t="shared" si="17"/>
        <v>#N/A</v>
      </c>
      <c r="AZ138" t="e">
        <v>#N/A</v>
      </c>
      <c r="BA138">
        <v>10</v>
      </c>
      <c r="BB138">
        <v>2018</v>
      </c>
      <c r="BC138">
        <v>10</v>
      </c>
      <c r="BD138">
        <v>2018</v>
      </c>
      <c r="BE138">
        <v>5</v>
      </c>
      <c r="BF138">
        <v>2018</v>
      </c>
    </row>
    <row r="139" spans="1:58" x14ac:dyDescent="0.2">
      <c r="A139" s="7">
        <v>5</v>
      </c>
      <c r="B139" s="7">
        <v>12</v>
      </c>
      <c r="C139" s="7">
        <v>2</v>
      </c>
      <c r="D139" s="7">
        <v>3</v>
      </c>
      <c r="E139" s="7">
        <f t="shared" si="12"/>
        <v>22</v>
      </c>
      <c r="F139" s="11" t="s">
        <v>39</v>
      </c>
      <c r="G139">
        <v>5</v>
      </c>
      <c r="H139">
        <v>12</v>
      </c>
      <c r="I139">
        <v>2</v>
      </c>
      <c r="J139">
        <v>3</v>
      </c>
      <c r="K139">
        <f t="shared" si="13"/>
        <v>22</v>
      </c>
      <c r="L139" t="s">
        <v>39</v>
      </c>
      <c r="M139">
        <v>11922.9501516</v>
      </c>
      <c r="N139" s="7">
        <v>6</v>
      </c>
      <c r="O139" s="7">
        <v>27</v>
      </c>
      <c r="P139" s="7">
        <v>2</v>
      </c>
      <c r="Q139" s="7">
        <v>3</v>
      </c>
      <c r="R139" s="7">
        <f t="shared" si="14"/>
        <v>38</v>
      </c>
      <c r="S139" t="s">
        <v>39</v>
      </c>
      <c r="T139" s="7">
        <v>5</v>
      </c>
      <c r="U139" s="7">
        <v>31</v>
      </c>
      <c r="V139" s="7">
        <v>2</v>
      </c>
      <c r="W139" s="7">
        <v>3</v>
      </c>
      <c r="X139" s="7">
        <f t="shared" si="15"/>
        <v>41</v>
      </c>
      <c r="Y139" t="s">
        <v>39</v>
      </c>
      <c r="Z139">
        <v>12396.76964</v>
      </c>
      <c r="AA139" t="s">
        <v>594</v>
      </c>
      <c r="AB139" t="e">
        <v>#N/A</v>
      </c>
      <c r="AF139" t="e">
        <v>#N/A</v>
      </c>
      <c r="AG139" s="8">
        <v>273</v>
      </c>
      <c r="AH139">
        <v>3</v>
      </c>
      <c r="AI139">
        <v>19</v>
      </c>
      <c r="AJ139">
        <v>0</v>
      </c>
      <c r="AK139">
        <v>1.098901098901099E-2</v>
      </c>
      <c r="AL139">
        <v>0.18156825980064073</v>
      </c>
      <c r="AM139">
        <v>16</v>
      </c>
      <c r="AN139">
        <v>0</v>
      </c>
      <c r="AO139">
        <v>7.8947368421052627E-2</v>
      </c>
      <c r="AP139">
        <v>0.13636363636363635</v>
      </c>
      <c r="AQ139">
        <v>0.13636363636363635</v>
      </c>
      <c r="AR139">
        <v>0.22727272727272727</v>
      </c>
      <c r="AS139">
        <v>0.54545454545454541</v>
      </c>
      <c r="AT139">
        <v>9.0909090909090912E-2</v>
      </c>
      <c r="AU139">
        <v>24319.7197916</v>
      </c>
      <c r="AV139" t="s">
        <v>489</v>
      </c>
      <c r="AW139" t="str">
        <f t="shared" si="16"/>
        <v>n/a</v>
      </c>
      <c r="AY139" t="e">
        <f t="shared" si="17"/>
        <v>#N/A</v>
      </c>
      <c r="AZ139" t="e">
        <v>#N/A</v>
      </c>
      <c r="BA139">
        <v>11</v>
      </c>
      <c r="BB139">
        <v>2018</v>
      </c>
      <c r="BC139">
        <v>11</v>
      </c>
      <c r="BD139">
        <v>2018</v>
      </c>
      <c r="BE139">
        <v>1</v>
      </c>
      <c r="BF139">
        <v>2018</v>
      </c>
    </row>
    <row r="140" spans="1:58" x14ac:dyDescent="0.2">
      <c r="A140" s="7">
        <v>12</v>
      </c>
      <c r="B140" s="7">
        <v>23</v>
      </c>
      <c r="C140" s="7">
        <v>8</v>
      </c>
      <c r="D140" s="7">
        <v>7</v>
      </c>
      <c r="E140" s="7">
        <f t="shared" si="12"/>
        <v>50</v>
      </c>
      <c r="F140" s="11" t="s">
        <v>42</v>
      </c>
      <c r="G140">
        <v>12</v>
      </c>
      <c r="H140">
        <v>23</v>
      </c>
      <c r="I140">
        <v>8</v>
      </c>
      <c r="J140">
        <v>7</v>
      </c>
      <c r="K140">
        <f t="shared" si="13"/>
        <v>50</v>
      </c>
      <c r="L140" t="s">
        <v>42</v>
      </c>
      <c r="M140">
        <v>11554.12202146</v>
      </c>
      <c r="N140" s="7">
        <v>12</v>
      </c>
      <c r="O140" s="7">
        <v>23</v>
      </c>
      <c r="P140" s="7">
        <v>8</v>
      </c>
      <c r="Q140" s="7">
        <v>7</v>
      </c>
      <c r="R140" s="7">
        <f t="shared" si="14"/>
        <v>50</v>
      </c>
      <c r="S140" t="s">
        <v>42</v>
      </c>
      <c r="T140" s="7">
        <v>12</v>
      </c>
      <c r="U140" s="7">
        <v>23</v>
      </c>
      <c r="V140" s="7">
        <v>8</v>
      </c>
      <c r="W140" s="7">
        <v>7</v>
      </c>
      <c r="X140" s="7">
        <f t="shared" si="15"/>
        <v>50</v>
      </c>
      <c r="Y140" t="s">
        <v>42</v>
      </c>
      <c r="Z140">
        <v>7887.8735511000004</v>
      </c>
      <c r="AA140" t="s">
        <v>595</v>
      </c>
      <c r="AB140" t="e">
        <v>#N/A</v>
      </c>
      <c r="AF140" t="e">
        <v>#N/A</v>
      </c>
      <c r="AG140" s="8">
        <v>0</v>
      </c>
      <c r="AH140">
        <v>0</v>
      </c>
      <c r="AI140">
        <v>0</v>
      </c>
      <c r="AJ140">
        <v>0</v>
      </c>
      <c r="AK140" t="e">
        <v>#N/A</v>
      </c>
      <c r="AL140" t="e">
        <v>#N/A</v>
      </c>
      <c r="AM140">
        <v>0</v>
      </c>
      <c r="AN140">
        <v>0</v>
      </c>
      <c r="AO140">
        <v>0</v>
      </c>
      <c r="AP140">
        <v>0</v>
      </c>
      <c r="AQ140">
        <v>0.14000000000000001</v>
      </c>
      <c r="AR140">
        <v>0.24</v>
      </c>
      <c r="AS140">
        <v>0.46</v>
      </c>
      <c r="AT140">
        <v>0.16</v>
      </c>
      <c r="AU140">
        <v>19441.995572560001</v>
      </c>
      <c r="AV140" t="s">
        <v>489</v>
      </c>
      <c r="AW140" t="str">
        <f t="shared" si="16"/>
        <v>n/a</v>
      </c>
      <c r="AY140" t="e">
        <f t="shared" si="17"/>
        <v>#N/A</v>
      </c>
      <c r="AZ140" t="e">
        <v>#N/A</v>
      </c>
      <c r="BA140">
        <v>9</v>
      </c>
      <c r="BB140">
        <v>2018</v>
      </c>
      <c r="BC140">
        <v>9</v>
      </c>
      <c r="BD140">
        <v>2018</v>
      </c>
      <c r="BE140">
        <v>11</v>
      </c>
      <c r="BF140">
        <v>2018</v>
      </c>
    </row>
    <row r="141" spans="1:58" x14ac:dyDescent="0.2">
      <c r="A141" s="7">
        <v>9</v>
      </c>
      <c r="B141" s="7">
        <v>24</v>
      </c>
      <c r="C141" s="7">
        <v>6</v>
      </c>
      <c r="D141" s="7">
        <v>6</v>
      </c>
      <c r="E141" s="7">
        <f t="shared" si="12"/>
        <v>45</v>
      </c>
      <c r="F141" s="11" t="s">
        <v>36</v>
      </c>
      <c r="G141">
        <v>10</v>
      </c>
      <c r="H141">
        <v>24</v>
      </c>
      <c r="I141">
        <v>6</v>
      </c>
      <c r="J141">
        <v>6</v>
      </c>
      <c r="K141">
        <f t="shared" si="13"/>
        <v>46</v>
      </c>
      <c r="L141" t="s">
        <v>36</v>
      </c>
      <c r="M141">
        <v>12066.343890599999</v>
      </c>
      <c r="N141" s="7">
        <v>10</v>
      </c>
      <c r="O141" s="7">
        <v>24</v>
      </c>
      <c r="P141" s="7">
        <v>6</v>
      </c>
      <c r="Q141" s="7">
        <v>6</v>
      </c>
      <c r="R141" s="7">
        <f t="shared" si="14"/>
        <v>46</v>
      </c>
      <c r="S141" t="s">
        <v>36</v>
      </c>
      <c r="T141" s="7">
        <v>10</v>
      </c>
      <c r="U141" s="7">
        <v>24</v>
      </c>
      <c r="V141" s="7">
        <v>6</v>
      </c>
      <c r="W141" s="7">
        <v>6</v>
      </c>
      <c r="X141" s="7">
        <f t="shared" si="15"/>
        <v>46</v>
      </c>
      <c r="Y141" t="s">
        <v>36</v>
      </c>
      <c r="Z141">
        <v>10895.766879819999</v>
      </c>
      <c r="AA141" t="s">
        <v>596</v>
      </c>
      <c r="AB141">
        <v>52</v>
      </c>
      <c r="AC141">
        <v>0</v>
      </c>
      <c r="AD141" t="s">
        <v>93</v>
      </c>
      <c r="AE141" t="s">
        <v>41</v>
      </c>
      <c r="AF141">
        <v>230</v>
      </c>
      <c r="AG141" s="8">
        <v>0</v>
      </c>
      <c r="AH141">
        <v>0</v>
      </c>
      <c r="AI141">
        <v>1</v>
      </c>
      <c r="AJ141">
        <v>1</v>
      </c>
      <c r="AK141" t="e">
        <v>#N/A</v>
      </c>
      <c r="AL141" t="e">
        <v>#N/A</v>
      </c>
      <c r="AM141">
        <v>0</v>
      </c>
      <c r="AN141">
        <v>0</v>
      </c>
      <c r="AO141">
        <v>0</v>
      </c>
      <c r="AP141">
        <v>0</v>
      </c>
      <c r="AQ141">
        <v>0.13333333333333333</v>
      </c>
      <c r="AR141">
        <v>0.2</v>
      </c>
      <c r="AS141">
        <v>0.53333333333333333</v>
      </c>
      <c r="AT141">
        <v>0.13333333333333333</v>
      </c>
      <c r="AU141">
        <v>22962.110770419997</v>
      </c>
      <c r="AV141">
        <v>6</v>
      </c>
      <c r="AW141">
        <f t="shared" si="16"/>
        <v>0</v>
      </c>
      <c r="AX141">
        <v>0</v>
      </c>
      <c r="AY141">
        <f t="shared" si="17"/>
        <v>0</v>
      </c>
      <c r="AZ141">
        <v>0</v>
      </c>
      <c r="BA141">
        <v>1</v>
      </c>
      <c r="BB141">
        <v>2019</v>
      </c>
      <c r="BC141">
        <v>8</v>
      </c>
      <c r="BD141">
        <v>2019</v>
      </c>
      <c r="BE141">
        <v>1</v>
      </c>
      <c r="BF141">
        <v>2019</v>
      </c>
    </row>
    <row r="142" spans="1:58" x14ac:dyDescent="0.2">
      <c r="A142" s="7">
        <v>6</v>
      </c>
      <c r="B142" s="7">
        <v>26</v>
      </c>
      <c r="C142" s="7">
        <v>1</v>
      </c>
      <c r="D142" s="7">
        <v>5</v>
      </c>
      <c r="E142" s="7">
        <f t="shared" si="12"/>
        <v>38</v>
      </c>
      <c r="F142" s="11" t="e">
        <v>#N/A</v>
      </c>
      <c r="G142">
        <v>5</v>
      </c>
      <c r="H142">
        <v>15</v>
      </c>
      <c r="I142">
        <v>2</v>
      </c>
      <c r="J142">
        <v>5</v>
      </c>
      <c r="K142">
        <f t="shared" si="13"/>
        <v>27</v>
      </c>
      <c r="L142" t="e">
        <v>#N/A</v>
      </c>
      <c r="M142">
        <v>35757.796589099991</v>
      </c>
      <c r="N142" s="7">
        <v>13</v>
      </c>
      <c r="O142" s="7">
        <v>27</v>
      </c>
      <c r="P142" s="7">
        <v>5</v>
      </c>
      <c r="Q142" s="7">
        <v>5</v>
      </c>
      <c r="R142" s="7">
        <f t="shared" si="14"/>
        <v>50</v>
      </c>
      <c r="S142" t="e">
        <v>#N/A</v>
      </c>
      <c r="T142" s="7">
        <v>13</v>
      </c>
      <c r="U142" s="7">
        <v>27</v>
      </c>
      <c r="V142" s="7">
        <v>5</v>
      </c>
      <c r="W142" s="7">
        <v>5</v>
      </c>
      <c r="X142" s="7">
        <f t="shared" si="15"/>
        <v>50</v>
      </c>
      <c r="Y142" t="e">
        <v>#N/A</v>
      </c>
      <c r="Z142">
        <v>4828.86925944</v>
      </c>
      <c r="AA142" t="s">
        <v>146</v>
      </c>
      <c r="AB142">
        <v>53</v>
      </c>
      <c r="AC142">
        <v>17</v>
      </c>
      <c r="AD142" t="s">
        <v>82</v>
      </c>
      <c r="AE142" t="s">
        <v>41</v>
      </c>
      <c r="AF142">
        <v>285</v>
      </c>
      <c r="AG142" s="8">
        <v>0</v>
      </c>
      <c r="AH142">
        <v>0</v>
      </c>
      <c r="AI142">
        <v>12</v>
      </c>
      <c r="AJ142">
        <v>-11</v>
      </c>
      <c r="AK142" t="e">
        <v>#N/A</v>
      </c>
      <c r="AL142" t="e">
        <v>#N/A</v>
      </c>
      <c r="AM142">
        <v>23</v>
      </c>
      <c r="AN142">
        <v>0</v>
      </c>
      <c r="AO142">
        <v>0</v>
      </c>
      <c r="AP142">
        <v>0</v>
      </c>
      <c r="AQ142">
        <v>0.13157894736842105</v>
      </c>
      <c r="AR142">
        <v>0.15789473684210525</v>
      </c>
      <c r="AS142">
        <v>0.68421052631578949</v>
      </c>
      <c r="AT142">
        <v>2.6315789473684209E-2</v>
      </c>
      <c r="AU142">
        <v>40586.665848539989</v>
      </c>
      <c r="AV142">
        <v>7</v>
      </c>
      <c r="AW142">
        <f t="shared" si="16"/>
        <v>0</v>
      </c>
      <c r="AX142">
        <v>17</v>
      </c>
      <c r="AY142">
        <f t="shared" si="17"/>
        <v>1</v>
      </c>
      <c r="AZ142">
        <v>5.9649122807017542E-2</v>
      </c>
      <c r="BA142">
        <v>1</v>
      </c>
      <c r="BB142">
        <v>2020</v>
      </c>
      <c r="BC142">
        <v>10</v>
      </c>
      <c r="BD142">
        <v>2020</v>
      </c>
      <c r="BE142">
        <v>11</v>
      </c>
      <c r="BF142">
        <v>2020</v>
      </c>
    </row>
    <row r="143" spans="1:58" x14ac:dyDescent="0.2">
      <c r="A143" s="7">
        <v>15</v>
      </c>
      <c r="B143" s="7">
        <v>35</v>
      </c>
      <c r="C143" s="7">
        <v>6</v>
      </c>
      <c r="D143" s="7">
        <v>7</v>
      </c>
      <c r="E143" s="7">
        <f t="shared" si="12"/>
        <v>63</v>
      </c>
      <c r="F143" s="11" t="s">
        <v>36</v>
      </c>
      <c r="G143">
        <v>15</v>
      </c>
      <c r="H143">
        <v>35</v>
      </c>
      <c r="I143">
        <v>6</v>
      </c>
      <c r="J143">
        <v>7</v>
      </c>
      <c r="K143">
        <f t="shared" si="13"/>
        <v>63</v>
      </c>
      <c r="L143" t="s">
        <v>36</v>
      </c>
      <c r="M143">
        <v>9009.2175821100009</v>
      </c>
      <c r="N143" s="7">
        <v>15</v>
      </c>
      <c r="O143" s="7">
        <v>39</v>
      </c>
      <c r="P143" s="7">
        <v>6</v>
      </c>
      <c r="Q143" s="7">
        <v>7</v>
      </c>
      <c r="R143" s="7">
        <f t="shared" si="14"/>
        <v>67</v>
      </c>
      <c r="S143" t="s">
        <v>36</v>
      </c>
      <c r="T143" s="7">
        <v>12</v>
      </c>
      <c r="U143" s="7">
        <v>39</v>
      </c>
      <c r="V143" s="7">
        <v>8</v>
      </c>
      <c r="W143" s="7">
        <v>7</v>
      </c>
      <c r="X143" s="7">
        <f t="shared" si="15"/>
        <v>66</v>
      </c>
      <c r="Y143" t="s">
        <v>36</v>
      </c>
      <c r="Z143">
        <v>11290.96094829</v>
      </c>
      <c r="AA143" t="s">
        <v>597</v>
      </c>
      <c r="AB143">
        <v>46</v>
      </c>
      <c r="AC143">
        <v>0</v>
      </c>
      <c r="AD143" t="s">
        <v>147</v>
      </c>
      <c r="AE143" t="s">
        <v>41</v>
      </c>
      <c r="AF143" t="e">
        <v>#N/A</v>
      </c>
      <c r="AG143" s="8">
        <v>120</v>
      </c>
      <c r="AH143">
        <v>-1</v>
      </c>
      <c r="AI143">
        <v>3</v>
      </c>
      <c r="AJ143">
        <v>0</v>
      </c>
      <c r="AK143">
        <v>-8.3333333333333332E-3</v>
      </c>
      <c r="AL143">
        <v>-9.1287092917527679E-2</v>
      </c>
      <c r="AM143">
        <v>4</v>
      </c>
      <c r="AN143">
        <v>0</v>
      </c>
      <c r="AO143">
        <v>-1.4925373134328358E-2</v>
      </c>
      <c r="AP143">
        <v>-1.5873015873015872E-2</v>
      </c>
      <c r="AQ143">
        <v>0.1111111111111111</v>
      </c>
      <c r="AR143">
        <v>0.23809523809523808</v>
      </c>
      <c r="AS143">
        <v>0.55555555555555558</v>
      </c>
      <c r="AT143">
        <v>9.5238095238095233E-2</v>
      </c>
      <c r="AU143">
        <v>20300.1785304</v>
      </c>
      <c r="AV143">
        <v>3</v>
      </c>
      <c r="AW143">
        <f t="shared" si="16"/>
        <v>0</v>
      </c>
      <c r="AX143">
        <v>0</v>
      </c>
      <c r="AY143">
        <f t="shared" si="17"/>
        <v>0</v>
      </c>
      <c r="AZ143" t="e">
        <v>#N/A</v>
      </c>
      <c r="BA143">
        <v>7</v>
      </c>
      <c r="BB143">
        <v>2019</v>
      </c>
      <c r="BC143">
        <v>7</v>
      </c>
      <c r="BD143">
        <v>2019</v>
      </c>
      <c r="BE143">
        <v>1</v>
      </c>
      <c r="BF143">
        <v>2019</v>
      </c>
    </row>
    <row r="144" spans="1:58" x14ac:dyDescent="0.2">
      <c r="A144" s="7">
        <v>4</v>
      </c>
      <c r="B144" s="7">
        <v>11</v>
      </c>
      <c r="C144" s="7">
        <v>4</v>
      </c>
      <c r="D144" s="7">
        <v>1</v>
      </c>
      <c r="E144" s="7">
        <f t="shared" si="12"/>
        <v>20</v>
      </c>
      <c r="F144" s="11" t="s">
        <v>36</v>
      </c>
      <c r="G144">
        <v>2</v>
      </c>
      <c r="H144">
        <v>11</v>
      </c>
      <c r="I144">
        <v>2</v>
      </c>
      <c r="J144">
        <v>4</v>
      </c>
      <c r="K144">
        <f t="shared" si="13"/>
        <v>19</v>
      </c>
      <c r="L144" t="s">
        <v>36</v>
      </c>
      <c r="M144">
        <v>22299.973649250001</v>
      </c>
      <c r="N144" s="7">
        <v>4</v>
      </c>
      <c r="O144" s="7">
        <v>11</v>
      </c>
      <c r="P144" s="7">
        <v>4</v>
      </c>
      <c r="Q144" s="7">
        <v>1</v>
      </c>
      <c r="R144" s="7">
        <f t="shared" si="14"/>
        <v>20</v>
      </c>
      <c r="S144" t="s">
        <v>36</v>
      </c>
      <c r="T144" s="7">
        <v>5</v>
      </c>
      <c r="U144" s="7">
        <v>6</v>
      </c>
      <c r="V144" s="7">
        <v>2</v>
      </c>
      <c r="W144" s="7">
        <v>0</v>
      </c>
      <c r="X144" s="7">
        <f t="shared" si="15"/>
        <v>13</v>
      </c>
      <c r="Y144" t="s">
        <v>39</v>
      </c>
      <c r="Z144">
        <v>133925.45237894001</v>
      </c>
      <c r="AA144" t="s">
        <v>598</v>
      </c>
      <c r="AB144">
        <v>45</v>
      </c>
      <c r="AC144">
        <v>0</v>
      </c>
      <c r="AD144" t="s">
        <v>82</v>
      </c>
      <c r="AE144" t="s">
        <v>75</v>
      </c>
      <c r="AF144">
        <v>211</v>
      </c>
      <c r="AG144" s="8">
        <v>359</v>
      </c>
      <c r="AH144">
        <v>-7</v>
      </c>
      <c r="AI144">
        <v>-7</v>
      </c>
      <c r="AJ144">
        <v>-1</v>
      </c>
      <c r="AK144">
        <v>-1.9498607242339833E-2</v>
      </c>
      <c r="AL144">
        <v>-0.36944586977848171</v>
      </c>
      <c r="AM144">
        <v>1</v>
      </c>
      <c r="AN144">
        <v>0</v>
      </c>
      <c r="AO144">
        <v>-0.35</v>
      </c>
      <c r="AP144">
        <v>-0.35</v>
      </c>
      <c r="AQ144">
        <v>0.05</v>
      </c>
      <c r="AR144">
        <v>0.2</v>
      </c>
      <c r="AS144">
        <v>0.55000000000000004</v>
      </c>
      <c r="AT144">
        <v>0.2</v>
      </c>
      <c r="AU144">
        <v>156225.42602819001</v>
      </c>
      <c r="AV144">
        <v>16</v>
      </c>
      <c r="AW144">
        <f t="shared" si="16"/>
        <v>1</v>
      </c>
      <c r="AX144">
        <v>0</v>
      </c>
      <c r="AY144">
        <f t="shared" si="17"/>
        <v>0</v>
      </c>
      <c r="AZ144">
        <v>0</v>
      </c>
      <c r="BA144">
        <v>1</v>
      </c>
      <c r="BB144">
        <v>2018</v>
      </c>
      <c r="BC144">
        <v>8</v>
      </c>
      <c r="BD144">
        <v>2018</v>
      </c>
      <c r="BE144">
        <v>1</v>
      </c>
      <c r="BF144">
        <v>2018</v>
      </c>
    </row>
    <row r="145" spans="1:58" x14ac:dyDescent="0.2">
      <c r="A145" s="7">
        <v>15</v>
      </c>
      <c r="B145" s="7">
        <v>27</v>
      </c>
      <c r="C145" s="7">
        <v>4</v>
      </c>
      <c r="D145" s="7">
        <v>3</v>
      </c>
      <c r="E145" s="7">
        <f t="shared" si="12"/>
        <v>49</v>
      </c>
      <c r="F145" s="11" t="s">
        <v>39</v>
      </c>
      <c r="G145">
        <v>15</v>
      </c>
      <c r="H145">
        <v>27</v>
      </c>
      <c r="I145">
        <v>4</v>
      </c>
      <c r="J145">
        <v>3</v>
      </c>
      <c r="K145">
        <f t="shared" si="13"/>
        <v>49</v>
      </c>
      <c r="L145" t="s">
        <v>39</v>
      </c>
      <c r="M145">
        <v>15222.45564384</v>
      </c>
      <c r="N145" s="7">
        <v>15</v>
      </c>
      <c r="O145" s="7">
        <v>27</v>
      </c>
      <c r="P145" s="7">
        <v>4</v>
      </c>
      <c r="Q145" s="7">
        <v>6</v>
      </c>
      <c r="R145" s="7">
        <f t="shared" si="14"/>
        <v>52</v>
      </c>
      <c r="S145" t="s">
        <v>39</v>
      </c>
      <c r="T145" s="7">
        <v>15</v>
      </c>
      <c r="U145" s="7">
        <v>27</v>
      </c>
      <c r="V145" s="7">
        <v>4</v>
      </c>
      <c r="W145" s="7">
        <v>6</v>
      </c>
      <c r="X145" s="7">
        <f t="shared" si="15"/>
        <v>52</v>
      </c>
      <c r="Y145" t="s">
        <v>39</v>
      </c>
      <c r="Z145">
        <v>12710.94836973</v>
      </c>
      <c r="AA145" t="s">
        <v>599</v>
      </c>
      <c r="AB145" t="e">
        <v>#N/A</v>
      </c>
      <c r="AF145" t="e">
        <v>#N/A</v>
      </c>
      <c r="AG145" s="8">
        <v>0</v>
      </c>
      <c r="AH145">
        <v>0</v>
      </c>
      <c r="AI145">
        <v>3</v>
      </c>
      <c r="AJ145">
        <v>0</v>
      </c>
      <c r="AK145" t="e">
        <v>#N/A</v>
      </c>
      <c r="AL145" t="e">
        <v>#N/A</v>
      </c>
      <c r="AM145">
        <v>3</v>
      </c>
      <c r="AN145">
        <v>0</v>
      </c>
      <c r="AO145">
        <v>0</v>
      </c>
      <c r="AP145">
        <v>0</v>
      </c>
      <c r="AQ145">
        <v>6.1224489795918366E-2</v>
      </c>
      <c r="AR145">
        <v>0.30612244897959184</v>
      </c>
      <c r="AS145">
        <v>0.55102040816326525</v>
      </c>
      <c r="AT145">
        <v>8.1632653061224483E-2</v>
      </c>
      <c r="AU145">
        <v>27933.404013569998</v>
      </c>
      <c r="AV145" t="s">
        <v>489</v>
      </c>
      <c r="AW145" t="str">
        <f t="shared" si="16"/>
        <v>n/a</v>
      </c>
      <c r="AY145" t="e">
        <f t="shared" si="17"/>
        <v>#N/A</v>
      </c>
      <c r="AZ145" t="e">
        <v>#N/A</v>
      </c>
      <c r="BA145">
        <v>11</v>
      </c>
      <c r="BB145">
        <v>2018</v>
      </c>
      <c r="BC145">
        <v>11</v>
      </c>
      <c r="BD145">
        <v>2018</v>
      </c>
      <c r="BE145">
        <v>10</v>
      </c>
      <c r="BF145">
        <v>2018</v>
      </c>
    </row>
    <row r="146" spans="1:58" x14ac:dyDescent="0.2">
      <c r="A146" s="7">
        <v>14</v>
      </c>
      <c r="B146" s="7">
        <v>16</v>
      </c>
      <c r="C146" s="7">
        <v>4</v>
      </c>
      <c r="D146" s="7">
        <v>0</v>
      </c>
      <c r="E146" s="7">
        <f t="shared" si="12"/>
        <v>34</v>
      </c>
      <c r="F146" s="11" t="s">
        <v>36</v>
      </c>
      <c r="G146">
        <v>14</v>
      </c>
      <c r="H146">
        <v>16</v>
      </c>
      <c r="I146">
        <v>4</v>
      </c>
      <c r="J146">
        <v>0</v>
      </c>
      <c r="K146">
        <f t="shared" si="13"/>
        <v>34</v>
      </c>
      <c r="L146" t="s">
        <v>36</v>
      </c>
      <c r="M146">
        <v>4976.7978997700002</v>
      </c>
      <c r="N146" s="7">
        <v>20</v>
      </c>
      <c r="O146" s="7">
        <v>33</v>
      </c>
      <c r="P146" s="7">
        <v>6</v>
      </c>
      <c r="Q146" s="7">
        <v>6</v>
      </c>
      <c r="R146" s="7">
        <f t="shared" si="14"/>
        <v>65</v>
      </c>
      <c r="S146" t="s">
        <v>36</v>
      </c>
      <c r="T146" s="7">
        <v>20</v>
      </c>
      <c r="U146" s="7">
        <v>33</v>
      </c>
      <c r="V146" s="7">
        <v>6</v>
      </c>
      <c r="W146" s="7">
        <v>6</v>
      </c>
      <c r="X146" s="7">
        <f t="shared" si="15"/>
        <v>65</v>
      </c>
      <c r="Y146" t="s">
        <v>36</v>
      </c>
      <c r="Z146">
        <v>23236.927723299999</v>
      </c>
      <c r="AA146" t="s">
        <v>600</v>
      </c>
      <c r="AB146">
        <v>26</v>
      </c>
      <c r="AC146">
        <v>0</v>
      </c>
      <c r="AD146" t="s">
        <v>148</v>
      </c>
      <c r="AE146" t="s">
        <v>41</v>
      </c>
      <c r="AF146" t="e">
        <v>#N/A</v>
      </c>
      <c r="AG146" s="8">
        <v>0</v>
      </c>
      <c r="AH146">
        <v>0</v>
      </c>
      <c r="AI146">
        <v>31</v>
      </c>
      <c r="AJ146">
        <v>0</v>
      </c>
      <c r="AK146" t="e">
        <v>#N/A</v>
      </c>
      <c r="AL146" t="e">
        <v>#N/A</v>
      </c>
      <c r="AM146">
        <v>31</v>
      </c>
      <c r="AN146">
        <v>0</v>
      </c>
      <c r="AO146">
        <v>0</v>
      </c>
      <c r="AP146">
        <v>0</v>
      </c>
      <c r="AQ146">
        <v>0</v>
      </c>
      <c r="AR146">
        <v>0.41176470588235292</v>
      </c>
      <c r="AS146">
        <v>0.47058823529411764</v>
      </c>
      <c r="AT146">
        <v>0.11764705882352941</v>
      </c>
      <c r="AU146">
        <v>28213.72562307</v>
      </c>
      <c r="AV146">
        <v>6</v>
      </c>
      <c r="AW146">
        <f t="shared" si="16"/>
        <v>0</v>
      </c>
      <c r="AX146">
        <v>0</v>
      </c>
      <c r="AY146">
        <f t="shared" si="17"/>
        <v>0</v>
      </c>
      <c r="AZ146" t="e">
        <v>#N/A</v>
      </c>
      <c r="BA146">
        <v>10</v>
      </c>
      <c r="BB146">
        <v>2019</v>
      </c>
      <c r="BC146">
        <v>10</v>
      </c>
      <c r="BD146">
        <v>2019</v>
      </c>
      <c r="BE146">
        <v>11</v>
      </c>
      <c r="BF146">
        <v>2019</v>
      </c>
    </row>
    <row r="147" spans="1:58" x14ac:dyDescent="0.2">
      <c r="A147" s="7">
        <v>10</v>
      </c>
      <c r="B147" s="7">
        <v>35</v>
      </c>
      <c r="C147" s="7">
        <v>0</v>
      </c>
      <c r="D147" s="7">
        <v>0</v>
      </c>
      <c r="E147" s="7">
        <f t="shared" si="12"/>
        <v>45</v>
      </c>
      <c r="F147" s="11" t="e">
        <v>#N/A</v>
      </c>
      <c r="G147">
        <v>10</v>
      </c>
      <c r="H147">
        <v>35</v>
      </c>
      <c r="I147">
        <v>0</v>
      </c>
      <c r="J147">
        <v>0</v>
      </c>
      <c r="K147">
        <f t="shared" si="13"/>
        <v>45</v>
      </c>
      <c r="L147" t="e">
        <v>#N/A</v>
      </c>
      <c r="M147">
        <v>8274.5997000000007</v>
      </c>
      <c r="N147" s="7">
        <v>0</v>
      </c>
      <c r="O147" s="7">
        <v>0</v>
      </c>
      <c r="P147" s="7">
        <v>0</v>
      </c>
      <c r="Q147" s="7">
        <v>0</v>
      </c>
      <c r="R147" s="7">
        <f t="shared" si="14"/>
        <v>0</v>
      </c>
      <c r="S147" t="e">
        <v>#N/A</v>
      </c>
      <c r="T147" s="7">
        <v>0</v>
      </c>
      <c r="U147" s="7">
        <v>0</v>
      </c>
      <c r="V147" s="7">
        <v>0</v>
      </c>
      <c r="W147" s="7">
        <v>0</v>
      </c>
      <c r="X147" s="7">
        <f t="shared" si="15"/>
        <v>0</v>
      </c>
      <c r="Y147" t="e">
        <v>#N/A</v>
      </c>
      <c r="AA147" t="s">
        <v>149</v>
      </c>
      <c r="AB147">
        <v>64</v>
      </c>
      <c r="AC147">
        <v>0</v>
      </c>
      <c r="AD147" t="s">
        <v>150</v>
      </c>
      <c r="AE147" t="s">
        <v>41</v>
      </c>
      <c r="AF147" t="e">
        <v>#N/A</v>
      </c>
      <c r="AG147" s="8"/>
      <c r="AH147">
        <v>0</v>
      </c>
      <c r="AI147">
        <v>-45</v>
      </c>
      <c r="AJ147">
        <v>0</v>
      </c>
      <c r="AK147" t="e">
        <v>#N/A</v>
      </c>
      <c r="AL147" t="e">
        <v>#N/A</v>
      </c>
      <c r="AM147">
        <v>-45</v>
      </c>
      <c r="AN147">
        <v>1</v>
      </c>
      <c r="AO147" t="e">
        <v>#N/A</v>
      </c>
      <c r="AP147">
        <v>0</v>
      </c>
      <c r="AQ147">
        <v>0</v>
      </c>
      <c r="AR147">
        <v>0.22222222222222221</v>
      </c>
      <c r="AS147">
        <v>0.77777777777777779</v>
      </c>
      <c r="AT147">
        <v>0</v>
      </c>
      <c r="AU147">
        <v>8274.5997000000007</v>
      </c>
      <c r="AV147">
        <v>5</v>
      </c>
      <c r="AW147">
        <f t="shared" si="16"/>
        <v>0</v>
      </c>
      <c r="AX147">
        <v>0</v>
      </c>
      <c r="AY147">
        <f t="shared" si="17"/>
        <v>0</v>
      </c>
      <c r="AZ147" t="e">
        <v>#N/A</v>
      </c>
      <c r="BA147">
        <v>10</v>
      </c>
      <c r="BB147">
        <v>2020</v>
      </c>
      <c r="BC147">
        <v>10</v>
      </c>
      <c r="BD147">
        <v>2020</v>
      </c>
      <c r="BE147" t="e">
        <v>#N/A</v>
      </c>
      <c r="BF147" t="e">
        <v>#N/A</v>
      </c>
    </row>
    <row r="148" spans="1:58" x14ac:dyDescent="0.2">
      <c r="A148" s="7">
        <v>8</v>
      </c>
      <c r="B148" s="7">
        <v>10</v>
      </c>
      <c r="C148" s="7">
        <v>0</v>
      </c>
      <c r="D148" s="7">
        <v>0</v>
      </c>
      <c r="E148" s="7">
        <f t="shared" si="12"/>
        <v>18</v>
      </c>
      <c r="F148" s="11" t="e">
        <v>#N/A</v>
      </c>
      <c r="G148">
        <v>8</v>
      </c>
      <c r="H148">
        <v>10</v>
      </c>
      <c r="I148">
        <v>0</v>
      </c>
      <c r="J148">
        <v>0</v>
      </c>
      <c r="K148">
        <f t="shared" si="13"/>
        <v>18</v>
      </c>
      <c r="L148" t="e">
        <v>#N/A</v>
      </c>
      <c r="M148">
        <v>55440.113318610012</v>
      </c>
      <c r="N148" s="7">
        <v>9</v>
      </c>
      <c r="O148" s="7">
        <v>10</v>
      </c>
      <c r="P148" s="7">
        <v>1</v>
      </c>
      <c r="Q148" s="7">
        <v>0</v>
      </c>
      <c r="R148" s="7">
        <f t="shared" si="14"/>
        <v>20</v>
      </c>
      <c r="S148" t="e">
        <v>#N/A</v>
      </c>
      <c r="T148" s="7">
        <v>20</v>
      </c>
      <c r="U148" s="7">
        <v>40</v>
      </c>
      <c r="V148" s="7">
        <v>9</v>
      </c>
      <c r="W148" s="7">
        <v>7</v>
      </c>
      <c r="X148" s="7">
        <f t="shared" si="15"/>
        <v>76</v>
      </c>
      <c r="Y148" t="e">
        <v>#N/A</v>
      </c>
      <c r="Z148">
        <v>116210.55509732</v>
      </c>
      <c r="AA148" t="s">
        <v>151</v>
      </c>
      <c r="AB148">
        <v>65</v>
      </c>
      <c r="AC148">
        <v>330</v>
      </c>
      <c r="AD148" t="s">
        <v>152</v>
      </c>
      <c r="AE148" t="s">
        <v>75</v>
      </c>
      <c r="AF148" t="e">
        <v>#N/A</v>
      </c>
      <c r="AG148" s="8">
        <v>193</v>
      </c>
      <c r="AH148">
        <v>56</v>
      </c>
      <c r="AI148">
        <v>58</v>
      </c>
      <c r="AJ148">
        <v>0</v>
      </c>
      <c r="AK148">
        <v>0.29015544041450775</v>
      </c>
      <c r="AL148">
        <v>4.03096820419269</v>
      </c>
      <c r="AM148">
        <v>2</v>
      </c>
      <c r="AN148">
        <v>0</v>
      </c>
      <c r="AO148">
        <v>2.8</v>
      </c>
      <c r="AP148">
        <v>3.1111111111111112</v>
      </c>
      <c r="AQ148">
        <v>0</v>
      </c>
      <c r="AR148">
        <v>0.44444444444444442</v>
      </c>
      <c r="AS148">
        <v>0.55555555555555558</v>
      </c>
      <c r="AT148">
        <v>0</v>
      </c>
      <c r="AU148">
        <v>171650.66841593001</v>
      </c>
      <c r="AV148">
        <v>23</v>
      </c>
      <c r="AW148">
        <f t="shared" si="16"/>
        <v>1</v>
      </c>
      <c r="AX148">
        <v>330</v>
      </c>
      <c r="AY148">
        <f t="shared" si="17"/>
        <v>1</v>
      </c>
      <c r="AZ148" t="e">
        <v>#N/A</v>
      </c>
      <c r="BA148">
        <v>1</v>
      </c>
      <c r="BB148">
        <v>2020</v>
      </c>
      <c r="BC148">
        <v>1</v>
      </c>
      <c r="BD148">
        <v>2020</v>
      </c>
      <c r="BE148">
        <v>1</v>
      </c>
      <c r="BF148">
        <v>2020</v>
      </c>
    </row>
    <row r="149" spans="1:58" x14ac:dyDescent="0.2">
      <c r="A149" s="7">
        <v>0</v>
      </c>
      <c r="B149" s="7">
        <v>0</v>
      </c>
      <c r="C149" s="7">
        <v>0</v>
      </c>
      <c r="D149" s="7">
        <v>0</v>
      </c>
      <c r="E149" s="7">
        <f t="shared" si="12"/>
        <v>0</v>
      </c>
      <c r="F149" s="11" t="e">
        <v>#N/A</v>
      </c>
      <c r="G149">
        <v>0</v>
      </c>
      <c r="H149">
        <v>0</v>
      </c>
      <c r="I149">
        <v>0</v>
      </c>
      <c r="J149">
        <v>0</v>
      </c>
      <c r="K149">
        <f t="shared" si="13"/>
        <v>0</v>
      </c>
      <c r="L149" t="e">
        <v>#N/A</v>
      </c>
      <c r="N149" s="7">
        <v>14</v>
      </c>
      <c r="O149" s="7">
        <v>40</v>
      </c>
      <c r="P149" s="7">
        <v>9</v>
      </c>
      <c r="Q149" s="7">
        <v>3</v>
      </c>
      <c r="R149" s="7">
        <f t="shared" si="14"/>
        <v>66</v>
      </c>
      <c r="S149" t="s">
        <v>36</v>
      </c>
      <c r="T149" s="7">
        <v>20</v>
      </c>
      <c r="U149" s="7">
        <v>40</v>
      </c>
      <c r="V149" s="7">
        <v>9</v>
      </c>
      <c r="W149" s="7">
        <v>6</v>
      </c>
      <c r="X149" s="7">
        <f t="shared" si="15"/>
        <v>75</v>
      </c>
      <c r="Y149" t="s">
        <v>36</v>
      </c>
      <c r="Z149">
        <v>18050.598522050001</v>
      </c>
      <c r="AA149" t="s">
        <v>601</v>
      </c>
      <c r="AB149" t="e">
        <v>#N/A</v>
      </c>
      <c r="AF149" t="e">
        <v>#N/A</v>
      </c>
      <c r="AG149" s="8">
        <v>45</v>
      </c>
      <c r="AH149">
        <v>9</v>
      </c>
      <c r="AI149">
        <v>75</v>
      </c>
      <c r="AJ149">
        <v>0</v>
      </c>
      <c r="AK149">
        <v>0.2</v>
      </c>
      <c r="AL149">
        <v>1.3416407864998738</v>
      </c>
      <c r="AM149">
        <v>66</v>
      </c>
      <c r="AN149">
        <v>0</v>
      </c>
      <c r="AO149">
        <v>0.13636363636363635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>
        <v>18050.598522050001</v>
      </c>
      <c r="AV149" t="s">
        <v>489</v>
      </c>
      <c r="AW149" t="str">
        <f t="shared" si="16"/>
        <v>n/a</v>
      </c>
      <c r="AY149" t="e">
        <f t="shared" si="17"/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>
        <v>10</v>
      </c>
      <c r="BF149">
        <v>2018</v>
      </c>
    </row>
    <row r="150" spans="1:58" x14ac:dyDescent="0.2">
      <c r="A150" s="7">
        <v>3</v>
      </c>
      <c r="B150" s="7">
        <v>16</v>
      </c>
      <c r="C150" s="7">
        <v>2</v>
      </c>
      <c r="D150" s="7">
        <v>3</v>
      </c>
      <c r="E150" s="7">
        <f t="shared" si="12"/>
        <v>24</v>
      </c>
      <c r="F150" s="11" t="e">
        <v>#N/A</v>
      </c>
      <c r="G150">
        <v>0</v>
      </c>
      <c r="H150">
        <v>13</v>
      </c>
      <c r="I150">
        <v>2</v>
      </c>
      <c r="J150">
        <v>3</v>
      </c>
      <c r="K150">
        <f t="shared" si="13"/>
        <v>18</v>
      </c>
      <c r="L150" t="e">
        <v>#N/A</v>
      </c>
      <c r="M150">
        <v>20338.503808490001</v>
      </c>
      <c r="N150" s="7">
        <v>0</v>
      </c>
      <c r="O150" s="7">
        <v>0</v>
      </c>
      <c r="P150" s="7">
        <v>0</v>
      </c>
      <c r="Q150" s="7">
        <v>0</v>
      </c>
      <c r="R150" s="7">
        <f t="shared" si="14"/>
        <v>0</v>
      </c>
      <c r="S150" t="e">
        <v>#N/A</v>
      </c>
      <c r="T150" s="7">
        <v>0</v>
      </c>
      <c r="U150" s="7">
        <v>0</v>
      </c>
      <c r="V150" s="7">
        <v>0</v>
      </c>
      <c r="W150" s="7">
        <v>0</v>
      </c>
      <c r="X150" s="7">
        <f t="shared" si="15"/>
        <v>0</v>
      </c>
      <c r="Y150" t="e">
        <v>#N/A</v>
      </c>
      <c r="AA150" t="s">
        <v>153</v>
      </c>
      <c r="AB150">
        <v>66</v>
      </c>
      <c r="AC150">
        <v>40</v>
      </c>
      <c r="AD150" t="s">
        <v>154</v>
      </c>
      <c r="AE150" t="s">
        <v>41</v>
      </c>
      <c r="AF150">
        <v>3</v>
      </c>
      <c r="AG150" s="8"/>
      <c r="AH150">
        <v>0</v>
      </c>
      <c r="AI150">
        <v>-24</v>
      </c>
      <c r="AJ150">
        <v>-6</v>
      </c>
      <c r="AK150" t="e">
        <v>#N/A</v>
      </c>
      <c r="AL150" t="e">
        <v>#N/A</v>
      </c>
      <c r="AM150">
        <v>-18</v>
      </c>
      <c r="AN150">
        <v>1</v>
      </c>
      <c r="AO150" t="e">
        <v>#N/A</v>
      </c>
      <c r="AP150">
        <v>0</v>
      </c>
      <c r="AQ150">
        <v>0.125</v>
      </c>
      <c r="AR150">
        <v>0.125</v>
      </c>
      <c r="AS150">
        <v>0.66666666666666663</v>
      </c>
      <c r="AT150">
        <v>8.3333333333333329E-2</v>
      </c>
      <c r="AU150">
        <v>20338.503808490001</v>
      </c>
      <c r="AV150">
        <v>11</v>
      </c>
      <c r="AW150">
        <f t="shared" si="16"/>
        <v>1</v>
      </c>
      <c r="AX150">
        <v>40</v>
      </c>
      <c r="AY150">
        <f t="shared" si="17"/>
        <v>1</v>
      </c>
      <c r="AZ150">
        <v>13.333333333333334</v>
      </c>
      <c r="BA150">
        <v>4</v>
      </c>
      <c r="BB150">
        <v>2020</v>
      </c>
      <c r="BC150">
        <v>4</v>
      </c>
      <c r="BD150">
        <v>2020</v>
      </c>
      <c r="BE150" t="e">
        <v>#N/A</v>
      </c>
      <c r="BF150" t="e">
        <v>#N/A</v>
      </c>
    </row>
    <row r="151" spans="1:58" x14ac:dyDescent="0.2">
      <c r="A151" s="7">
        <v>11</v>
      </c>
      <c r="B151" s="7">
        <v>15</v>
      </c>
      <c r="C151" s="7">
        <v>9</v>
      </c>
      <c r="D151" s="7">
        <v>15</v>
      </c>
      <c r="E151" s="7">
        <f t="shared" si="12"/>
        <v>50</v>
      </c>
      <c r="F151" s="11" t="s">
        <v>36</v>
      </c>
      <c r="G151">
        <v>11</v>
      </c>
      <c r="H151">
        <v>15</v>
      </c>
      <c r="I151">
        <v>9</v>
      </c>
      <c r="J151">
        <v>15</v>
      </c>
      <c r="K151">
        <f t="shared" si="13"/>
        <v>50</v>
      </c>
      <c r="L151" t="s">
        <v>36</v>
      </c>
      <c r="M151">
        <v>12070.667953919999</v>
      </c>
      <c r="N151" s="7">
        <v>17</v>
      </c>
      <c r="O151" s="7">
        <v>39</v>
      </c>
      <c r="P151" s="7">
        <v>9</v>
      </c>
      <c r="Q151" s="7">
        <v>17</v>
      </c>
      <c r="R151" s="7">
        <f t="shared" si="14"/>
        <v>82</v>
      </c>
      <c r="S151" t="s">
        <v>36</v>
      </c>
      <c r="T151" s="7">
        <v>17</v>
      </c>
      <c r="U151" s="7">
        <v>39</v>
      </c>
      <c r="V151" s="7">
        <v>9</v>
      </c>
      <c r="W151" s="7">
        <v>17</v>
      </c>
      <c r="X151" s="7">
        <f t="shared" si="15"/>
        <v>82</v>
      </c>
      <c r="Y151" t="s">
        <v>36</v>
      </c>
      <c r="Z151">
        <v>10856.453879999999</v>
      </c>
      <c r="AA151" t="s">
        <v>602</v>
      </c>
      <c r="AB151">
        <v>40</v>
      </c>
      <c r="AC151">
        <v>21</v>
      </c>
      <c r="AD151" t="s">
        <v>155</v>
      </c>
      <c r="AE151" t="s">
        <v>75</v>
      </c>
      <c r="AF151" t="e">
        <v>#N/A</v>
      </c>
      <c r="AG151" s="8">
        <v>181</v>
      </c>
      <c r="AH151">
        <v>0</v>
      </c>
      <c r="AI151">
        <v>32</v>
      </c>
      <c r="AJ151">
        <v>0</v>
      </c>
      <c r="AK151">
        <v>0</v>
      </c>
      <c r="AL151">
        <v>0</v>
      </c>
      <c r="AM151">
        <v>32</v>
      </c>
      <c r="AN151">
        <v>0</v>
      </c>
      <c r="AO151">
        <v>0</v>
      </c>
      <c r="AP151">
        <v>0</v>
      </c>
      <c r="AQ151">
        <v>0.3</v>
      </c>
      <c r="AR151">
        <v>0.22</v>
      </c>
      <c r="AS151">
        <v>0.3</v>
      </c>
      <c r="AT151">
        <v>0.18</v>
      </c>
      <c r="AU151">
        <v>22927.121833919999</v>
      </c>
      <c r="AV151">
        <v>6</v>
      </c>
      <c r="AW151">
        <f t="shared" si="16"/>
        <v>0</v>
      </c>
      <c r="AX151">
        <v>21</v>
      </c>
      <c r="AY151">
        <f t="shared" si="17"/>
        <v>1</v>
      </c>
      <c r="AZ151" t="e">
        <v>#N/A</v>
      </c>
      <c r="BA151">
        <v>1</v>
      </c>
      <c r="BB151">
        <v>2019</v>
      </c>
      <c r="BC151">
        <v>1</v>
      </c>
      <c r="BD151">
        <v>2019</v>
      </c>
      <c r="BE151">
        <v>1</v>
      </c>
      <c r="BF151">
        <v>2019</v>
      </c>
    </row>
    <row r="152" spans="1:58" x14ac:dyDescent="0.2">
      <c r="A152" s="7">
        <v>0</v>
      </c>
      <c r="B152" s="7">
        <v>0</v>
      </c>
      <c r="C152" s="7">
        <v>0</v>
      </c>
      <c r="D152" s="7">
        <v>0</v>
      </c>
      <c r="E152" s="7">
        <f t="shared" si="12"/>
        <v>0</v>
      </c>
      <c r="F152" s="11" t="e">
        <v>#N/A</v>
      </c>
      <c r="G152">
        <v>0</v>
      </c>
      <c r="H152">
        <v>0</v>
      </c>
      <c r="I152">
        <v>0</v>
      </c>
      <c r="J152">
        <v>0</v>
      </c>
      <c r="K152">
        <f t="shared" si="13"/>
        <v>0</v>
      </c>
      <c r="L152" t="e">
        <v>#N/A</v>
      </c>
      <c r="N152" s="7">
        <v>1</v>
      </c>
      <c r="O152" s="7">
        <v>18</v>
      </c>
      <c r="P152" s="7">
        <v>0</v>
      </c>
      <c r="Q152" s="7">
        <v>0</v>
      </c>
      <c r="R152" s="7">
        <f t="shared" si="14"/>
        <v>19</v>
      </c>
      <c r="S152" t="s">
        <v>84</v>
      </c>
      <c r="T152" s="7">
        <v>0</v>
      </c>
      <c r="U152" s="7">
        <v>13</v>
      </c>
      <c r="V152" s="7">
        <v>0</v>
      </c>
      <c r="W152" s="7">
        <v>0</v>
      </c>
      <c r="X152" s="7">
        <f t="shared" si="15"/>
        <v>13</v>
      </c>
      <c r="Y152" t="s">
        <v>84</v>
      </c>
      <c r="Z152">
        <v>6626.91653099</v>
      </c>
      <c r="AA152" t="s">
        <v>603</v>
      </c>
      <c r="AB152" t="e">
        <v>#N/A</v>
      </c>
      <c r="AF152" t="e">
        <v>#N/A</v>
      </c>
      <c r="AG152" s="8">
        <v>41</v>
      </c>
      <c r="AH152">
        <v>-6</v>
      </c>
      <c r="AI152">
        <v>13</v>
      </c>
      <c r="AJ152">
        <v>0</v>
      </c>
      <c r="AK152">
        <v>-0.14634146341463414</v>
      </c>
      <c r="AL152">
        <v>-0.93704257133163638</v>
      </c>
      <c r="AM152">
        <v>19</v>
      </c>
      <c r="AN152">
        <v>0</v>
      </c>
      <c r="AO152">
        <v>-0.31578947368421051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>
        <v>6626.91653099</v>
      </c>
      <c r="AV152" t="s">
        <v>489</v>
      </c>
      <c r="AW152" t="str">
        <f t="shared" si="16"/>
        <v>n/a</v>
      </c>
      <c r="AY152" t="e">
        <f t="shared" si="17"/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>
        <v>7</v>
      </c>
      <c r="BF152">
        <v>2018</v>
      </c>
    </row>
    <row r="153" spans="1:58" x14ac:dyDescent="0.2">
      <c r="A153" s="7">
        <v>0</v>
      </c>
      <c r="B153" s="7">
        <v>10</v>
      </c>
      <c r="C153" s="7">
        <v>0</v>
      </c>
      <c r="D153" s="7">
        <v>3</v>
      </c>
      <c r="E153" s="7">
        <f t="shared" si="12"/>
        <v>13</v>
      </c>
      <c r="F153" s="11" t="s">
        <v>68</v>
      </c>
      <c r="G153">
        <v>0</v>
      </c>
      <c r="H153">
        <v>10</v>
      </c>
      <c r="I153">
        <v>0</v>
      </c>
      <c r="J153">
        <v>3</v>
      </c>
      <c r="K153">
        <f t="shared" si="13"/>
        <v>13</v>
      </c>
      <c r="L153" t="s">
        <v>68</v>
      </c>
      <c r="M153">
        <v>14776.70771784</v>
      </c>
      <c r="N153" s="7">
        <v>0</v>
      </c>
      <c r="O153" s="7">
        <v>10</v>
      </c>
      <c r="P153" s="7">
        <v>0</v>
      </c>
      <c r="Q153" s="7">
        <v>3</v>
      </c>
      <c r="R153" s="7">
        <f t="shared" si="14"/>
        <v>13</v>
      </c>
      <c r="S153" t="s">
        <v>68</v>
      </c>
      <c r="T153" s="7">
        <v>0</v>
      </c>
      <c r="U153" s="7">
        <v>10</v>
      </c>
      <c r="V153" s="7">
        <v>0</v>
      </c>
      <c r="W153" s="7">
        <v>3</v>
      </c>
      <c r="X153" s="7">
        <f t="shared" si="15"/>
        <v>13</v>
      </c>
      <c r="Y153" t="s">
        <v>68</v>
      </c>
      <c r="Z153">
        <v>18215.745926039999</v>
      </c>
      <c r="AA153" t="s">
        <v>604</v>
      </c>
      <c r="AB153">
        <v>47</v>
      </c>
      <c r="AC153">
        <v>0</v>
      </c>
      <c r="AD153" t="s">
        <v>156</v>
      </c>
      <c r="AE153" t="s">
        <v>41</v>
      </c>
      <c r="AF153" t="e">
        <v>#N/A</v>
      </c>
      <c r="AG153" s="8">
        <v>212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0.23076923076923078</v>
      </c>
      <c r="AR153">
        <v>0</v>
      </c>
      <c r="AS153">
        <v>0.76923076923076927</v>
      </c>
      <c r="AT153">
        <v>0</v>
      </c>
      <c r="AU153">
        <v>32992.453643879999</v>
      </c>
      <c r="AV153">
        <v>3</v>
      </c>
      <c r="AW153">
        <f t="shared" si="16"/>
        <v>0</v>
      </c>
      <c r="AX153">
        <v>0</v>
      </c>
      <c r="AY153">
        <f t="shared" si="17"/>
        <v>0</v>
      </c>
      <c r="AZ153" t="e">
        <v>#N/A</v>
      </c>
      <c r="BA153">
        <v>4</v>
      </c>
      <c r="BB153">
        <v>2019</v>
      </c>
      <c r="BC153">
        <v>4</v>
      </c>
      <c r="BD153">
        <v>2019</v>
      </c>
      <c r="BE153">
        <v>1</v>
      </c>
      <c r="BF153">
        <v>2019</v>
      </c>
    </row>
    <row r="154" spans="1:58" x14ac:dyDescent="0.2">
      <c r="A154" s="7">
        <v>0</v>
      </c>
      <c r="B154" s="7">
        <v>0</v>
      </c>
      <c r="C154" s="7">
        <v>0</v>
      </c>
      <c r="D154" s="7">
        <v>0</v>
      </c>
      <c r="E154" s="7">
        <f t="shared" si="12"/>
        <v>0</v>
      </c>
      <c r="F154" s="11" t="e">
        <v>#N/A</v>
      </c>
      <c r="G154">
        <v>0</v>
      </c>
      <c r="H154">
        <v>0</v>
      </c>
      <c r="I154">
        <v>0</v>
      </c>
      <c r="J154">
        <v>0</v>
      </c>
      <c r="K154">
        <f t="shared" si="13"/>
        <v>0</v>
      </c>
      <c r="L154" t="e">
        <v>#N/A</v>
      </c>
      <c r="N154" s="7">
        <v>0</v>
      </c>
      <c r="O154" s="7">
        <v>10</v>
      </c>
      <c r="P154" s="7">
        <v>0</v>
      </c>
      <c r="Q154" s="7">
        <v>3</v>
      </c>
      <c r="R154" s="7">
        <f t="shared" si="14"/>
        <v>13</v>
      </c>
      <c r="S154" t="s">
        <v>33</v>
      </c>
      <c r="T154" s="7">
        <v>0</v>
      </c>
      <c r="U154" s="7">
        <v>10</v>
      </c>
      <c r="V154" s="7">
        <v>0</v>
      </c>
      <c r="W154" s="7">
        <v>3</v>
      </c>
      <c r="X154" s="7">
        <f t="shared" si="15"/>
        <v>13</v>
      </c>
      <c r="Y154" t="s">
        <v>33</v>
      </c>
      <c r="Z154">
        <v>35461.693188969999</v>
      </c>
      <c r="AA154" t="s">
        <v>157</v>
      </c>
      <c r="AB154">
        <v>48</v>
      </c>
      <c r="AC154">
        <v>0</v>
      </c>
      <c r="AD154" t="s">
        <v>156</v>
      </c>
      <c r="AE154" t="s">
        <v>41</v>
      </c>
      <c r="AF154" t="e">
        <v>#N/A</v>
      </c>
      <c r="AG154" s="8">
        <v>0</v>
      </c>
      <c r="AH154">
        <v>0</v>
      </c>
      <c r="AI154">
        <v>13</v>
      </c>
      <c r="AJ154">
        <v>0</v>
      </c>
      <c r="AK154" t="e">
        <v>#N/A</v>
      </c>
      <c r="AL154" t="e">
        <v>#N/A</v>
      </c>
      <c r="AM154">
        <v>13</v>
      </c>
      <c r="AN154">
        <v>0</v>
      </c>
      <c r="AO154">
        <v>0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>
        <v>35461.693188969999</v>
      </c>
      <c r="AV154">
        <v>4</v>
      </c>
      <c r="AW154">
        <f t="shared" si="16"/>
        <v>0</v>
      </c>
      <c r="AX154">
        <v>0</v>
      </c>
      <c r="AY154">
        <f t="shared" si="17"/>
        <v>0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>
        <v>1</v>
      </c>
      <c r="BF154">
        <v>2020</v>
      </c>
    </row>
    <row r="155" spans="1:58" x14ac:dyDescent="0.2">
      <c r="A155" s="7">
        <v>16</v>
      </c>
      <c r="B155" s="7">
        <v>26</v>
      </c>
      <c r="C155" s="7">
        <v>6</v>
      </c>
      <c r="D155" s="7">
        <v>4</v>
      </c>
      <c r="E155" s="7">
        <f t="shared" si="12"/>
        <v>52</v>
      </c>
      <c r="F155" s="11" t="s">
        <v>36</v>
      </c>
      <c r="G155">
        <v>16</v>
      </c>
      <c r="H155">
        <v>26</v>
      </c>
      <c r="I155">
        <v>6</v>
      </c>
      <c r="J155">
        <v>4</v>
      </c>
      <c r="K155">
        <f t="shared" si="13"/>
        <v>52</v>
      </c>
      <c r="L155" t="s">
        <v>36</v>
      </c>
      <c r="M155">
        <v>10696.872247040001</v>
      </c>
      <c r="N155" s="7">
        <v>11</v>
      </c>
      <c r="O155" s="7">
        <v>15</v>
      </c>
      <c r="P155" s="7">
        <v>0</v>
      </c>
      <c r="Q155" s="7">
        <v>3</v>
      </c>
      <c r="R155" s="7">
        <f t="shared" si="14"/>
        <v>29</v>
      </c>
      <c r="S155" t="s">
        <v>36</v>
      </c>
      <c r="T155" s="7">
        <v>19</v>
      </c>
      <c r="U155" s="7">
        <v>32</v>
      </c>
      <c r="V155" s="7">
        <v>8</v>
      </c>
      <c r="W155" s="7">
        <v>6</v>
      </c>
      <c r="X155" s="7">
        <f t="shared" si="15"/>
        <v>65</v>
      </c>
      <c r="Y155" t="s">
        <v>36</v>
      </c>
      <c r="Z155">
        <v>51302.946141810011</v>
      </c>
      <c r="AA155" t="s">
        <v>605</v>
      </c>
      <c r="AB155">
        <v>66</v>
      </c>
      <c r="AC155">
        <v>0</v>
      </c>
      <c r="AD155" t="s">
        <v>73</v>
      </c>
      <c r="AE155" t="s">
        <v>41</v>
      </c>
      <c r="AF155" t="e">
        <v>#N/A</v>
      </c>
      <c r="AG155" s="8">
        <v>79</v>
      </c>
      <c r="AH155">
        <v>36</v>
      </c>
      <c r="AI155">
        <v>13</v>
      </c>
      <c r="AJ155">
        <v>0</v>
      </c>
      <c r="AK155">
        <v>0.45569620253164556</v>
      </c>
      <c r="AL155">
        <v>4.0503164433336858</v>
      </c>
      <c r="AM155">
        <v>-23</v>
      </c>
      <c r="AN155">
        <v>1</v>
      </c>
      <c r="AO155">
        <v>1.2413793103448276</v>
      </c>
      <c r="AP155">
        <v>0.69230769230769229</v>
      </c>
      <c r="AQ155">
        <v>7.6923076923076927E-2</v>
      </c>
      <c r="AR155">
        <v>0.30769230769230771</v>
      </c>
      <c r="AS155">
        <v>0.5</v>
      </c>
      <c r="AT155">
        <v>0.11538461538461539</v>
      </c>
      <c r="AU155">
        <v>61999.818388850013</v>
      </c>
      <c r="AV155">
        <v>4</v>
      </c>
      <c r="AW155">
        <f t="shared" si="16"/>
        <v>0</v>
      </c>
      <c r="AX155">
        <v>0</v>
      </c>
      <c r="AY155">
        <f t="shared" si="17"/>
        <v>0</v>
      </c>
      <c r="AZ155" t="e">
        <v>#N/A</v>
      </c>
      <c r="BA155">
        <v>9</v>
      </c>
      <c r="BB155">
        <v>2019</v>
      </c>
      <c r="BC155">
        <v>9</v>
      </c>
      <c r="BD155">
        <v>2019</v>
      </c>
      <c r="BE155">
        <v>1</v>
      </c>
      <c r="BF155">
        <v>2019</v>
      </c>
    </row>
    <row r="156" spans="1:58" x14ac:dyDescent="0.2">
      <c r="A156" s="7">
        <v>1</v>
      </c>
      <c r="B156" s="7">
        <v>16</v>
      </c>
      <c r="C156" s="7">
        <v>0</v>
      </c>
      <c r="D156" s="7">
        <v>0</v>
      </c>
      <c r="E156" s="7">
        <f t="shared" si="12"/>
        <v>17</v>
      </c>
      <c r="F156" s="11" t="s">
        <v>36</v>
      </c>
      <c r="G156">
        <v>1</v>
      </c>
      <c r="H156">
        <v>16</v>
      </c>
      <c r="I156">
        <v>0</v>
      </c>
      <c r="J156">
        <v>0</v>
      </c>
      <c r="K156">
        <f t="shared" si="13"/>
        <v>17</v>
      </c>
      <c r="L156" t="s">
        <v>36</v>
      </c>
      <c r="M156">
        <v>14798.64781552</v>
      </c>
      <c r="N156" s="7">
        <v>0</v>
      </c>
      <c r="O156" s="7">
        <v>17</v>
      </c>
      <c r="P156" s="7">
        <v>0</v>
      </c>
      <c r="Q156" s="7">
        <v>0</v>
      </c>
      <c r="R156" s="7">
        <f t="shared" si="14"/>
        <v>17</v>
      </c>
      <c r="S156" t="s">
        <v>36</v>
      </c>
      <c r="T156" s="7">
        <v>0</v>
      </c>
      <c r="U156" s="7">
        <v>17</v>
      </c>
      <c r="V156" s="7">
        <v>0</v>
      </c>
      <c r="W156" s="7">
        <v>0</v>
      </c>
      <c r="X156" s="7">
        <f t="shared" si="15"/>
        <v>17</v>
      </c>
      <c r="Y156" t="s">
        <v>36</v>
      </c>
      <c r="Z156">
        <v>17072.716094669999</v>
      </c>
      <c r="AA156" t="s">
        <v>606</v>
      </c>
      <c r="AB156">
        <v>51</v>
      </c>
      <c r="AC156">
        <v>0</v>
      </c>
      <c r="AD156" t="s">
        <v>82</v>
      </c>
      <c r="AE156" t="s">
        <v>41</v>
      </c>
      <c r="AF156" t="e">
        <v>#N/A</v>
      </c>
      <c r="AG156" s="8">
        <v>273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5.8823529411764705E-2</v>
      </c>
      <c r="AS156">
        <v>0.94117647058823528</v>
      </c>
      <c r="AT156">
        <v>0</v>
      </c>
      <c r="AU156">
        <v>31871.363910189997</v>
      </c>
      <c r="AV156">
        <v>5</v>
      </c>
      <c r="AW156">
        <f t="shared" si="16"/>
        <v>0</v>
      </c>
      <c r="AX156">
        <v>0</v>
      </c>
      <c r="AY156">
        <f t="shared" si="17"/>
        <v>0</v>
      </c>
      <c r="AZ156" t="e">
        <v>#N/A</v>
      </c>
      <c r="BA156">
        <v>8</v>
      </c>
      <c r="BB156">
        <v>2019</v>
      </c>
      <c r="BC156">
        <v>8</v>
      </c>
      <c r="BD156">
        <v>2019</v>
      </c>
      <c r="BE156">
        <v>1</v>
      </c>
      <c r="BF156">
        <v>2019</v>
      </c>
    </row>
    <row r="157" spans="1:58" x14ac:dyDescent="0.2">
      <c r="A157" s="7">
        <v>0</v>
      </c>
      <c r="B157" s="7">
        <v>19</v>
      </c>
      <c r="C157" s="7">
        <v>0</v>
      </c>
      <c r="D157" s="7">
        <v>3</v>
      </c>
      <c r="E157" s="7">
        <f t="shared" si="12"/>
        <v>22</v>
      </c>
      <c r="F157" s="11" t="s">
        <v>36</v>
      </c>
      <c r="G157">
        <v>0</v>
      </c>
      <c r="H157">
        <v>19</v>
      </c>
      <c r="I157">
        <v>0</v>
      </c>
      <c r="J157">
        <v>3</v>
      </c>
      <c r="K157">
        <f t="shared" si="13"/>
        <v>22</v>
      </c>
      <c r="L157" t="s">
        <v>36</v>
      </c>
      <c r="M157">
        <v>18850.005977929999</v>
      </c>
      <c r="N157" s="7">
        <v>0</v>
      </c>
      <c r="O157" s="7">
        <v>17</v>
      </c>
      <c r="P157" s="7">
        <v>0</v>
      </c>
      <c r="Q157" s="7">
        <v>3</v>
      </c>
      <c r="R157" s="7">
        <f t="shared" si="14"/>
        <v>20</v>
      </c>
      <c r="S157" t="s">
        <v>36</v>
      </c>
      <c r="T157" s="7">
        <v>0</v>
      </c>
      <c r="U157" s="7">
        <v>17</v>
      </c>
      <c r="V157" s="7">
        <v>0</v>
      </c>
      <c r="W157" s="7">
        <v>3</v>
      </c>
      <c r="X157" s="7">
        <f t="shared" si="15"/>
        <v>20</v>
      </c>
      <c r="Y157" t="s">
        <v>36</v>
      </c>
      <c r="Z157">
        <v>10369.61752948</v>
      </c>
      <c r="AA157" t="s">
        <v>606</v>
      </c>
      <c r="AB157">
        <v>51</v>
      </c>
      <c r="AC157">
        <v>0</v>
      </c>
      <c r="AD157" t="s">
        <v>99</v>
      </c>
      <c r="AE157" t="s">
        <v>41</v>
      </c>
      <c r="AF157" t="e">
        <v>#N/A</v>
      </c>
      <c r="AG157" s="8">
        <v>0</v>
      </c>
      <c r="AH157">
        <v>0</v>
      </c>
      <c r="AI157">
        <v>-2</v>
      </c>
      <c r="AJ157">
        <v>0</v>
      </c>
      <c r="AK157" t="e">
        <v>#N/A</v>
      </c>
      <c r="AL157" t="e">
        <v>#N/A</v>
      </c>
      <c r="AM157">
        <v>-2</v>
      </c>
      <c r="AN157">
        <v>1</v>
      </c>
      <c r="AO157">
        <v>0</v>
      </c>
      <c r="AP157">
        <v>0</v>
      </c>
      <c r="AQ157">
        <v>0.13636363636363635</v>
      </c>
      <c r="AR157">
        <v>0</v>
      </c>
      <c r="AS157">
        <v>0.86363636363636365</v>
      </c>
      <c r="AT157">
        <v>0</v>
      </c>
      <c r="AU157">
        <v>29219.623507409997</v>
      </c>
      <c r="AV157">
        <v>2</v>
      </c>
      <c r="AW157">
        <f t="shared" si="16"/>
        <v>0</v>
      </c>
      <c r="AX157">
        <v>0</v>
      </c>
      <c r="AY157">
        <f t="shared" si="17"/>
        <v>0</v>
      </c>
      <c r="AZ157" t="e">
        <v>#N/A</v>
      </c>
      <c r="BA157">
        <v>11</v>
      </c>
      <c r="BB157">
        <v>2019</v>
      </c>
      <c r="BC157">
        <v>11</v>
      </c>
      <c r="BD157">
        <v>2019</v>
      </c>
      <c r="BE157">
        <v>1</v>
      </c>
      <c r="BF157">
        <v>2019</v>
      </c>
    </row>
    <row r="158" spans="1:58" x14ac:dyDescent="0.2">
      <c r="A158" s="7">
        <v>18</v>
      </c>
      <c r="B158" s="7">
        <v>39</v>
      </c>
      <c r="C158" s="7">
        <v>10</v>
      </c>
      <c r="D158" s="7">
        <v>11</v>
      </c>
      <c r="E158" s="7">
        <f t="shared" si="12"/>
        <v>78</v>
      </c>
      <c r="F158" s="11" t="s">
        <v>36</v>
      </c>
      <c r="G158">
        <v>18</v>
      </c>
      <c r="H158">
        <v>39</v>
      </c>
      <c r="I158">
        <v>10</v>
      </c>
      <c r="J158">
        <v>11</v>
      </c>
      <c r="K158">
        <f t="shared" si="13"/>
        <v>78</v>
      </c>
      <c r="L158" t="s">
        <v>36</v>
      </c>
      <c r="M158">
        <v>6953.8686399999997</v>
      </c>
      <c r="N158" s="7">
        <v>20</v>
      </c>
      <c r="O158" s="7">
        <v>40</v>
      </c>
      <c r="P158" s="7">
        <v>10</v>
      </c>
      <c r="Q158" s="7">
        <v>30</v>
      </c>
      <c r="R158" s="7">
        <f t="shared" si="14"/>
        <v>100</v>
      </c>
      <c r="S158" t="s">
        <v>36</v>
      </c>
      <c r="T158" s="7">
        <v>20</v>
      </c>
      <c r="U158" s="7">
        <v>40</v>
      </c>
      <c r="V158" s="7">
        <v>10</v>
      </c>
      <c r="W158" s="7">
        <v>29</v>
      </c>
      <c r="X158" s="7">
        <f t="shared" si="15"/>
        <v>99</v>
      </c>
      <c r="Y158" t="s">
        <v>36</v>
      </c>
      <c r="Z158">
        <v>15458.57570582</v>
      </c>
      <c r="AA158" t="s">
        <v>607</v>
      </c>
      <c r="AB158">
        <v>57</v>
      </c>
      <c r="AC158">
        <v>0</v>
      </c>
      <c r="AD158" t="s">
        <v>158</v>
      </c>
      <c r="AE158" t="s">
        <v>75</v>
      </c>
      <c r="AF158" t="e">
        <v>#N/A</v>
      </c>
      <c r="AG158" s="8">
        <v>160</v>
      </c>
      <c r="AH158">
        <v>-1</v>
      </c>
      <c r="AI158">
        <v>21</v>
      </c>
      <c r="AJ158">
        <v>0</v>
      </c>
      <c r="AK158">
        <v>-6.2500000000000003E-3</v>
      </c>
      <c r="AL158">
        <v>-7.9056941504209485E-2</v>
      </c>
      <c r="AM158">
        <v>22</v>
      </c>
      <c r="AN158">
        <v>0</v>
      </c>
      <c r="AO158">
        <v>-0.01</v>
      </c>
      <c r="AP158">
        <v>-1.282051282051282E-2</v>
      </c>
      <c r="AQ158">
        <v>0.14102564102564102</v>
      </c>
      <c r="AR158">
        <v>0.23076923076923078</v>
      </c>
      <c r="AS158">
        <v>0.5</v>
      </c>
      <c r="AT158">
        <v>0.12820512820512819</v>
      </c>
      <c r="AU158">
        <v>22412.44434582</v>
      </c>
      <c r="AV158">
        <v>5</v>
      </c>
      <c r="AW158">
        <f t="shared" si="16"/>
        <v>0</v>
      </c>
      <c r="AX158">
        <v>0</v>
      </c>
      <c r="AY158">
        <f t="shared" si="17"/>
        <v>0</v>
      </c>
      <c r="AZ158" t="e">
        <v>#N/A</v>
      </c>
      <c r="BA158">
        <v>5</v>
      </c>
      <c r="BB158">
        <v>2019</v>
      </c>
      <c r="BC158">
        <v>5</v>
      </c>
      <c r="BD158">
        <v>2019</v>
      </c>
      <c r="BE158">
        <v>1</v>
      </c>
      <c r="BF158">
        <v>2019</v>
      </c>
    </row>
    <row r="159" spans="1:58" x14ac:dyDescent="0.2">
      <c r="A159" s="7">
        <v>8</v>
      </c>
      <c r="B159" s="7">
        <v>29</v>
      </c>
      <c r="C159" s="7">
        <v>2</v>
      </c>
      <c r="D159" s="7">
        <v>0</v>
      </c>
      <c r="E159" s="7">
        <f t="shared" si="12"/>
        <v>39</v>
      </c>
      <c r="F159" s="11" t="s">
        <v>36</v>
      </c>
      <c r="G159">
        <v>8</v>
      </c>
      <c r="H159">
        <v>29</v>
      </c>
      <c r="I159">
        <v>2</v>
      </c>
      <c r="J159">
        <v>0</v>
      </c>
      <c r="K159">
        <f t="shared" si="13"/>
        <v>39</v>
      </c>
      <c r="L159" t="s">
        <v>36</v>
      </c>
      <c r="M159">
        <v>19085.383476949999</v>
      </c>
      <c r="N159" s="7">
        <v>11</v>
      </c>
      <c r="O159" s="7">
        <v>30</v>
      </c>
      <c r="P159" s="7">
        <v>5</v>
      </c>
      <c r="Q159" s="7">
        <v>7</v>
      </c>
      <c r="R159" s="7">
        <f t="shared" si="14"/>
        <v>53</v>
      </c>
      <c r="S159" t="s">
        <v>36</v>
      </c>
      <c r="T159" s="7">
        <v>8</v>
      </c>
      <c r="U159" s="7">
        <v>29</v>
      </c>
      <c r="V159" s="7">
        <v>2</v>
      </c>
      <c r="W159" s="7">
        <v>0</v>
      </c>
      <c r="X159" s="7">
        <f t="shared" si="15"/>
        <v>39</v>
      </c>
      <c r="Y159" t="s">
        <v>36</v>
      </c>
      <c r="Z159">
        <v>31663.111305099999</v>
      </c>
      <c r="AA159" t="s">
        <v>608</v>
      </c>
      <c r="AB159" t="e">
        <v>#N/A</v>
      </c>
      <c r="AF159">
        <v>123</v>
      </c>
      <c r="AG159" s="8">
        <v>69</v>
      </c>
      <c r="AH159">
        <v>-14</v>
      </c>
      <c r="AI159">
        <v>0</v>
      </c>
      <c r="AJ159">
        <v>0</v>
      </c>
      <c r="AK159">
        <v>-0.20289855072463769</v>
      </c>
      <c r="AL159">
        <v>-1.6854019432007687</v>
      </c>
      <c r="AM159">
        <v>14</v>
      </c>
      <c r="AN159">
        <v>0</v>
      </c>
      <c r="AO159">
        <v>-0.26415094339622641</v>
      </c>
      <c r="AP159">
        <v>-0.35897435897435898</v>
      </c>
      <c r="AQ159">
        <v>0</v>
      </c>
      <c r="AR159">
        <v>0.20512820512820512</v>
      </c>
      <c r="AS159">
        <v>0.74358974358974361</v>
      </c>
      <c r="AT159">
        <v>5.128205128205128E-2</v>
      </c>
      <c r="AU159">
        <v>50748.494782049995</v>
      </c>
      <c r="AV159" t="s">
        <v>489</v>
      </c>
      <c r="AW159" t="str">
        <f t="shared" si="16"/>
        <v>n/a</v>
      </c>
      <c r="AY159" t="e">
        <f t="shared" si="17"/>
        <v>#N/A</v>
      </c>
      <c r="AZ159" t="e">
        <v>#N/A</v>
      </c>
      <c r="BA159">
        <v>5</v>
      </c>
      <c r="BB159">
        <v>2018</v>
      </c>
      <c r="BC159">
        <v>9</v>
      </c>
      <c r="BD159">
        <v>2018</v>
      </c>
      <c r="BE159">
        <v>1</v>
      </c>
      <c r="BF159">
        <v>2018</v>
      </c>
    </row>
    <row r="160" spans="1:58" x14ac:dyDescent="0.2">
      <c r="A160" s="7">
        <v>12</v>
      </c>
      <c r="B160" s="7">
        <v>16</v>
      </c>
      <c r="C160" s="7">
        <v>4</v>
      </c>
      <c r="D160" s="7">
        <v>3</v>
      </c>
      <c r="E160" s="7">
        <f t="shared" si="12"/>
        <v>35</v>
      </c>
      <c r="F160" s="11" t="s">
        <v>42</v>
      </c>
      <c r="G160">
        <v>10</v>
      </c>
      <c r="H160">
        <v>16</v>
      </c>
      <c r="I160">
        <v>2</v>
      </c>
      <c r="J160">
        <v>0</v>
      </c>
      <c r="K160">
        <f t="shared" si="13"/>
        <v>28</v>
      </c>
      <c r="L160" t="s">
        <v>36</v>
      </c>
      <c r="M160">
        <v>39873.918317600008</v>
      </c>
      <c r="N160" s="7">
        <v>12</v>
      </c>
      <c r="O160" s="7">
        <v>15</v>
      </c>
      <c r="P160" s="7">
        <v>3</v>
      </c>
      <c r="Q160" s="7">
        <v>3</v>
      </c>
      <c r="R160" s="7">
        <f t="shared" si="14"/>
        <v>33</v>
      </c>
      <c r="S160" t="s">
        <v>42</v>
      </c>
      <c r="T160" s="7">
        <v>16</v>
      </c>
      <c r="U160" s="7">
        <v>16</v>
      </c>
      <c r="V160" s="7">
        <v>4</v>
      </c>
      <c r="W160" s="7">
        <v>5</v>
      </c>
      <c r="X160" s="7">
        <f t="shared" si="15"/>
        <v>41</v>
      </c>
      <c r="Y160" t="s">
        <v>42</v>
      </c>
      <c r="Z160">
        <v>28050.128798419999</v>
      </c>
      <c r="AA160" t="s">
        <v>609</v>
      </c>
      <c r="AB160">
        <v>59</v>
      </c>
      <c r="AC160">
        <v>0</v>
      </c>
      <c r="AD160" t="s">
        <v>124</v>
      </c>
      <c r="AE160" t="s">
        <v>75</v>
      </c>
      <c r="AF160">
        <v>58</v>
      </c>
      <c r="AG160" s="8">
        <v>170</v>
      </c>
      <c r="AH160">
        <v>8</v>
      </c>
      <c r="AI160">
        <v>6</v>
      </c>
      <c r="AJ160">
        <v>-7</v>
      </c>
      <c r="AK160">
        <v>4.7058823529411764E-2</v>
      </c>
      <c r="AL160">
        <v>0.61357199107789628</v>
      </c>
      <c r="AM160">
        <v>5</v>
      </c>
      <c r="AN160">
        <v>0</v>
      </c>
      <c r="AO160">
        <v>0.24242424242424243</v>
      </c>
      <c r="AP160">
        <v>0.22857142857142856</v>
      </c>
      <c r="AQ160">
        <v>8.5714285714285715E-2</v>
      </c>
      <c r="AR160">
        <v>0.34285714285714286</v>
      </c>
      <c r="AS160">
        <v>0.45714285714285713</v>
      </c>
      <c r="AT160">
        <v>0.11428571428571428</v>
      </c>
      <c r="AU160">
        <v>67924.04711602001</v>
      </c>
      <c r="AV160">
        <v>17</v>
      </c>
      <c r="AW160">
        <f t="shared" si="16"/>
        <v>1</v>
      </c>
      <c r="AX160">
        <v>0</v>
      </c>
      <c r="AY160">
        <f t="shared" si="17"/>
        <v>0</v>
      </c>
      <c r="AZ160">
        <v>0</v>
      </c>
      <c r="BA160">
        <v>1</v>
      </c>
      <c r="BB160">
        <v>2019</v>
      </c>
      <c r="BC160">
        <v>3</v>
      </c>
      <c r="BD160">
        <v>2019</v>
      </c>
      <c r="BE160">
        <v>1</v>
      </c>
      <c r="BF160">
        <v>2019</v>
      </c>
    </row>
    <row r="161" spans="1:58" x14ac:dyDescent="0.2">
      <c r="A161" s="7">
        <v>8</v>
      </c>
      <c r="B161" s="7">
        <v>11</v>
      </c>
      <c r="C161" s="7">
        <v>0</v>
      </c>
      <c r="D161" s="7">
        <v>0</v>
      </c>
      <c r="E161" s="7">
        <f t="shared" si="12"/>
        <v>19</v>
      </c>
      <c r="F161" s="11" t="e">
        <v>#N/A</v>
      </c>
      <c r="G161">
        <v>8</v>
      </c>
      <c r="H161">
        <v>11</v>
      </c>
      <c r="I161">
        <v>0</v>
      </c>
      <c r="J161">
        <v>0</v>
      </c>
      <c r="K161">
        <f t="shared" si="13"/>
        <v>19</v>
      </c>
      <c r="L161" t="e">
        <v>#N/A</v>
      </c>
      <c r="M161">
        <v>13425.913008269999</v>
      </c>
      <c r="N161" s="7">
        <v>8</v>
      </c>
      <c r="O161" s="7">
        <v>11</v>
      </c>
      <c r="P161" s="7">
        <v>0</v>
      </c>
      <c r="Q161" s="7">
        <v>6</v>
      </c>
      <c r="R161" s="7">
        <f t="shared" si="14"/>
        <v>25</v>
      </c>
      <c r="S161" t="e">
        <v>#N/A</v>
      </c>
      <c r="T161" s="7">
        <v>8</v>
      </c>
      <c r="U161" s="7">
        <v>11</v>
      </c>
      <c r="V161" s="7">
        <v>0</v>
      </c>
      <c r="W161" s="7">
        <v>6</v>
      </c>
      <c r="X161" s="7">
        <f t="shared" si="15"/>
        <v>25</v>
      </c>
      <c r="Y161" t="e">
        <v>#N/A</v>
      </c>
      <c r="Z161">
        <v>10930.485849999999</v>
      </c>
      <c r="AA161" t="s">
        <v>159</v>
      </c>
      <c r="AB161">
        <v>60</v>
      </c>
      <c r="AC161">
        <v>0</v>
      </c>
      <c r="AD161" t="s">
        <v>160</v>
      </c>
      <c r="AE161" t="s">
        <v>75</v>
      </c>
      <c r="AF161" t="e">
        <v>#N/A</v>
      </c>
      <c r="AG161" s="8">
        <v>0</v>
      </c>
      <c r="AH161">
        <v>0</v>
      </c>
      <c r="AI161">
        <v>6</v>
      </c>
      <c r="AJ161">
        <v>0</v>
      </c>
      <c r="AK161" t="e">
        <v>#N/A</v>
      </c>
      <c r="AL161" t="e">
        <v>#N/A</v>
      </c>
      <c r="AM161">
        <v>6</v>
      </c>
      <c r="AN161">
        <v>0</v>
      </c>
      <c r="AO161">
        <v>0</v>
      </c>
      <c r="AP161">
        <v>0</v>
      </c>
      <c r="AQ161">
        <v>0</v>
      </c>
      <c r="AR161">
        <v>0.42105263157894735</v>
      </c>
      <c r="AS161">
        <v>0.57894736842105265</v>
      </c>
      <c r="AT161">
        <v>0</v>
      </c>
      <c r="AU161">
        <v>24356.398858269997</v>
      </c>
      <c r="AV161">
        <v>14</v>
      </c>
      <c r="AW161">
        <f t="shared" si="16"/>
        <v>1</v>
      </c>
      <c r="AX161">
        <v>0</v>
      </c>
      <c r="AY161">
        <f t="shared" si="17"/>
        <v>0</v>
      </c>
      <c r="AZ161" t="e">
        <v>#N/A</v>
      </c>
      <c r="BA161">
        <v>8</v>
      </c>
      <c r="BB161">
        <v>2020</v>
      </c>
      <c r="BC161">
        <v>8</v>
      </c>
      <c r="BD161">
        <v>2020</v>
      </c>
      <c r="BE161">
        <v>1</v>
      </c>
      <c r="BF161">
        <v>2020</v>
      </c>
    </row>
    <row r="162" spans="1:58" x14ac:dyDescent="0.2">
      <c r="A162" s="7">
        <v>0</v>
      </c>
      <c r="B162" s="7">
        <v>11</v>
      </c>
      <c r="C162" s="7">
        <v>0</v>
      </c>
      <c r="D162" s="7">
        <v>3</v>
      </c>
      <c r="E162" s="7">
        <f t="shared" si="12"/>
        <v>14</v>
      </c>
      <c r="F162" s="11" t="s">
        <v>36</v>
      </c>
      <c r="G162">
        <v>0</v>
      </c>
      <c r="H162">
        <v>11</v>
      </c>
      <c r="I162">
        <v>0</v>
      </c>
      <c r="J162">
        <v>3</v>
      </c>
      <c r="K162">
        <f t="shared" si="13"/>
        <v>14</v>
      </c>
      <c r="L162" t="s">
        <v>36</v>
      </c>
      <c r="M162">
        <v>21705.249168670001</v>
      </c>
      <c r="N162" s="7">
        <v>0</v>
      </c>
      <c r="O162" s="7">
        <v>11</v>
      </c>
      <c r="P162" s="7">
        <v>0</v>
      </c>
      <c r="Q162" s="7">
        <v>3</v>
      </c>
      <c r="R162" s="7">
        <f t="shared" si="14"/>
        <v>14</v>
      </c>
      <c r="S162" t="s">
        <v>36</v>
      </c>
      <c r="T162" s="7">
        <v>0</v>
      </c>
      <c r="U162" s="7">
        <v>13</v>
      </c>
      <c r="V162" s="7">
        <v>0</v>
      </c>
      <c r="W162" s="7">
        <v>3</v>
      </c>
      <c r="X162" s="7">
        <f t="shared" si="15"/>
        <v>16</v>
      </c>
      <c r="Y162" t="s">
        <v>36</v>
      </c>
      <c r="Z162">
        <v>29127.077480830001</v>
      </c>
      <c r="AA162" t="s">
        <v>610</v>
      </c>
      <c r="AB162">
        <v>66</v>
      </c>
      <c r="AC162">
        <v>173</v>
      </c>
      <c r="AD162" t="s">
        <v>107</v>
      </c>
      <c r="AE162" t="s">
        <v>41</v>
      </c>
      <c r="AF162" t="e">
        <v>#N/A</v>
      </c>
      <c r="AG162" s="8">
        <v>342</v>
      </c>
      <c r="AH162">
        <v>2</v>
      </c>
      <c r="AI162">
        <v>2</v>
      </c>
      <c r="AJ162">
        <v>0</v>
      </c>
      <c r="AK162">
        <v>5.8479532163742687E-3</v>
      </c>
      <c r="AL162">
        <v>0.10814761408717503</v>
      </c>
      <c r="AM162">
        <v>0</v>
      </c>
      <c r="AN162">
        <v>0</v>
      </c>
      <c r="AO162">
        <v>0.14285714285714285</v>
      </c>
      <c r="AP162">
        <v>0.14285714285714285</v>
      </c>
      <c r="AQ162">
        <v>0.21428571428571427</v>
      </c>
      <c r="AR162">
        <v>0</v>
      </c>
      <c r="AS162">
        <v>0.7857142857142857</v>
      </c>
      <c r="AT162">
        <v>0</v>
      </c>
      <c r="AU162">
        <v>50832.326649499999</v>
      </c>
      <c r="AV162">
        <v>15</v>
      </c>
      <c r="AW162">
        <f t="shared" si="16"/>
        <v>1</v>
      </c>
      <c r="AX162">
        <v>173</v>
      </c>
      <c r="AY162">
        <f t="shared" si="17"/>
        <v>1</v>
      </c>
      <c r="AZ162" t="e">
        <v>#N/A</v>
      </c>
      <c r="BA162">
        <v>8</v>
      </c>
      <c r="BB162">
        <v>2019</v>
      </c>
      <c r="BC162">
        <v>8</v>
      </c>
      <c r="BD162">
        <v>2019</v>
      </c>
      <c r="BE162">
        <v>1</v>
      </c>
      <c r="BF162">
        <v>2019</v>
      </c>
    </row>
    <row r="163" spans="1:58" x14ac:dyDescent="0.2">
      <c r="A163" s="7">
        <v>0</v>
      </c>
      <c r="B163" s="7">
        <v>8</v>
      </c>
      <c r="C163" s="7">
        <v>0</v>
      </c>
      <c r="D163" s="7">
        <v>0</v>
      </c>
      <c r="E163" s="7">
        <f t="shared" si="12"/>
        <v>8</v>
      </c>
      <c r="F163" s="11" t="s">
        <v>59</v>
      </c>
      <c r="G163">
        <v>0</v>
      </c>
      <c r="H163">
        <v>8</v>
      </c>
      <c r="I163">
        <v>0</v>
      </c>
      <c r="J163">
        <v>0</v>
      </c>
      <c r="K163">
        <f t="shared" si="13"/>
        <v>8</v>
      </c>
      <c r="L163" t="s">
        <v>59</v>
      </c>
      <c r="M163">
        <v>28624.043804950001</v>
      </c>
      <c r="N163" s="7">
        <v>0</v>
      </c>
      <c r="O163" s="7">
        <v>8</v>
      </c>
      <c r="P163" s="7">
        <v>0</v>
      </c>
      <c r="Q163" s="7">
        <v>0</v>
      </c>
      <c r="R163" s="7">
        <f t="shared" si="14"/>
        <v>8</v>
      </c>
      <c r="S163" t="e">
        <v>#N/A</v>
      </c>
      <c r="T163" s="7">
        <v>0</v>
      </c>
      <c r="U163" s="7">
        <v>8</v>
      </c>
      <c r="V163" s="7">
        <v>0</v>
      </c>
      <c r="W163" s="7">
        <v>0</v>
      </c>
      <c r="X163" s="7">
        <f t="shared" si="15"/>
        <v>8</v>
      </c>
      <c r="Y163" t="e">
        <v>#N/A</v>
      </c>
      <c r="Z163">
        <v>23118.486302509998</v>
      </c>
      <c r="AA163" t="s">
        <v>161</v>
      </c>
      <c r="AB163">
        <v>66</v>
      </c>
      <c r="AC163">
        <v>289</v>
      </c>
      <c r="AD163" t="s">
        <v>46</v>
      </c>
      <c r="AE163" t="s">
        <v>41</v>
      </c>
      <c r="AF163" t="e">
        <v>#N/A</v>
      </c>
      <c r="AG163" s="8">
        <v>46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51742.530107459999</v>
      </c>
      <c r="AV163">
        <v>19</v>
      </c>
      <c r="AW163">
        <f t="shared" si="16"/>
        <v>1</v>
      </c>
      <c r="AX163">
        <v>289</v>
      </c>
      <c r="AY163">
        <f t="shared" si="17"/>
        <v>1</v>
      </c>
      <c r="AZ163" t="e">
        <v>#N/A</v>
      </c>
      <c r="BA163">
        <v>5</v>
      </c>
      <c r="BB163">
        <v>2020</v>
      </c>
      <c r="BC163">
        <v>5</v>
      </c>
      <c r="BD163">
        <v>2020</v>
      </c>
      <c r="BE163">
        <v>1</v>
      </c>
      <c r="BF163">
        <v>2020</v>
      </c>
    </row>
    <row r="164" spans="1:58" x14ac:dyDescent="0.2">
      <c r="A164" s="7">
        <v>0</v>
      </c>
      <c r="B164" s="7">
        <v>11</v>
      </c>
      <c r="C164" s="7">
        <v>0</v>
      </c>
      <c r="D164" s="7">
        <v>3</v>
      </c>
      <c r="E164" s="7">
        <f t="shared" si="12"/>
        <v>14</v>
      </c>
      <c r="F164" s="11" t="e">
        <v>#N/A</v>
      </c>
      <c r="G164">
        <v>0</v>
      </c>
      <c r="H164">
        <v>11</v>
      </c>
      <c r="I164">
        <v>0</v>
      </c>
      <c r="J164">
        <v>3</v>
      </c>
      <c r="K164">
        <f t="shared" si="13"/>
        <v>14</v>
      </c>
      <c r="L164" t="e">
        <v>#N/A</v>
      </c>
      <c r="M164">
        <v>36213.362982450002</v>
      </c>
      <c r="N164" s="7">
        <v>0</v>
      </c>
      <c r="O164" s="7">
        <v>11</v>
      </c>
      <c r="P164" s="7">
        <v>0</v>
      </c>
      <c r="Q164" s="7">
        <v>3</v>
      </c>
      <c r="R164" s="7">
        <f t="shared" si="14"/>
        <v>14</v>
      </c>
      <c r="S164" t="e">
        <v>#N/A</v>
      </c>
      <c r="T164" s="7">
        <v>0</v>
      </c>
      <c r="U164" s="7">
        <v>11</v>
      </c>
      <c r="V164" s="7">
        <v>0</v>
      </c>
      <c r="W164" s="7">
        <v>3</v>
      </c>
      <c r="X164" s="7">
        <f t="shared" si="15"/>
        <v>14</v>
      </c>
      <c r="Y164" t="e">
        <v>#N/A</v>
      </c>
      <c r="Z164">
        <v>39884.063828140002</v>
      </c>
      <c r="AA164" t="s">
        <v>161</v>
      </c>
      <c r="AB164">
        <v>67</v>
      </c>
      <c r="AC164">
        <v>0</v>
      </c>
      <c r="AD164" t="s">
        <v>99</v>
      </c>
      <c r="AE164" t="s">
        <v>41</v>
      </c>
      <c r="AF164">
        <v>216</v>
      </c>
      <c r="AG164" s="8">
        <v>318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0.21428571428571427</v>
      </c>
      <c r="AR164">
        <v>0</v>
      </c>
      <c r="AS164">
        <v>0.7857142857142857</v>
      </c>
      <c r="AT164">
        <v>0</v>
      </c>
      <c r="AU164">
        <v>76097.426810589997</v>
      </c>
      <c r="AV164">
        <v>20</v>
      </c>
      <c r="AW164">
        <f t="shared" si="16"/>
        <v>1</v>
      </c>
      <c r="AX164">
        <v>0</v>
      </c>
      <c r="AY164">
        <f t="shared" si="17"/>
        <v>0</v>
      </c>
      <c r="AZ164">
        <v>0</v>
      </c>
      <c r="BA164">
        <v>2</v>
      </c>
      <c r="BB164">
        <v>2020</v>
      </c>
      <c r="BC164">
        <v>9</v>
      </c>
      <c r="BD164">
        <v>2020</v>
      </c>
      <c r="BE164">
        <v>1</v>
      </c>
      <c r="BF164">
        <v>2020</v>
      </c>
    </row>
    <row r="165" spans="1:58" x14ac:dyDescent="0.2">
      <c r="A165" s="7">
        <v>0</v>
      </c>
      <c r="B165" s="7">
        <v>10</v>
      </c>
      <c r="C165" s="7">
        <v>0</v>
      </c>
      <c r="D165" s="7">
        <v>3</v>
      </c>
      <c r="E165" s="7">
        <f t="shared" si="12"/>
        <v>13</v>
      </c>
      <c r="F165" s="11" t="s">
        <v>36</v>
      </c>
      <c r="G165">
        <v>0</v>
      </c>
      <c r="H165">
        <v>15</v>
      </c>
      <c r="I165">
        <v>0</v>
      </c>
      <c r="J165">
        <v>5</v>
      </c>
      <c r="K165">
        <f t="shared" si="13"/>
        <v>20</v>
      </c>
      <c r="L165" t="s">
        <v>36</v>
      </c>
      <c r="M165">
        <v>13626.95073264</v>
      </c>
      <c r="N165" s="7">
        <v>0</v>
      </c>
      <c r="O165" s="7">
        <v>15</v>
      </c>
      <c r="P165" s="7">
        <v>0</v>
      </c>
      <c r="Q165" s="7">
        <v>5</v>
      </c>
      <c r="R165" s="7">
        <f t="shared" si="14"/>
        <v>20</v>
      </c>
      <c r="S165" t="s">
        <v>36</v>
      </c>
      <c r="T165" s="7">
        <v>0</v>
      </c>
      <c r="U165" s="7">
        <v>15</v>
      </c>
      <c r="V165" s="7">
        <v>0</v>
      </c>
      <c r="W165" s="7">
        <v>5</v>
      </c>
      <c r="X165" s="7">
        <f t="shared" si="15"/>
        <v>20</v>
      </c>
      <c r="Y165" t="s">
        <v>36</v>
      </c>
      <c r="Z165">
        <v>8267.124815520001</v>
      </c>
      <c r="AA165" t="s">
        <v>611</v>
      </c>
      <c r="AB165">
        <v>54</v>
      </c>
      <c r="AC165">
        <v>0</v>
      </c>
      <c r="AD165" t="s">
        <v>82</v>
      </c>
      <c r="AE165" t="s">
        <v>41</v>
      </c>
      <c r="AF165">
        <v>81</v>
      </c>
      <c r="AG165" s="8">
        <v>0</v>
      </c>
      <c r="AH165">
        <v>0</v>
      </c>
      <c r="AI165">
        <v>7</v>
      </c>
      <c r="AJ165">
        <v>7</v>
      </c>
      <c r="AK165" t="e">
        <v>#N/A</v>
      </c>
      <c r="AL165" t="e">
        <v>#N/A</v>
      </c>
      <c r="AM165">
        <v>0</v>
      </c>
      <c r="AN165">
        <v>0</v>
      </c>
      <c r="AO165">
        <v>0</v>
      </c>
      <c r="AP165">
        <v>0</v>
      </c>
      <c r="AQ165">
        <v>0.23076923076923078</v>
      </c>
      <c r="AR165">
        <v>0</v>
      </c>
      <c r="AS165">
        <v>0.76923076923076927</v>
      </c>
      <c r="AT165">
        <v>0</v>
      </c>
      <c r="AU165">
        <v>21894.075548159999</v>
      </c>
      <c r="AV165">
        <v>7</v>
      </c>
      <c r="AW165">
        <f t="shared" si="16"/>
        <v>0</v>
      </c>
      <c r="AX165">
        <v>0</v>
      </c>
      <c r="AY165">
        <f t="shared" si="17"/>
        <v>0</v>
      </c>
      <c r="AZ165">
        <v>0</v>
      </c>
      <c r="BA165">
        <v>1</v>
      </c>
      <c r="BB165">
        <v>2019</v>
      </c>
      <c r="BC165">
        <v>3</v>
      </c>
      <c r="BD165">
        <v>2019</v>
      </c>
      <c r="BE165">
        <v>11</v>
      </c>
      <c r="BF165">
        <v>2019</v>
      </c>
    </row>
    <row r="166" spans="1:58" x14ac:dyDescent="0.2">
      <c r="A166" s="7">
        <v>16</v>
      </c>
      <c r="B166" s="7">
        <v>16</v>
      </c>
      <c r="C166" s="7">
        <v>0</v>
      </c>
      <c r="D166" s="7">
        <v>4</v>
      </c>
      <c r="E166" s="7">
        <f t="shared" si="12"/>
        <v>36</v>
      </c>
      <c r="F166" s="11" t="s">
        <v>36</v>
      </c>
      <c r="G166">
        <v>16</v>
      </c>
      <c r="H166">
        <v>16</v>
      </c>
      <c r="I166">
        <v>0</v>
      </c>
      <c r="J166">
        <v>4</v>
      </c>
      <c r="K166">
        <f t="shared" si="13"/>
        <v>36</v>
      </c>
      <c r="L166" t="s">
        <v>36</v>
      </c>
      <c r="M166">
        <v>10081.547899200001</v>
      </c>
      <c r="N166" s="7">
        <v>16</v>
      </c>
      <c r="O166" s="7">
        <v>17</v>
      </c>
      <c r="P166" s="7">
        <v>0</v>
      </c>
      <c r="Q166" s="7">
        <v>5</v>
      </c>
      <c r="R166" s="7">
        <f t="shared" si="14"/>
        <v>38</v>
      </c>
      <c r="S166" t="s">
        <v>42</v>
      </c>
      <c r="T166" s="7">
        <v>16</v>
      </c>
      <c r="U166" s="7">
        <v>17</v>
      </c>
      <c r="V166" s="7">
        <v>0</v>
      </c>
      <c r="W166" s="7">
        <v>5</v>
      </c>
      <c r="X166" s="7">
        <f t="shared" si="15"/>
        <v>38</v>
      </c>
      <c r="Y166" t="s">
        <v>42</v>
      </c>
      <c r="Z166">
        <v>35511.373800529997</v>
      </c>
      <c r="AA166" t="s">
        <v>612</v>
      </c>
      <c r="AB166">
        <v>59</v>
      </c>
      <c r="AC166">
        <v>0</v>
      </c>
      <c r="AD166" t="s">
        <v>162</v>
      </c>
      <c r="AE166" t="s">
        <v>75</v>
      </c>
      <c r="AF166" t="e">
        <v>#N/A</v>
      </c>
      <c r="AG166" s="8">
        <v>323</v>
      </c>
      <c r="AH166">
        <v>0</v>
      </c>
      <c r="AI166">
        <v>2</v>
      </c>
      <c r="AJ166">
        <v>0</v>
      </c>
      <c r="AK166">
        <v>0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0.1111111111111111</v>
      </c>
      <c r="AR166">
        <v>0.44444444444444442</v>
      </c>
      <c r="AS166">
        <v>0.44444444444444442</v>
      </c>
      <c r="AT166">
        <v>0</v>
      </c>
      <c r="AU166">
        <v>45592.921699729995</v>
      </c>
      <c r="AV166">
        <v>6</v>
      </c>
      <c r="AW166">
        <f t="shared" si="16"/>
        <v>0</v>
      </c>
      <c r="AX166">
        <v>0</v>
      </c>
      <c r="AY166">
        <f t="shared" si="17"/>
        <v>0</v>
      </c>
      <c r="AZ166" t="e">
        <v>#N/A</v>
      </c>
      <c r="BA166">
        <v>4</v>
      </c>
      <c r="BB166">
        <v>2019</v>
      </c>
      <c r="BC166">
        <v>4</v>
      </c>
      <c r="BD166">
        <v>2019</v>
      </c>
      <c r="BE166">
        <v>1</v>
      </c>
      <c r="BF166">
        <v>2019</v>
      </c>
    </row>
    <row r="167" spans="1:58" x14ac:dyDescent="0.2">
      <c r="A167" s="7">
        <v>6</v>
      </c>
      <c r="B167" s="7">
        <v>13</v>
      </c>
      <c r="C167" s="7">
        <v>2</v>
      </c>
      <c r="D167" s="7">
        <v>0</v>
      </c>
      <c r="E167" s="7">
        <f t="shared" si="12"/>
        <v>21</v>
      </c>
      <c r="F167" s="11" t="s">
        <v>36</v>
      </c>
      <c r="G167">
        <v>4</v>
      </c>
      <c r="H167">
        <v>8</v>
      </c>
      <c r="I167">
        <v>0</v>
      </c>
      <c r="J167">
        <v>0</v>
      </c>
      <c r="K167">
        <f t="shared" si="13"/>
        <v>12</v>
      </c>
      <c r="L167" t="s">
        <v>36</v>
      </c>
      <c r="M167">
        <v>35658.740495010003</v>
      </c>
      <c r="N167" s="7">
        <v>6</v>
      </c>
      <c r="O167" s="7">
        <v>8</v>
      </c>
      <c r="P167" s="7">
        <v>2</v>
      </c>
      <c r="Q167" s="7">
        <v>0</v>
      </c>
      <c r="R167" s="7">
        <f t="shared" si="14"/>
        <v>16</v>
      </c>
      <c r="S167" t="s">
        <v>36</v>
      </c>
      <c r="T167" s="7">
        <v>2</v>
      </c>
      <c r="U167" s="7">
        <v>8</v>
      </c>
      <c r="V167" s="7">
        <v>0</v>
      </c>
      <c r="W167" s="7">
        <v>0</v>
      </c>
      <c r="X167" s="7">
        <f t="shared" si="15"/>
        <v>10</v>
      </c>
      <c r="Y167" t="s">
        <v>54</v>
      </c>
      <c r="Z167">
        <v>25324.294244680001</v>
      </c>
      <c r="AA167" t="s">
        <v>613</v>
      </c>
      <c r="AB167" t="e">
        <v>#N/A</v>
      </c>
      <c r="AF167">
        <v>282</v>
      </c>
      <c r="AG167" s="8">
        <v>1</v>
      </c>
      <c r="AH167">
        <v>-6</v>
      </c>
      <c r="AI167">
        <v>-11</v>
      </c>
      <c r="AJ167">
        <v>-9</v>
      </c>
      <c r="AK167">
        <v>-6</v>
      </c>
      <c r="AL167">
        <v>-6</v>
      </c>
      <c r="AM167">
        <v>4</v>
      </c>
      <c r="AN167">
        <v>0</v>
      </c>
      <c r="AO167">
        <v>-0.375</v>
      </c>
      <c r="AP167">
        <v>-0.2857142857142857</v>
      </c>
      <c r="AQ167">
        <v>0</v>
      </c>
      <c r="AR167">
        <v>0.2857142857142857</v>
      </c>
      <c r="AS167">
        <v>0.61904761904761907</v>
      </c>
      <c r="AT167">
        <v>9.5238095238095233E-2</v>
      </c>
      <c r="AU167">
        <v>60983.034739690003</v>
      </c>
      <c r="AV167" t="s">
        <v>489</v>
      </c>
      <c r="AW167" t="str">
        <f t="shared" si="16"/>
        <v>n/a</v>
      </c>
      <c r="AY167" t="e">
        <f t="shared" si="17"/>
        <v>#N/A</v>
      </c>
      <c r="AZ167" t="e">
        <v>#N/A</v>
      </c>
      <c r="BA167">
        <v>1</v>
      </c>
      <c r="BB167">
        <v>2018</v>
      </c>
      <c r="BC167">
        <v>11</v>
      </c>
      <c r="BD167">
        <v>2018</v>
      </c>
      <c r="BE167">
        <v>1</v>
      </c>
      <c r="BF167">
        <v>2018</v>
      </c>
    </row>
    <row r="168" spans="1:58" x14ac:dyDescent="0.2">
      <c r="A168" s="7">
        <v>5</v>
      </c>
      <c r="B168" s="7">
        <v>21</v>
      </c>
      <c r="C168" s="7">
        <v>3</v>
      </c>
      <c r="D168" s="7">
        <v>8</v>
      </c>
      <c r="E168" s="7">
        <f t="shared" si="12"/>
        <v>37</v>
      </c>
      <c r="F168" s="11" t="s">
        <v>39</v>
      </c>
      <c r="G168">
        <v>5</v>
      </c>
      <c r="H168">
        <v>21</v>
      </c>
      <c r="I168">
        <v>3</v>
      </c>
      <c r="J168">
        <v>8</v>
      </c>
      <c r="K168">
        <f t="shared" si="13"/>
        <v>37</v>
      </c>
      <c r="L168" t="s">
        <v>39</v>
      </c>
      <c r="M168">
        <v>10020.11305315</v>
      </c>
      <c r="N168" s="7">
        <v>5</v>
      </c>
      <c r="O168" s="7">
        <v>21</v>
      </c>
      <c r="P168" s="7">
        <v>3</v>
      </c>
      <c r="Q168" s="7">
        <v>8</v>
      </c>
      <c r="R168" s="7">
        <f t="shared" si="14"/>
        <v>37</v>
      </c>
      <c r="S168" t="s">
        <v>39</v>
      </c>
      <c r="T168" s="7">
        <v>20</v>
      </c>
      <c r="U168" s="7">
        <v>34</v>
      </c>
      <c r="V168" s="7">
        <v>9</v>
      </c>
      <c r="W168" s="7">
        <v>8</v>
      </c>
      <c r="X168" s="7">
        <f t="shared" si="15"/>
        <v>71</v>
      </c>
      <c r="Y168" t="s">
        <v>39</v>
      </c>
      <c r="Z168">
        <v>40825.879942680003</v>
      </c>
      <c r="AA168" t="s">
        <v>614</v>
      </c>
      <c r="AB168" t="e">
        <v>#N/A</v>
      </c>
      <c r="AF168">
        <v>214</v>
      </c>
      <c r="AG168" s="8">
        <v>58</v>
      </c>
      <c r="AH168">
        <v>34</v>
      </c>
      <c r="AI168">
        <v>34</v>
      </c>
      <c r="AJ168">
        <v>0</v>
      </c>
      <c r="AK168">
        <v>0.58620689655172409</v>
      </c>
      <c r="AL168">
        <v>4.4644187172305667</v>
      </c>
      <c r="AM168">
        <v>0</v>
      </c>
      <c r="AN168">
        <v>0</v>
      </c>
      <c r="AO168">
        <v>0.91891891891891897</v>
      </c>
      <c r="AP168">
        <v>0.91891891891891897</v>
      </c>
      <c r="AQ168">
        <v>0.21621621621621623</v>
      </c>
      <c r="AR168">
        <v>0.13513513513513514</v>
      </c>
      <c r="AS168">
        <v>0.56756756756756754</v>
      </c>
      <c r="AT168">
        <v>8.1081081081081086E-2</v>
      </c>
      <c r="AU168">
        <v>50845.992995830005</v>
      </c>
      <c r="AV168" t="s">
        <v>489</v>
      </c>
      <c r="AW168" t="str">
        <f t="shared" si="16"/>
        <v>n/a</v>
      </c>
      <c r="AY168" t="e">
        <f t="shared" si="17"/>
        <v>#N/A</v>
      </c>
      <c r="AZ168" t="e">
        <v>#N/A</v>
      </c>
      <c r="BA168">
        <v>5</v>
      </c>
      <c r="BB168">
        <v>2018</v>
      </c>
      <c r="BC168">
        <v>12</v>
      </c>
      <c r="BD168">
        <v>2018</v>
      </c>
      <c r="BE168">
        <v>9</v>
      </c>
      <c r="BF168">
        <v>2018</v>
      </c>
    </row>
    <row r="169" spans="1:58" x14ac:dyDescent="0.2">
      <c r="A169" s="7">
        <v>3</v>
      </c>
      <c r="B169" s="7">
        <v>15</v>
      </c>
      <c r="C169" s="7">
        <v>2</v>
      </c>
      <c r="D169" s="7">
        <v>4</v>
      </c>
      <c r="E169" s="7">
        <f t="shared" si="12"/>
        <v>24</v>
      </c>
      <c r="F169" s="11" t="s">
        <v>36</v>
      </c>
      <c r="G169">
        <v>3</v>
      </c>
      <c r="H169">
        <v>15</v>
      </c>
      <c r="I169">
        <v>2</v>
      </c>
      <c r="J169">
        <v>4</v>
      </c>
      <c r="K169">
        <f t="shared" si="13"/>
        <v>24</v>
      </c>
      <c r="L169" t="s">
        <v>36</v>
      </c>
      <c r="M169">
        <v>14128.64552</v>
      </c>
      <c r="N169" s="7">
        <v>1</v>
      </c>
      <c r="O169" s="7">
        <v>6</v>
      </c>
      <c r="P169" s="7">
        <v>2</v>
      </c>
      <c r="Q169" s="7">
        <v>4</v>
      </c>
      <c r="R169" s="7">
        <f t="shared" si="14"/>
        <v>13</v>
      </c>
      <c r="S169" t="s">
        <v>36</v>
      </c>
      <c r="T169" s="7">
        <v>3</v>
      </c>
      <c r="U169" s="7">
        <v>15</v>
      </c>
      <c r="V169" s="7">
        <v>2</v>
      </c>
      <c r="W169" s="7">
        <v>4</v>
      </c>
      <c r="X169" s="7">
        <f t="shared" si="15"/>
        <v>24</v>
      </c>
      <c r="Y169" t="s">
        <v>36</v>
      </c>
      <c r="Z169">
        <v>10239.056313970001</v>
      </c>
      <c r="AA169" t="s">
        <v>615</v>
      </c>
      <c r="AB169">
        <v>42</v>
      </c>
      <c r="AC169">
        <v>0</v>
      </c>
      <c r="AD169" t="s">
        <v>99</v>
      </c>
      <c r="AE169" t="s">
        <v>41</v>
      </c>
      <c r="AF169" t="e">
        <v>#N/A</v>
      </c>
      <c r="AG169" s="8">
        <v>151</v>
      </c>
      <c r="AH169">
        <v>11</v>
      </c>
      <c r="AI169">
        <v>0</v>
      </c>
      <c r="AJ169">
        <v>0</v>
      </c>
      <c r="AK169">
        <v>7.2847682119205295E-2</v>
      </c>
      <c r="AL169">
        <v>0.89516730464827532</v>
      </c>
      <c r="AM169">
        <v>-11</v>
      </c>
      <c r="AN169">
        <v>1</v>
      </c>
      <c r="AO169">
        <v>0.84615384615384615</v>
      </c>
      <c r="AP169">
        <v>0.45833333333333331</v>
      </c>
      <c r="AQ169">
        <v>0.16666666666666666</v>
      </c>
      <c r="AR169">
        <v>0.125</v>
      </c>
      <c r="AS169">
        <v>0.625</v>
      </c>
      <c r="AT169">
        <v>8.3333333333333329E-2</v>
      </c>
      <c r="AU169">
        <v>24367.701833970001</v>
      </c>
      <c r="AV169">
        <v>8</v>
      </c>
      <c r="AW169">
        <f t="shared" si="16"/>
        <v>0</v>
      </c>
      <c r="AX169">
        <v>0</v>
      </c>
      <c r="AY169">
        <f t="shared" si="17"/>
        <v>0</v>
      </c>
      <c r="AZ169" t="e">
        <v>#N/A</v>
      </c>
      <c r="BA169">
        <v>8</v>
      </c>
      <c r="BB169">
        <v>2019</v>
      </c>
      <c r="BC169">
        <v>8</v>
      </c>
      <c r="BD169">
        <v>2019</v>
      </c>
      <c r="BE169">
        <v>1</v>
      </c>
      <c r="BF169">
        <v>2019</v>
      </c>
    </row>
    <row r="170" spans="1:58" x14ac:dyDescent="0.2">
      <c r="A170" s="7">
        <v>0</v>
      </c>
      <c r="B170" s="7">
        <v>8</v>
      </c>
      <c r="C170" s="7">
        <v>0</v>
      </c>
      <c r="D170" s="7">
        <v>0</v>
      </c>
      <c r="E170" s="7">
        <f t="shared" si="12"/>
        <v>8</v>
      </c>
      <c r="F170" s="11" t="e">
        <v>#N/A</v>
      </c>
      <c r="G170">
        <v>0</v>
      </c>
      <c r="H170">
        <v>13</v>
      </c>
      <c r="I170">
        <v>0</v>
      </c>
      <c r="J170">
        <v>0</v>
      </c>
      <c r="K170">
        <f t="shared" si="13"/>
        <v>13</v>
      </c>
      <c r="L170" t="e">
        <v>#N/A</v>
      </c>
      <c r="M170">
        <v>32885.873205559998</v>
      </c>
      <c r="N170" s="7">
        <v>0</v>
      </c>
      <c r="O170" s="7">
        <v>8</v>
      </c>
      <c r="P170" s="7">
        <v>0</v>
      </c>
      <c r="Q170" s="7">
        <v>1</v>
      </c>
      <c r="R170" s="7">
        <f t="shared" si="14"/>
        <v>9</v>
      </c>
      <c r="S170" t="e">
        <v>#N/A</v>
      </c>
      <c r="T170" s="7">
        <v>0</v>
      </c>
      <c r="U170" s="7">
        <v>8</v>
      </c>
      <c r="V170" s="7">
        <v>0</v>
      </c>
      <c r="W170" s="7">
        <v>1</v>
      </c>
      <c r="X170" s="7">
        <f t="shared" si="15"/>
        <v>9</v>
      </c>
      <c r="Y170" t="e">
        <v>#N/A</v>
      </c>
      <c r="Z170">
        <v>9666.7024726</v>
      </c>
      <c r="AA170" t="s">
        <v>163</v>
      </c>
      <c r="AB170">
        <v>80</v>
      </c>
      <c r="AC170">
        <v>0</v>
      </c>
      <c r="AD170" t="s">
        <v>138</v>
      </c>
      <c r="AE170" t="s">
        <v>41</v>
      </c>
      <c r="AF170">
        <v>30</v>
      </c>
      <c r="AG170" s="8">
        <v>0</v>
      </c>
      <c r="AH170">
        <v>0</v>
      </c>
      <c r="AI170">
        <v>1</v>
      </c>
      <c r="AJ170">
        <v>5</v>
      </c>
      <c r="AK170" t="e">
        <v>#N/A</v>
      </c>
      <c r="AL170" t="e">
        <v>#N/A</v>
      </c>
      <c r="AM170">
        <v>-4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42552.575678159999</v>
      </c>
      <c r="AV170">
        <v>10</v>
      </c>
      <c r="AW170">
        <f t="shared" si="16"/>
        <v>1</v>
      </c>
      <c r="AX170">
        <v>0</v>
      </c>
      <c r="AY170">
        <f t="shared" si="17"/>
        <v>0</v>
      </c>
      <c r="AZ170">
        <v>0</v>
      </c>
      <c r="BA170">
        <v>1</v>
      </c>
      <c r="BB170">
        <v>2020</v>
      </c>
      <c r="BC170">
        <v>2</v>
      </c>
      <c r="BD170">
        <v>2020</v>
      </c>
      <c r="BE170">
        <v>8</v>
      </c>
      <c r="BF170">
        <v>2020</v>
      </c>
    </row>
    <row r="171" spans="1:58" x14ac:dyDescent="0.2">
      <c r="A171" s="7">
        <v>8</v>
      </c>
      <c r="B171" s="7">
        <v>18</v>
      </c>
      <c r="C171" s="7">
        <v>3</v>
      </c>
      <c r="D171" s="7">
        <v>0</v>
      </c>
      <c r="E171" s="7">
        <f t="shared" si="12"/>
        <v>29</v>
      </c>
      <c r="F171" s="11" t="s">
        <v>36</v>
      </c>
      <c r="G171">
        <v>8</v>
      </c>
      <c r="H171">
        <v>18</v>
      </c>
      <c r="I171">
        <v>3</v>
      </c>
      <c r="J171">
        <v>0</v>
      </c>
      <c r="K171">
        <f t="shared" si="13"/>
        <v>29</v>
      </c>
      <c r="L171" t="s">
        <v>36</v>
      </c>
      <c r="M171">
        <v>13140.16772521</v>
      </c>
      <c r="N171" s="7">
        <v>8</v>
      </c>
      <c r="O171" s="7">
        <v>18</v>
      </c>
      <c r="P171" s="7">
        <v>2</v>
      </c>
      <c r="Q171" s="7">
        <v>0</v>
      </c>
      <c r="R171" s="7">
        <f t="shared" si="14"/>
        <v>28</v>
      </c>
      <c r="S171" t="s">
        <v>36</v>
      </c>
      <c r="T171" s="7">
        <v>18</v>
      </c>
      <c r="U171" s="7">
        <v>31</v>
      </c>
      <c r="V171" s="7">
        <v>6</v>
      </c>
      <c r="W171" s="7">
        <v>5</v>
      </c>
      <c r="X171" s="7">
        <f t="shared" si="15"/>
        <v>60</v>
      </c>
      <c r="Y171" t="s">
        <v>36</v>
      </c>
      <c r="Z171">
        <v>52887.824746209997</v>
      </c>
      <c r="AA171" t="s">
        <v>616</v>
      </c>
      <c r="AB171">
        <v>58</v>
      </c>
      <c r="AC171">
        <v>0</v>
      </c>
      <c r="AD171" t="s">
        <v>49</v>
      </c>
      <c r="AE171" t="s">
        <v>41</v>
      </c>
      <c r="AF171" t="e">
        <v>#N/A</v>
      </c>
      <c r="AG171" s="8">
        <v>2</v>
      </c>
      <c r="AH171">
        <v>32</v>
      </c>
      <c r="AI171">
        <v>31</v>
      </c>
      <c r="AJ171">
        <v>0</v>
      </c>
      <c r="AK171">
        <v>16</v>
      </c>
      <c r="AL171">
        <v>22.627416997969519</v>
      </c>
      <c r="AM171">
        <v>-1</v>
      </c>
      <c r="AN171">
        <v>1</v>
      </c>
      <c r="AO171">
        <v>1.1428571428571428</v>
      </c>
      <c r="AP171">
        <v>1.103448275862069</v>
      </c>
      <c r="AQ171">
        <v>0</v>
      </c>
      <c r="AR171">
        <v>0.27586206896551724</v>
      </c>
      <c r="AS171">
        <v>0.62068965517241381</v>
      </c>
      <c r="AT171">
        <v>0.10344827586206896</v>
      </c>
      <c r="AU171">
        <v>66027.992471420002</v>
      </c>
      <c r="AV171">
        <v>9</v>
      </c>
      <c r="AW171">
        <f t="shared" si="16"/>
        <v>0</v>
      </c>
      <c r="AX171">
        <v>0</v>
      </c>
      <c r="AY171">
        <f t="shared" si="17"/>
        <v>0</v>
      </c>
      <c r="AZ171" t="e">
        <v>#N/A</v>
      </c>
      <c r="BA171">
        <v>3</v>
      </c>
      <c r="BB171">
        <v>2019</v>
      </c>
      <c r="BC171">
        <v>3</v>
      </c>
      <c r="BD171">
        <v>2019</v>
      </c>
      <c r="BE171">
        <v>1</v>
      </c>
      <c r="BF171">
        <v>2019</v>
      </c>
    </row>
    <row r="172" spans="1:58" x14ac:dyDescent="0.2">
      <c r="A172" s="7">
        <v>4</v>
      </c>
      <c r="B172" s="7">
        <v>6</v>
      </c>
      <c r="C172" s="7">
        <v>0</v>
      </c>
      <c r="D172" s="7">
        <v>0</v>
      </c>
      <c r="E172" s="7">
        <f t="shared" si="12"/>
        <v>10</v>
      </c>
      <c r="F172" s="11" t="s">
        <v>102</v>
      </c>
      <c r="G172">
        <v>0</v>
      </c>
      <c r="H172">
        <v>0</v>
      </c>
      <c r="I172">
        <v>2</v>
      </c>
      <c r="J172">
        <v>7</v>
      </c>
      <c r="K172">
        <f t="shared" si="13"/>
        <v>9</v>
      </c>
      <c r="L172" t="s">
        <v>36</v>
      </c>
      <c r="M172">
        <v>94647.505659810005</v>
      </c>
      <c r="N172" s="7">
        <v>8</v>
      </c>
      <c r="O172" s="7">
        <v>10</v>
      </c>
      <c r="P172" s="7">
        <v>1</v>
      </c>
      <c r="Q172" s="7">
        <v>3</v>
      </c>
      <c r="R172" s="7">
        <f t="shared" si="14"/>
        <v>22</v>
      </c>
      <c r="S172" t="s">
        <v>68</v>
      </c>
      <c r="T172" s="7">
        <v>8</v>
      </c>
      <c r="U172" s="7">
        <v>22</v>
      </c>
      <c r="V172" s="7">
        <v>6</v>
      </c>
      <c r="W172" s="7">
        <v>6</v>
      </c>
      <c r="X172" s="7">
        <f t="shared" si="15"/>
        <v>42</v>
      </c>
      <c r="Y172" t="s">
        <v>83</v>
      </c>
      <c r="Z172">
        <v>31823.300277170001</v>
      </c>
      <c r="AA172" t="s">
        <v>617</v>
      </c>
      <c r="AB172">
        <v>71</v>
      </c>
      <c r="AC172">
        <v>1026</v>
      </c>
      <c r="AD172" t="s">
        <v>72</v>
      </c>
      <c r="AE172" t="s">
        <v>41</v>
      </c>
      <c r="AF172">
        <v>272</v>
      </c>
      <c r="AG172" s="8">
        <v>213</v>
      </c>
      <c r="AH172">
        <v>20</v>
      </c>
      <c r="AI172">
        <v>32</v>
      </c>
      <c r="AJ172">
        <v>-1</v>
      </c>
      <c r="AK172">
        <v>9.3896713615023469E-2</v>
      </c>
      <c r="AL172">
        <v>1.3703774196550633</v>
      </c>
      <c r="AM172">
        <v>13</v>
      </c>
      <c r="AN172">
        <v>0</v>
      </c>
      <c r="AO172">
        <v>0.90909090909090906</v>
      </c>
      <c r="AP172">
        <v>2</v>
      </c>
      <c r="AQ172">
        <v>0</v>
      </c>
      <c r="AR172">
        <v>0.4</v>
      </c>
      <c r="AS172">
        <v>0.6</v>
      </c>
      <c r="AT172">
        <v>0</v>
      </c>
      <c r="AU172">
        <v>126470.80593698</v>
      </c>
      <c r="AV172">
        <v>21</v>
      </c>
      <c r="AW172">
        <f t="shared" si="16"/>
        <v>1</v>
      </c>
      <c r="AX172">
        <v>1026</v>
      </c>
      <c r="AY172">
        <f t="shared" si="17"/>
        <v>1</v>
      </c>
      <c r="AZ172">
        <v>3.7720588235294117</v>
      </c>
      <c r="BA172">
        <v>1</v>
      </c>
      <c r="BB172">
        <v>2019</v>
      </c>
      <c r="BC172">
        <v>10</v>
      </c>
      <c r="BD172">
        <v>2019</v>
      </c>
      <c r="BE172">
        <v>1</v>
      </c>
      <c r="BF172">
        <v>2019</v>
      </c>
    </row>
    <row r="173" spans="1:58" x14ac:dyDescent="0.2">
      <c r="A173" s="7">
        <v>18</v>
      </c>
      <c r="B173" s="7">
        <v>10</v>
      </c>
      <c r="C173" s="7">
        <v>4</v>
      </c>
      <c r="D173" s="7">
        <v>5</v>
      </c>
      <c r="E173" s="7">
        <f t="shared" si="12"/>
        <v>37</v>
      </c>
      <c r="F173" s="11" t="s">
        <v>68</v>
      </c>
      <c r="G173">
        <v>6</v>
      </c>
      <c r="H173">
        <v>6</v>
      </c>
      <c r="I173">
        <v>0</v>
      </c>
      <c r="J173">
        <v>5</v>
      </c>
      <c r="K173">
        <f t="shared" si="13"/>
        <v>17</v>
      </c>
      <c r="L173" t="s">
        <v>68</v>
      </c>
      <c r="M173">
        <v>12832.8363715</v>
      </c>
      <c r="N173" s="7">
        <v>6</v>
      </c>
      <c r="O173" s="7">
        <v>6</v>
      </c>
      <c r="P173" s="7">
        <v>0</v>
      </c>
      <c r="Q173" s="7">
        <v>3</v>
      </c>
      <c r="R173" s="7">
        <f t="shared" si="14"/>
        <v>15</v>
      </c>
      <c r="S173" t="s">
        <v>68</v>
      </c>
      <c r="T173" s="7">
        <v>15</v>
      </c>
      <c r="U173" s="7">
        <v>11</v>
      </c>
      <c r="V173" s="7">
        <v>4</v>
      </c>
      <c r="W173" s="7">
        <v>6</v>
      </c>
      <c r="X173" s="7">
        <f t="shared" si="15"/>
        <v>36</v>
      </c>
      <c r="Y173" t="s">
        <v>68</v>
      </c>
      <c r="Z173">
        <v>67131.545986259996</v>
      </c>
      <c r="AA173" t="s">
        <v>618</v>
      </c>
      <c r="AB173" t="e">
        <v>#N/A</v>
      </c>
      <c r="AF173">
        <v>7</v>
      </c>
      <c r="AG173" s="8">
        <v>245</v>
      </c>
      <c r="AH173">
        <v>21</v>
      </c>
      <c r="AI173">
        <v>-1</v>
      </c>
      <c r="AJ173">
        <v>-20</v>
      </c>
      <c r="AK173">
        <v>8.5714285714285715E-2</v>
      </c>
      <c r="AL173">
        <v>1.3416407864998738</v>
      </c>
      <c r="AM173">
        <v>-2</v>
      </c>
      <c r="AN173">
        <v>1</v>
      </c>
      <c r="AO173">
        <v>1.4</v>
      </c>
      <c r="AP173">
        <v>0.56756756756756754</v>
      </c>
      <c r="AQ173">
        <v>0.13513513513513514</v>
      </c>
      <c r="AR173">
        <v>0.48648648648648651</v>
      </c>
      <c r="AS173">
        <v>0.27027027027027029</v>
      </c>
      <c r="AT173">
        <v>0.10810810810810811</v>
      </c>
      <c r="AU173">
        <v>79964.382357759998</v>
      </c>
      <c r="AV173" t="s">
        <v>489</v>
      </c>
      <c r="AW173" t="str">
        <f t="shared" si="16"/>
        <v>n/a</v>
      </c>
      <c r="AY173" t="e">
        <f t="shared" si="17"/>
        <v>#N/A</v>
      </c>
      <c r="AZ173" t="e">
        <v>#N/A</v>
      </c>
      <c r="BA173">
        <v>6</v>
      </c>
      <c r="BB173">
        <v>2018</v>
      </c>
      <c r="BC173">
        <v>6</v>
      </c>
      <c r="BD173">
        <v>2018</v>
      </c>
      <c r="BE173">
        <v>1</v>
      </c>
      <c r="BF173">
        <v>2018</v>
      </c>
    </row>
    <row r="174" spans="1:58" x14ac:dyDescent="0.2">
      <c r="A174" s="7">
        <v>5</v>
      </c>
      <c r="B174" s="7">
        <v>21</v>
      </c>
      <c r="C174" s="7">
        <v>0</v>
      </c>
      <c r="D174" s="7">
        <v>0</v>
      </c>
      <c r="E174" s="7">
        <f t="shared" si="12"/>
        <v>26</v>
      </c>
      <c r="F174" s="11" t="s">
        <v>36</v>
      </c>
      <c r="G174">
        <v>5</v>
      </c>
      <c r="H174">
        <v>21</v>
      </c>
      <c r="I174">
        <v>0</v>
      </c>
      <c r="J174">
        <v>0</v>
      </c>
      <c r="K174">
        <f t="shared" si="13"/>
        <v>26</v>
      </c>
      <c r="L174" t="s">
        <v>36</v>
      </c>
      <c r="M174">
        <v>15603.008544169999</v>
      </c>
      <c r="N174" s="7">
        <v>6</v>
      </c>
      <c r="O174" s="7">
        <v>21</v>
      </c>
      <c r="P174" s="7">
        <v>0</v>
      </c>
      <c r="Q174" s="7">
        <v>0</v>
      </c>
      <c r="R174" s="7">
        <f t="shared" si="14"/>
        <v>27</v>
      </c>
      <c r="S174" t="s">
        <v>36</v>
      </c>
      <c r="T174" s="7">
        <v>6</v>
      </c>
      <c r="U174" s="7">
        <v>21</v>
      </c>
      <c r="V174" s="7">
        <v>0</v>
      </c>
      <c r="W174" s="7">
        <v>0</v>
      </c>
      <c r="X174" s="7">
        <f t="shared" si="15"/>
        <v>27</v>
      </c>
      <c r="Y174" t="s">
        <v>36</v>
      </c>
      <c r="Z174">
        <v>2849.62932</v>
      </c>
      <c r="AA174" t="s">
        <v>619</v>
      </c>
      <c r="AB174">
        <v>41</v>
      </c>
      <c r="AC174">
        <v>16</v>
      </c>
      <c r="AD174" t="s">
        <v>140</v>
      </c>
      <c r="AE174" t="s">
        <v>41</v>
      </c>
      <c r="AF174" t="e">
        <v>#N/A</v>
      </c>
      <c r="AG174" s="8">
        <v>0</v>
      </c>
      <c r="AH174">
        <v>0</v>
      </c>
      <c r="AI174">
        <v>1</v>
      </c>
      <c r="AJ174">
        <v>0</v>
      </c>
      <c r="AK174" t="e">
        <v>#N/A</v>
      </c>
      <c r="AL174" t="e">
        <v>#N/A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0.19230769230769232</v>
      </c>
      <c r="AS174">
        <v>0.80769230769230771</v>
      </c>
      <c r="AT174">
        <v>0</v>
      </c>
      <c r="AU174">
        <v>18452.637864169999</v>
      </c>
      <c r="AV174">
        <v>8</v>
      </c>
      <c r="AW174">
        <f t="shared" si="16"/>
        <v>0</v>
      </c>
      <c r="AX174">
        <v>16</v>
      </c>
      <c r="AY174">
        <f t="shared" si="17"/>
        <v>1</v>
      </c>
      <c r="AZ174" t="e">
        <v>#N/A</v>
      </c>
      <c r="BA174">
        <v>7</v>
      </c>
      <c r="BB174">
        <v>2019</v>
      </c>
      <c r="BC174">
        <v>7</v>
      </c>
      <c r="BD174">
        <v>2019</v>
      </c>
      <c r="BE174">
        <v>2</v>
      </c>
      <c r="BF174">
        <v>2019</v>
      </c>
    </row>
    <row r="175" spans="1:58" x14ac:dyDescent="0.2">
      <c r="A175" s="7">
        <v>20</v>
      </c>
      <c r="B175" s="7">
        <v>36</v>
      </c>
      <c r="C175" s="7">
        <v>10</v>
      </c>
      <c r="D175" s="7">
        <v>9</v>
      </c>
      <c r="E175" s="7">
        <f t="shared" si="12"/>
        <v>75</v>
      </c>
      <c r="F175" s="11" t="e">
        <v>#N/A</v>
      </c>
      <c r="G175">
        <v>20</v>
      </c>
      <c r="H175">
        <v>36</v>
      </c>
      <c r="I175">
        <v>10</v>
      </c>
      <c r="J175">
        <v>9</v>
      </c>
      <c r="K175">
        <f t="shared" si="13"/>
        <v>75</v>
      </c>
      <c r="L175" t="e">
        <v>#N/A</v>
      </c>
      <c r="M175">
        <v>11156.63794597</v>
      </c>
      <c r="N175" s="7">
        <v>20</v>
      </c>
      <c r="O175" s="7">
        <v>40</v>
      </c>
      <c r="P175" s="7">
        <v>10</v>
      </c>
      <c r="Q175" s="7">
        <v>8</v>
      </c>
      <c r="R175" s="7">
        <f t="shared" si="14"/>
        <v>78</v>
      </c>
      <c r="S175" t="e">
        <v>#N/A</v>
      </c>
      <c r="T175" s="7">
        <v>20</v>
      </c>
      <c r="U175" s="7">
        <v>40</v>
      </c>
      <c r="V175" s="7">
        <v>10</v>
      </c>
      <c r="W175" s="7">
        <v>8</v>
      </c>
      <c r="X175" s="7">
        <f t="shared" si="15"/>
        <v>78</v>
      </c>
      <c r="Y175" t="e">
        <v>#N/A</v>
      </c>
      <c r="Z175">
        <v>7379.1894802700008</v>
      </c>
      <c r="AA175" t="s">
        <v>164</v>
      </c>
      <c r="AB175">
        <v>43</v>
      </c>
      <c r="AC175">
        <v>0</v>
      </c>
      <c r="AD175" t="s">
        <v>165</v>
      </c>
      <c r="AE175" t="s">
        <v>41</v>
      </c>
      <c r="AF175" t="e">
        <v>#N/A</v>
      </c>
      <c r="AG175" s="8">
        <v>182</v>
      </c>
      <c r="AH175">
        <v>0</v>
      </c>
      <c r="AI175">
        <v>3</v>
      </c>
      <c r="AJ175">
        <v>0</v>
      </c>
      <c r="AK175">
        <v>0</v>
      </c>
      <c r="AL175">
        <v>0</v>
      </c>
      <c r="AM175">
        <v>3</v>
      </c>
      <c r="AN175">
        <v>0</v>
      </c>
      <c r="AO175">
        <v>0</v>
      </c>
      <c r="AP175">
        <v>0</v>
      </c>
      <c r="AQ175">
        <v>0.12</v>
      </c>
      <c r="AR175">
        <v>0.26666666666666666</v>
      </c>
      <c r="AS175">
        <v>0.48</v>
      </c>
      <c r="AT175">
        <v>0.13333333333333333</v>
      </c>
      <c r="AU175">
        <v>18535.827426240001</v>
      </c>
      <c r="AV175">
        <v>9</v>
      </c>
      <c r="AW175">
        <f t="shared" si="16"/>
        <v>0</v>
      </c>
      <c r="AX175">
        <v>0</v>
      </c>
      <c r="AY175">
        <f t="shared" si="17"/>
        <v>0</v>
      </c>
      <c r="AZ175" t="e">
        <v>#N/A</v>
      </c>
      <c r="BA175">
        <v>4</v>
      </c>
      <c r="BB175">
        <v>2020</v>
      </c>
      <c r="BC175">
        <v>4</v>
      </c>
      <c r="BD175">
        <v>2020</v>
      </c>
      <c r="BE175">
        <v>1</v>
      </c>
      <c r="BF175">
        <v>2020</v>
      </c>
    </row>
    <row r="176" spans="1:58" x14ac:dyDescent="0.2">
      <c r="A176" s="7">
        <v>0</v>
      </c>
      <c r="B176" s="7">
        <v>0</v>
      </c>
      <c r="C176" s="7">
        <v>0</v>
      </c>
      <c r="D176" s="7">
        <v>0</v>
      </c>
      <c r="E176" s="7">
        <f t="shared" si="12"/>
        <v>0</v>
      </c>
      <c r="F176" s="11" t="e">
        <v>#N/A</v>
      </c>
      <c r="G176">
        <v>0</v>
      </c>
      <c r="H176">
        <v>0</v>
      </c>
      <c r="I176">
        <v>0</v>
      </c>
      <c r="J176">
        <v>0</v>
      </c>
      <c r="K176">
        <f t="shared" si="13"/>
        <v>0</v>
      </c>
      <c r="L176" t="e">
        <v>#N/A</v>
      </c>
      <c r="N176" s="7">
        <v>5</v>
      </c>
      <c r="O176" s="7">
        <v>19</v>
      </c>
      <c r="P176" s="7">
        <v>0</v>
      </c>
      <c r="Q176" s="7">
        <v>3</v>
      </c>
      <c r="R176" s="7">
        <f t="shared" si="14"/>
        <v>27</v>
      </c>
      <c r="S176" t="s">
        <v>36</v>
      </c>
      <c r="T176" s="7">
        <v>6</v>
      </c>
      <c r="U176" s="7">
        <v>18</v>
      </c>
      <c r="V176" s="7">
        <v>2</v>
      </c>
      <c r="W176" s="7">
        <v>3</v>
      </c>
      <c r="X176" s="7">
        <f t="shared" si="15"/>
        <v>29</v>
      </c>
      <c r="Y176" t="s">
        <v>36</v>
      </c>
      <c r="Z176">
        <v>39036.514002019998</v>
      </c>
      <c r="AA176" t="s">
        <v>620</v>
      </c>
      <c r="AB176">
        <v>56</v>
      </c>
      <c r="AC176">
        <v>0</v>
      </c>
      <c r="AD176" t="s">
        <v>73</v>
      </c>
      <c r="AE176" t="s">
        <v>75</v>
      </c>
      <c r="AF176" t="e">
        <v>#N/A</v>
      </c>
      <c r="AG176" s="8">
        <v>81</v>
      </c>
      <c r="AH176">
        <v>2</v>
      </c>
      <c r="AI176">
        <v>29</v>
      </c>
      <c r="AJ176">
        <v>0</v>
      </c>
      <c r="AK176">
        <v>2.4691358024691357E-2</v>
      </c>
      <c r="AL176">
        <v>0.22222222222222221</v>
      </c>
      <c r="AM176">
        <v>27</v>
      </c>
      <c r="AN176">
        <v>0</v>
      </c>
      <c r="AO176">
        <v>7.407407407407407E-2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>
        <v>39036.514002019998</v>
      </c>
      <c r="AV176">
        <v>4</v>
      </c>
      <c r="AW176">
        <f t="shared" si="16"/>
        <v>0</v>
      </c>
      <c r="AX176">
        <v>0</v>
      </c>
      <c r="AY176">
        <f t="shared" si="17"/>
        <v>0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>
        <v>8</v>
      </c>
      <c r="BF176">
        <v>2019</v>
      </c>
    </row>
    <row r="177" spans="1:58" x14ac:dyDescent="0.2">
      <c r="A177" s="7">
        <v>3</v>
      </c>
      <c r="B177" s="7">
        <v>15</v>
      </c>
      <c r="C177" s="7">
        <v>0</v>
      </c>
      <c r="D177" s="7">
        <v>6</v>
      </c>
      <c r="E177" s="7">
        <f t="shared" si="12"/>
        <v>24</v>
      </c>
      <c r="F177" s="11" t="e">
        <v>#N/A</v>
      </c>
      <c r="G177">
        <v>3</v>
      </c>
      <c r="H177">
        <v>15</v>
      </c>
      <c r="I177">
        <v>0</v>
      </c>
      <c r="J177">
        <v>6</v>
      </c>
      <c r="K177">
        <f t="shared" si="13"/>
        <v>24</v>
      </c>
      <c r="L177" t="e">
        <v>#N/A</v>
      </c>
      <c r="M177">
        <v>11861.132193969999</v>
      </c>
      <c r="N177" s="7">
        <v>3</v>
      </c>
      <c r="O177" s="7">
        <v>15</v>
      </c>
      <c r="P177" s="7">
        <v>0</v>
      </c>
      <c r="Q177" s="7">
        <v>3</v>
      </c>
      <c r="R177" s="7">
        <f t="shared" si="14"/>
        <v>21</v>
      </c>
      <c r="S177" t="e">
        <v>#N/A</v>
      </c>
      <c r="T177" s="7">
        <v>5</v>
      </c>
      <c r="U177" s="7">
        <v>15</v>
      </c>
      <c r="V177" s="7">
        <v>0</v>
      </c>
      <c r="W177" s="7">
        <v>5</v>
      </c>
      <c r="X177" s="7">
        <f t="shared" si="15"/>
        <v>25</v>
      </c>
      <c r="Y177" t="e">
        <v>#N/A</v>
      </c>
      <c r="Z177">
        <v>34160.739428940004</v>
      </c>
      <c r="AA177" t="s">
        <v>166</v>
      </c>
      <c r="AB177">
        <v>56</v>
      </c>
      <c r="AC177">
        <v>0</v>
      </c>
      <c r="AD177" t="s">
        <v>73</v>
      </c>
      <c r="AE177" t="s">
        <v>75</v>
      </c>
      <c r="AF177" t="e">
        <v>#N/A</v>
      </c>
      <c r="AG177" s="8">
        <v>109</v>
      </c>
      <c r="AH177">
        <v>4</v>
      </c>
      <c r="AI177">
        <v>1</v>
      </c>
      <c r="AJ177">
        <v>0</v>
      </c>
      <c r="AK177">
        <v>3.669724770642202E-2</v>
      </c>
      <c r="AL177">
        <v>0.38313051408846055</v>
      </c>
      <c r="AM177">
        <v>-3</v>
      </c>
      <c r="AN177">
        <v>1</v>
      </c>
      <c r="AO177">
        <v>0.19047619047619047</v>
      </c>
      <c r="AP177">
        <v>0.16666666666666666</v>
      </c>
      <c r="AQ177">
        <v>0.25</v>
      </c>
      <c r="AR177">
        <v>0.125</v>
      </c>
      <c r="AS177">
        <v>0.625</v>
      </c>
      <c r="AT177">
        <v>0</v>
      </c>
      <c r="AU177">
        <v>46021.871622910003</v>
      </c>
      <c r="AV177">
        <v>4</v>
      </c>
      <c r="AW177">
        <f t="shared" si="16"/>
        <v>0</v>
      </c>
      <c r="AX177">
        <v>0</v>
      </c>
      <c r="AY177">
        <f t="shared" si="17"/>
        <v>0</v>
      </c>
      <c r="AZ177" t="e">
        <v>#N/A</v>
      </c>
      <c r="BA177">
        <v>4</v>
      </c>
      <c r="BB177">
        <v>2020</v>
      </c>
      <c r="BC177">
        <v>4</v>
      </c>
      <c r="BD177">
        <v>2020</v>
      </c>
      <c r="BE177">
        <v>1</v>
      </c>
      <c r="BF177">
        <v>2020</v>
      </c>
    </row>
    <row r="178" spans="1:58" x14ac:dyDescent="0.2">
      <c r="A178" s="7">
        <v>19</v>
      </c>
      <c r="B178" s="7">
        <v>34</v>
      </c>
      <c r="C178" s="7">
        <v>8</v>
      </c>
      <c r="D178" s="7">
        <v>2</v>
      </c>
      <c r="E178" s="7">
        <f t="shared" si="12"/>
        <v>63</v>
      </c>
      <c r="F178" s="11" t="s">
        <v>36</v>
      </c>
      <c r="G178">
        <v>19</v>
      </c>
      <c r="H178">
        <v>34</v>
      </c>
      <c r="I178">
        <v>8</v>
      </c>
      <c r="J178">
        <v>2</v>
      </c>
      <c r="K178">
        <f t="shared" si="13"/>
        <v>63</v>
      </c>
      <c r="L178" t="s">
        <v>36</v>
      </c>
      <c r="M178">
        <v>17175.438485819999</v>
      </c>
      <c r="N178" s="7">
        <v>15</v>
      </c>
      <c r="O178" s="7">
        <v>28</v>
      </c>
      <c r="P178" s="7">
        <v>4</v>
      </c>
      <c r="Q178" s="7">
        <v>0</v>
      </c>
      <c r="R178" s="7">
        <f t="shared" si="14"/>
        <v>47</v>
      </c>
      <c r="S178" t="s">
        <v>36</v>
      </c>
      <c r="T178" s="7">
        <v>17</v>
      </c>
      <c r="U178" s="7">
        <v>30</v>
      </c>
      <c r="V178" s="7">
        <v>5</v>
      </c>
      <c r="W178" s="7">
        <v>5</v>
      </c>
      <c r="X178" s="7">
        <f t="shared" si="15"/>
        <v>57</v>
      </c>
      <c r="Y178" t="s">
        <v>36</v>
      </c>
      <c r="Z178">
        <v>27026.55396917</v>
      </c>
      <c r="AA178" t="s">
        <v>621</v>
      </c>
      <c r="AB178">
        <v>22</v>
      </c>
      <c r="AC178">
        <v>0</v>
      </c>
      <c r="AD178" t="s">
        <v>167</v>
      </c>
      <c r="AE178" t="s">
        <v>75</v>
      </c>
      <c r="AF178" t="e">
        <v>#N/A</v>
      </c>
      <c r="AG178" s="8">
        <v>1</v>
      </c>
      <c r="AH178">
        <v>10</v>
      </c>
      <c r="AI178">
        <v>-6</v>
      </c>
      <c r="AJ178">
        <v>0</v>
      </c>
      <c r="AK178">
        <v>10</v>
      </c>
      <c r="AL178">
        <v>10</v>
      </c>
      <c r="AM178">
        <v>-16</v>
      </c>
      <c r="AN178">
        <v>1</v>
      </c>
      <c r="AO178">
        <v>0.21276595744680851</v>
      </c>
      <c r="AP178">
        <v>0.15873015873015872</v>
      </c>
      <c r="AQ178">
        <v>3.1746031746031744E-2</v>
      </c>
      <c r="AR178">
        <v>0.30158730158730157</v>
      </c>
      <c r="AS178">
        <v>0.53968253968253965</v>
      </c>
      <c r="AT178">
        <v>0.12698412698412698</v>
      </c>
      <c r="AU178">
        <v>44201.992454990002</v>
      </c>
      <c r="AV178">
        <v>11</v>
      </c>
      <c r="AW178">
        <f t="shared" si="16"/>
        <v>1</v>
      </c>
      <c r="AX178">
        <v>0</v>
      </c>
      <c r="AY178">
        <f t="shared" si="17"/>
        <v>0</v>
      </c>
      <c r="AZ178" t="e">
        <v>#N/A</v>
      </c>
      <c r="BA178">
        <v>4</v>
      </c>
      <c r="BB178">
        <v>2019</v>
      </c>
      <c r="BC178">
        <v>4</v>
      </c>
      <c r="BD178">
        <v>2019</v>
      </c>
      <c r="BE178">
        <v>1</v>
      </c>
      <c r="BF178">
        <v>2019</v>
      </c>
    </row>
    <row r="179" spans="1:58" x14ac:dyDescent="0.2">
      <c r="A179" s="7">
        <v>6</v>
      </c>
      <c r="B179" s="7">
        <v>22</v>
      </c>
      <c r="C179" s="7">
        <v>6</v>
      </c>
      <c r="D179" s="7">
        <v>4</v>
      </c>
      <c r="E179" s="7">
        <f t="shared" si="12"/>
        <v>38</v>
      </c>
      <c r="F179" s="11" t="s">
        <v>39</v>
      </c>
      <c r="G179">
        <v>6</v>
      </c>
      <c r="H179">
        <v>22</v>
      </c>
      <c r="I179">
        <v>6</v>
      </c>
      <c r="J179">
        <v>4</v>
      </c>
      <c r="K179">
        <f t="shared" si="13"/>
        <v>38</v>
      </c>
      <c r="L179" t="s">
        <v>39</v>
      </c>
      <c r="M179">
        <v>6262.3986399999994</v>
      </c>
      <c r="N179" s="7">
        <v>6</v>
      </c>
      <c r="O179" s="7">
        <v>32</v>
      </c>
      <c r="P179" s="7">
        <v>4</v>
      </c>
      <c r="Q179" s="7">
        <v>3</v>
      </c>
      <c r="R179" s="7">
        <f t="shared" si="14"/>
        <v>45</v>
      </c>
      <c r="S179" t="s">
        <v>39</v>
      </c>
      <c r="T179" s="7">
        <v>16</v>
      </c>
      <c r="U179" s="7">
        <v>28</v>
      </c>
      <c r="V179" s="7">
        <v>9</v>
      </c>
      <c r="W179" s="7">
        <v>8</v>
      </c>
      <c r="X179" s="7">
        <f t="shared" si="15"/>
        <v>61</v>
      </c>
      <c r="Y179" t="s">
        <v>42</v>
      </c>
      <c r="Z179">
        <v>45620.442735350007</v>
      </c>
      <c r="AA179" t="s">
        <v>622</v>
      </c>
      <c r="AB179">
        <v>67</v>
      </c>
      <c r="AC179">
        <v>0</v>
      </c>
      <c r="AD179" t="s">
        <v>79</v>
      </c>
      <c r="AE179" t="s">
        <v>41</v>
      </c>
      <c r="AF179" t="e">
        <v>#N/A</v>
      </c>
      <c r="AG179" s="8">
        <v>30</v>
      </c>
      <c r="AH179">
        <v>16</v>
      </c>
      <c r="AI179">
        <v>23</v>
      </c>
      <c r="AJ179">
        <v>0</v>
      </c>
      <c r="AK179">
        <v>0.53333333333333333</v>
      </c>
      <c r="AL179">
        <v>2.9211869733608857</v>
      </c>
      <c r="AM179">
        <v>7</v>
      </c>
      <c r="AN179">
        <v>0</v>
      </c>
      <c r="AO179">
        <v>0.35555555555555557</v>
      </c>
      <c r="AP179">
        <v>0.42105263157894735</v>
      </c>
      <c r="AQ179">
        <v>0.10526315789473684</v>
      </c>
      <c r="AR179">
        <v>0.15789473684210525</v>
      </c>
      <c r="AS179">
        <v>0.57894736842105265</v>
      </c>
      <c r="AT179">
        <v>0.15789473684210525</v>
      </c>
      <c r="AU179">
        <v>51882.841375350006</v>
      </c>
      <c r="AV179">
        <v>3</v>
      </c>
      <c r="AW179">
        <f t="shared" si="16"/>
        <v>0</v>
      </c>
      <c r="AX179">
        <v>0</v>
      </c>
      <c r="AY179">
        <f t="shared" si="17"/>
        <v>0</v>
      </c>
      <c r="AZ179" t="e">
        <v>#N/A</v>
      </c>
      <c r="BA179">
        <v>11</v>
      </c>
      <c r="BB179">
        <v>2019</v>
      </c>
      <c r="BC179">
        <v>11</v>
      </c>
      <c r="BD179">
        <v>2019</v>
      </c>
      <c r="BE179">
        <v>1</v>
      </c>
      <c r="BF179">
        <v>2020</v>
      </c>
    </row>
    <row r="180" spans="1:58" x14ac:dyDescent="0.2">
      <c r="A180" s="7">
        <v>4</v>
      </c>
      <c r="B180" s="7">
        <v>10</v>
      </c>
      <c r="C180" s="7">
        <v>0</v>
      </c>
      <c r="D180" s="7">
        <v>3</v>
      </c>
      <c r="E180" s="7">
        <f t="shared" si="12"/>
        <v>17</v>
      </c>
      <c r="F180" s="11" t="s">
        <v>39</v>
      </c>
      <c r="G180">
        <v>11</v>
      </c>
      <c r="H180">
        <v>35</v>
      </c>
      <c r="I180">
        <v>7</v>
      </c>
      <c r="J180">
        <v>7</v>
      </c>
      <c r="K180">
        <f t="shared" si="13"/>
        <v>60</v>
      </c>
      <c r="L180" t="s">
        <v>39</v>
      </c>
      <c r="M180">
        <v>13405.60020882</v>
      </c>
      <c r="N180" s="7">
        <v>14</v>
      </c>
      <c r="O180" s="7">
        <v>17</v>
      </c>
      <c r="P180" s="7">
        <v>7</v>
      </c>
      <c r="Q180" s="7">
        <v>6</v>
      </c>
      <c r="R180" s="7">
        <f t="shared" si="14"/>
        <v>44</v>
      </c>
      <c r="S180" t="s">
        <v>39</v>
      </c>
      <c r="T180" s="7">
        <v>4</v>
      </c>
      <c r="U180" s="7">
        <v>10</v>
      </c>
      <c r="V180" s="7">
        <v>0</v>
      </c>
      <c r="W180" s="7">
        <v>3</v>
      </c>
      <c r="X180" s="7">
        <f t="shared" si="15"/>
        <v>17</v>
      </c>
      <c r="Y180" t="s">
        <v>39</v>
      </c>
      <c r="Z180">
        <v>35069.933558080003</v>
      </c>
      <c r="AA180" t="s">
        <v>623</v>
      </c>
      <c r="AB180" t="e">
        <v>#N/A</v>
      </c>
      <c r="AF180">
        <v>22</v>
      </c>
      <c r="AG180" s="8">
        <v>135</v>
      </c>
      <c r="AH180">
        <v>-27</v>
      </c>
      <c r="AI180">
        <v>0</v>
      </c>
      <c r="AJ180">
        <v>43</v>
      </c>
      <c r="AK180">
        <v>-0.2</v>
      </c>
      <c r="AL180">
        <v>-2.3237900077244502</v>
      </c>
      <c r="AM180">
        <v>-16</v>
      </c>
      <c r="AN180">
        <v>1</v>
      </c>
      <c r="AO180">
        <v>-0.61363636363636365</v>
      </c>
      <c r="AP180">
        <v>-1.588235294117647</v>
      </c>
      <c r="AQ180">
        <v>0.17647058823529413</v>
      </c>
      <c r="AR180">
        <v>0.23529411764705882</v>
      </c>
      <c r="AS180">
        <v>0.58823529411764708</v>
      </c>
      <c r="AT180">
        <v>0</v>
      </c>
      <c r="AU180">
        <v>48475.5337669</v>
      </c>
      <c r="AV180" t="s">
        <v>489</v>
      </c>
      <c r="AW180" t="str">
        <f t="shared" si="16"/>
        <v>n/a</v>
      </c>
      <c r="AY180" t="e">
        <f t="shared" si="17"/>
        <v>#N/A</v>
      </c>
      <c r="AZ180" t="e">
        <v>#N/A</v>
      </c>
      <c r="BA180">
        <v>1</v>
      </c>
      <c r="BB180">
        <v>2018</v>
      </c>
      <c r="BC180">
        <v>1</v>
      </c>
      <c r="BD180">
        <v>2018</v>
      </c>
      <c r="BE180">
        <v>3</v>
      </c>
      <c r="BF180">
        <v>2018</v>
      </c>
    </row>
    <row r="181" spans="1:58" x14ac:dyDescent="0.2">
      <c r="A181" s="7">
        <v>2</v>
      </c>
      <c r="B181" s="7">
        <v>10</v>
      </c>
      <c r="C181" s="7">
        <v>3</v>
      </c>
      <c r="D181" s="7">
        <v>11</v>
      </c>
      <c r="E181" s="7">
        <f t="shared" si="12"/>
        <v>26</v>
      </c>
      <c r="F181" s="11" t="s">
        <v>36</v>
      </c>
      <c r="G181">
        <v>2</v>
      </c>
      <c r="H181">
        <v>10</v>
      </c>
      <c r="I181">
        <v>3</v>
      </c>
      <c r="J181">
        <v>11</v>
      </c>
      <c r="K181">
        <f t="shared" si="13"/>
        <v>26</v>
      </c>
      <c r="L181" t="s">
        <v>36</v>
      </c>
      <c r="M181">
        <v>16997.453705489999</v>
      </c>
      <c r="N181" s="7">
        <v>18</v>
      </c>
      <c r="O181" s="7">
        <v>40</v>
      </c>
      <c r="P181" s="7">
        <v>9</v>
      </c>
      <c r="Q181" s="7">
        <v>11</v>
      </c>
      <c r="R181" s="7">
        <f t="shared" si="14"/>
        <v>78</v>
      </c>
      <c r="S181" t="s">
        <v>36</v>
      </c>
      <c r="T181" s="7">
        <v>18</v>
      </c>
      <c r="U181" s="7">
        <v>40</v>
      </c>
      <c r="V181" s="7">
        <v>9</v>
      </c>
      <c r="W181" s="7">
        <v>11</v>
      </c>
      <c r="X181" s="7">
        <f t="shared" si="15"/>
        <v>78</v>
      </c>
      <c r="Y181" t="s">
        <v>36</v>
      </c>
      <c r="Z181">
        <v>7509.9545057900004</v>
      </c>
      <c r="AA181" t="s">
        <v>624</v>
      </c>
      <c r="AB181" t="e">
        <v>#N/A</v>
      </c>
      <c r="AF181">
        <v>6</v>
      </c>
      <c r="AG181" s="8">
        <v>243</v>
      </c>
      <c r="AH181">
        <v>0</v>
      </c>
      <c r="AI181">
        <v>52</v>
      </c>
      <c r="AJ181">
        <v>0</v>
      </c>
      <c r="AK181">
        <v>0</v>
      </c>
      <c r="AL181">
        <v>0</v>
      </c>
      <c r="AM181">
        <v>52</v>
      </c>
      <c r="AN181">
        <v>0</v>
      </c>
      <c r="AO181">
        <v>0</v>
      </c>
      <c r="AP181">
        <v>0</v>
      </c>
      <c r="AQ181">
        <v>0.42307692307692307</v>
      </c>
      <c r="AR181">
        <v>7.6923076923076927E-2</v>
      </c>
      <c r="AS181">
        <v>0.38461538461538464</v>
      </c>
      <c r="AT181">
        <v>0.11538461538461539</v>
      </c>
      <c r="AU181">
        <v>24507.408211279999</v>
      </c>
      <c r="AV181" t="s">
        <v>489</v>
      </c>
      <c r="AW181" t="str">
        <f t="shared" si="16"/>
        <v>n/a</v>
      </c>
      <c r="AY181" t="e">
        <f t="shared" si="17"/>
        <v>#N/A</v>
      </c>
      <c r="AZ181" t="e">
        <v>#N/A</v>
      </c>
      <c r="BA181">
        <v>3</v>
      </c>
      <c r="BB181">
        <v>2018</v>
      </c>
      <c r="BC181">
        <v>3</v>
      </c>
      <c r="BD181">
        <v>2018</v>
      </c>
      <c r="BE181">
        <v>1</v>
      </c>
      <c r="BF181">
        <v>2018</v>
      </c>
    </row>
    <row r="182" spans="1:58" x14ac:dyDescent="0.2">
      <c r="A182" s="7">
        <v>7</v>
      </c>
      <c r="B182" s="7">
        <v>10</v>
      </c>
      <c r="C182" s="7">
        <v>0</v>
      </c>
      <c r="D182" s="7">
        <v>0</v>
      </c>
      <c r="E182" s="7">
        <f t="shared" si="12"/>
        <v>17</v>
      </c>
      <c r="F182" s="11" t="s">
        <v>54</v>
      </c>
      <c r="G182">
        <v>7</v>
      </c>
      <c r="H182">
        <v>10</v>
      </c>
      <c r="I182">
        <v>0</v>
      </c>
      <c r="J182">
        <v>0</v>
      </c>
      <c r="K182">
        <f t="shared" si="13"/>
        <v>17</v>
      </c>
      <c r="L182" t="s">
        <v>54</v>
      </c>
      <c r="M182">
        <v>16417.236555790001</v>
      </c>
      <c r="N182" s="7">
        <v>17</v>
      </c>
      <c r="O182" s="7">
        <v>29</v>
      </c>
      <c r="P182" s="7">
        <v>8</v>
      </c>
      <c r="Q182" s="7">
        <v>11</v>
      </c>
      <c r="R182" s="7">
        <f t="shared" si="14"/>
        <v>65</v>
      </c>
      <c r="S182" t="s">
        <v>54</v>
      </c>
      <c r="T182" s="7">
        <v>17</v>
      </c>
      <c r="U182" s="7">
        <v>29</v>
      </c>
      <c r="V182" s="7">
        <v>8</v>
      </c>
      <c r="W182" s="7">
        <v>11</v>
      </c>
      <c r="X182" s="7">
        <f t="shared" si="15"/>
        <v>65</v>
      </c>
      <c r="Y182" t="s">
        <v>54</v>
      </c>
      <c r="Z182">
        <v>14424.3163592</v>
      </c>
      <c r="AA182" t="s">
        <v>625</v>
      </c>
      <c r="AB182">
        <v>67</v>
      </c>
      <c r="AC182">
        <v>23</v>
      </c>
      <c r="AD182" t="s">
        <v>168</v>
      </c>
      <c r="AE182" t="s">
        <v>41</v>
      </c>
      <c r="AF182" t="e">
        <v>#N/A</v>
      </c>
      <c r="AG182" s="8">
        <v>0</v>
      </c>
      <c r="AH182">
        <v>0</v>
      </c>
      <c r="AI182">
        <v>48</v>
      </c>
      <c r="AJ182">
        <v>0</v>
      </c>
      <c r="AK182" t="e">
        <v>#N/A</v>
      </c>
      <c r="AL182" t="e">
        <v>#N/A</v>
      </c>
      <c r="AM182">
        <v>48</v>
      </c>
      <c r="AN182">
        <v>0</v>
      </c>
      <c r="AO182">
        <v>0</v>
      </c>
      <c r="AP182">
        <v>0</v>
      </c>
      <c r="AQ182">
        <v>0</v>
      </c>
      <c r="AR182">
        <v>0.41176470588235292</v>
      </c>
      <c r="AS182">
        <v>0.58823529411764708</v>
      </c>
      <c r="AT182">
        <v>0</v>
      </c>
      <c r="AU182">
        <v>30841.552914990003</v>
      </c>
      <c r="AV182">
        <v>7</v>
      </c>
      <c r="AW182">
        <f t="shared" si="16"/>
        <v>0</v>
      </c>
      <c r="AX182">
        <v>23</v>
      </c>
      <c r="AY182">
        <f t="shared" si="17"/>
        <v>1</v>
      </c>
      <c r="AZ182" t="e">
        <v>#N/A</v>
      </c>
      <c r="BA182">
        <v>10</v>
      </c>
      <c r="BB182">
        <v>2019</v>
      </c>
      <c r="BC182">
        <v>10</v>
      </c>
      <c r="BD182">
        <v>2019</v>
      </c>
      <c r="BE182">
        <v>11</v>
      </c>
      <c r="BF182">
        <v>2019</v>
      </c>
    </row>
    <row r="183" spans="1:58" x14ac:dyDescent="0.2">
      <c r="A183" s="7">
        <v>17</v>
      </c>
      <c r="B183" s="7">
        <v>39</v>
      </c>
      <c r="C183" s="7">
        <v>7</v>
      </c>
      <c r="D183" s="7">
        <v>13</v>
      </c>
      <c r="E183" s="7">
        <f t="shared" si="12"/>
        <v>76</v>
      </c>
      <c r="F183" s="11" t="e">
        <v>#N/A</v>
      </c>
      <c r="G183">
        <v>0</v>
      </c>
      <c r="H183">
        <v>0</v>
      </c>
      <c r="I183">
        <v>2</v>
      </c>
      <c r="J183">
        <v>4</v>
      </c>
      <c r="K183">
        <f t="shared" si="13"/>
        <v>6</v>
      </c>
      <c r="L183" t="e">
        <v>#N/A</v>
      </c>
      <c r="M183">
        <v>60726.199133560003</v>
      </c>
      <c r="N183" s="7">
        <v>0</v>
      </c>
      <c r="O183" s="7">
        <v>0</v>
      </c>
      <c r="P183" s="7">
        <v>3</v>
      </c>
      <c r="Q183" s="7">
        <v>13</v>
      </c>
      <c r="R183" s="7">
        <f t="shared" si="14"/>
        <v>16</v>
      </c>
      <c r="S183" t="e">
        <v>#N/A</v>
      </c>
      <c r="T183" s="7">
        <v>0</v>
      </c>
      <c r="U183" s="7">
        <v>0</v>
      </c>
      <c r="V183" s="7">
        <v>3</v>
      </c>
      <c r="W183" s="7">
        <v>13</v>
      </c>
      <c r="X183" s="7">
        <f t="shared" si="15"/>
        <v>16</v>
      </c>
      <c r="Y183" t="e">
        <v>#N/A</v>
      </c>
      <c r="Z183">
        <v>3754.7248599999998</v>
      </c>
      <c r="AA183" t="s">
        <v>169</v>
      </c>
      <c r="AB183">
        <v>68</v>
      </c>
      <c r="AC183">
        <v>123</v>
      </c>
      <c r="AD183" t="s">
        <v>168</v>
      </c>
      <c r="AE183" t="s">
        <v>41</v>
      </c>
      <c r="AF183">
        <v>249</v>
      </c>
      <c r="AG183" s="8">
        <v>0</v>
      </c>
      <c r="AH183">
        <v>0</v>
      </c>
      <c r="AI183">
        <v>-60</v>
      </c>
      <c r="AJ183">
        <v>-70</v>
      </c>
      <c r="AK183" t="e">
        <v>#N/A</v>
      </c>
      <c r="AL183" t="e">
        <v>#N/A</v>
      </c>
      <c r="AM183">
        <v>10</v>
      </c>
      <c r="AN183">
        <v>0</v>
      </c>
      <c r="AO183">
        <v>0</v>
      </c>
      <c r="AP183">
        <v>0</v>
      </c>
      <c r="AQ183">
        <v>0.17105263157894737</v>
      </c>
      <c r="AR183">
        <v>0.22368421052631579</v>
      </c>
      <c r="AS183">
        <v>0.51315789473684215</v>
      </c>
      <c r="AT183">
        <v>9.2105263157894732E-2</v>
      </c>
      <c r="AU183">
        <v>64480.923993560005</v>
      </c>
      <c r="AV183">
        <v>12</v>
      </c>
      <c r="AW183">
        <f t="shared" si="16"/>
        <v>1</v>
      </c>
      <c r="AX183">
        <v>123</v>
      </c>
      <c r="AY183">
        <f t="shared" si="17"/>
        <v>1</v>
      </c>
      <c r="AZ183">
        <v>0.49397590361445781</v>
      </c>
      <c r="BA183">
        <v>1</v>
      </c>
      <c r="BB183">
        <v>2020</v>
      </c>
      <c r="BC183">
        <v>9</v>
      </c>
      <c r="BD183">
        <v>2020</v>
      </c>
      <c r="BE183">
        <v>9</v>
      </c>
      <c r="BF183">
        <v>2020</v>
      </c>
    </row>
    <row r="184" spans="1:58" x14ac:dyDescent="0.2">
      <c r="A184" s="7">
        <v>20</v>
      </c>
      <c r="B184" s="7">
        <v>34</v>
      </c>
      <c r="C184" s="7">
        <v>7</v>
      </c>
      <c r="D184" s="7">
        <v>8</v>
      </c>
      <c r="E184" s="7">
        <f t="shared" si="12"/>
        <v>69</v>
      </c>
      <c r="F184" s="11" t="s">
        <v>39</v>
      </c>
      <c r="G184">
        <v>20</v>
      </c>
      <c r="H184">
        <v>34</v>
      </c>
      <c r="I184">
        <v>7</v>
      </c>
      <c r="J184">
        <v>8</v>
      </c>
      <c r="K184">
        <f t="shared" si="13"/>
        <v>69</v>
      </c>
      <c r="L184" t="s">
        <v>39</v>
      </c>
      <c r="M184">
        <v>6478.8585736000005</v>
      </c>
      <c r="N184" s="7">
        <v>7</v>
      </c>
      <c r="O184" s="7">
        <v>13</v>
      </c>
      <c r="P184" s="7">
        <v>2</v>
      </c>
      <c r="Q184" s="7">
        <v>6</v>
      </c>
      <c r="R184" s="7">
        <f t="shared" si="14"/>
        <v>28</v>
      </c>
      <c r="S184" t="s">
        <v>36</v>
      </c>
      <c r="T184" s="7">
        <v>20</v>
      </c>
      <c r="U184" s="7">
        <v>13</v>
      </c>
      <c r="V184" s="7">
        <v>8</v>
      </c>
      <c r="W184" s="7">
        <v>6</v>
      </c>
      <c r="X184" s="7">
        <f t="shared" si="15"/>
        <v>47</v>
      </c>
      <c r="Y184" t="s">
        <v>39</v>
      </c>
      <c r="Z184">
        <v>35866.691406290003</v>
      </c>
      <c r="AA184" t="s">
        <v>626</v>
      </c>
      <c r="AB184">
        <v>46</v>
      </c>
      <c r="AC184">
        <v>0</v>
      </c>
      <c r="AD184" t="s">
        <v>73</v>
      </c>
      <c r="AE184" t="s">
        <v>41</v>
      </c>
      <c r="AF184" t="e">
        <v>#N/A</v>
      </c>
      <c r="AG184" s="8">
        <v>368</v>
      </c>
      <c r="AH184">
        <v>19</v>
      </c>
      <c r="AI184">
        <v>-22</v>
      </c>
      <c r="AJ184">
        <v>0</v>
      </c>
      <c r="AK184">
        <v>5.1630434782608696E-2</v>
      </c>
      <c r="AL184">
        <v>0.99044346677110517</v>
      </c>
      <c r="AM184">
        <v>-41</v>
      </c>
      <c r="AN184">
        <v>1</v>
      </c>
      <c r="AO184">
        <v>0.6785714285714286</v>
      </c>
      <c r="AP184">
        <v>0.27536231884057971</v>
      </c>
      <c r="AQ184">
        <v>0.11594202898550725</v>
      </c>
      <c r="AR184">
        <v>0.28985507246376813</v>
      </c>
      <c r="AS184">
        <v>0.49275362318840582</v>
      </c>
      <c r="AT184">
        <v>0.10144927536231885</v>
      </c>
      <c r="AU184">
        <v>42345.549979890005</v>
      </c>
      <c r="AV184">
        <v>4</v>
      </c>
      <c r="AW184">
        <f t="shared" si="16"/>
        <v>0</v>
      </c>
      <c r="AX184">
        <v>0</v>
      </c>
      <c r="AY184">
        <f t="shared" si="17"/>
        <v>0</v>
      </c>
      <c r="AZ184" t="e">
        <v>#N/A</v>
      </c>
      <c r="BA184">
        <v>11</v>
      </c>
      <c r="BB184">
        <v>2019</v>
      </c>
      <c r="BC184">
        <v>11</v>
      </c>
      <c r="BD184">
        <v>2019</v>
      </c>
      <c r="BE184">
        <v>1</v>
      </c>
      <c r="BF184">
        <v>2019</v>
      </c>
    </row>
    <row r="185" spans="1:58" x14ac:dyDescent="0.2">
      <c r="A185" s="7">
        <v>6</v>
      </c>
      <c r="B185" s="7">
        <v>24</v>
      </c>
      <c r="C185" s="7">
        <v>4</v>
      </c>
      <c r="D185" s="7">
        <v>4</v>
      </c>
      <c r="E185" s="7">
        <f t="shared" si="12"/>
        <v>38</v>
      </c>
      <c r="F185" s="11" t="s">
        <v>36</v>
      </c>
      <c r="G185">
        <v>7</v>
      </c>
      <c r="H185">
        <v>24</v>
      </c>
      <c r="I185">
        <v>4</v>
      </c>
      <c r="J185">
        <v>4</v>
      </c>
      <c r="K185">
        <f t="shared" si="13"/>
        <v>39</v>
      </c>
      <c r="L185" t="s">
        <v>36</v>
      </c>
      <c r="M185">
        <v>42873.382738929999</v>
      </c>
      <c r="N185" s="7">
        <v>6</v>
      </c>
      <c r="O185" s="7">
        <v>27</v>
      </c>
      <c r="P185" s="7">
        <v>4</v>
      </c>
      <c r="Q185" s="7">
        <v>4</v>
      </c>
      <c r="R185" s="7">
        <f t="shared" si="14"/>
        <v>41</v>
      </c>
      <c r="S185" t="s">
        <v>36</v>
      </c>
      <c r="T185" s="7">
        <v>5</v>
      </c>
      <c r="U185" s="7">
        <v>14</v>
      </c>
      <c r="V185" s="7">
        <v>4</v>
      </c>
      <c r="W185" s="7">
        <v>4</v>
      </c>
      <c r="X185" s="7">
        <f t="shared" si="15"/>
        <v>27</v>
      </c>
      <c r="Y185" t="s">
        <v>36</v>
      </c>
      <c r="Z185">
        <v>55338.33039522</v>
      </c>
      <c r="AA185" t="s">
        <v>170</v>
      </c>
      <c r="AB185">
        <v>68</v>
      </c>
      <c r="AC185">
        <v>0</v>
      </c>
      <c r="AD185" t="s">
        <v>171</v>
      </c>
      <c r="AE185" t="s">
        <v>75</v>
      </c>
      <c r="AF185">
        <v>160</v>
      </c>
      <c r="AG185" s="8">
        <v>264</v>
      </c>
      <c r="AH185">
        <v>-14</v>
      </c>
      <c r="AI185">
        <v>-11</v>
      </c>
      <c r="AJ185">
        <v>1</v>
      </c>
      <c r="AK185">
        <v>-5.3030303030303032E-2</v>
      </c>
      <c r="AL185">
        <v>-0.86164043685532909</v>
      </c>
      <c r="AM185">
        <v>2</v>
      </c>
      <c r="AN185">
        <v>0</v>
      </c>
      <c r="AO185">
        <v>-0.34146341463414637</v>
      </c>
      <c r="AP185">
        <v>-0.36842105263157893</v>
      </c>
      <c r="AQ185">
        <v>0.10526315789473684</v>
      </c>
      <c r="AR185">
        <v>0.15789473684210525</v>
      </c>
      <c r="AS185">
        <v>0.63157894736842102</v>
      </c>
      <c r="AT185">
        <v>0.10526315789473684</v>
      </c>
      <c r="AU185">
        <v>98211.713134149992</v>
      </c>
      <c r="AV185">
        <v>16</v>
      </c>
      <c r="AW185">
        <f t="shared" si="16"/>
        <v>1</v>
      </c>
      <c r="AX185">
        <v>0</v>
      </c>
      <c r="AY185">
        <f t="shared" si="17"/>
        <v>0</v>
      </c>
      <c r="AZ185">
        <v>0</v>
      </c>
      <c r="BA185">
        <v>1</v>
      </c>
      <c r="BB185">
        <v>2020</v>
      </c>
      <c r="BC185">
        <v>6</v>
      </c>
      <c r="BD185">
        <v>2020</v>
      </c>
      <c r="BE185">
        <v>1</v>
      </c>
      <c r="BF185">
        <v>2020</v>
      </c>
    </row>
    <row r="186" spans="1:58" x14ac:dyDescent="0.2">
      <c r="A186" s="7">
        <v>16</v>
      </c>
      <c r="B186" s="7">
        <v>28</v>
      </c>
      <c r="C186" s="7">
        <v>3</v>
      </c>
      <c r="D186" s="7">
        <v>8</v>
      </c>
      <c r="E186" s="7">
        <f t="shared" si="12"/>
        <v>55</v>
      </c>
      <c r="F186" s="11" t="s">
        <v>36</v>
      </c>
      <c r="G186">
        <v>16</v>
      </c>
      <c r="H186">
        <v>28</v>
      </c>
      <c r="I186">
        <v>3</v>
      </c>
      <c r="J186">
        <v>8</v>
      </c>
      <c r="K186">
        <f t="shared" si="13"/>
        <v>55</v>
      </c>
      <c r="L186" t="s">
        <v>36</v>
      </c>
      <c r="M186">
        <v>18248.41877633</v>
      </c>
      <c r="N186" s="7">
        <v>20</v>
      </c>
      <c r="O186" s="7">
        <v>33</v>
      </c>
      <c r="P186" s="7">
        <v>6</v>
      </c>
      <c r="Q186" s="7">
        <v>7</v>
      </c>
      <c r="R186" s="7">
        <f t="shared" si="14"/>
        <v>66</v>
      </c>
      <c r="S186" t="e">
        <v>#N/A</v>
      </c>
      <c r="T186" s="7">
        <v>19</v>
      </c>
      <c r="U186" s="7">
        <v>33</v>
      </c>
      <c r="V186" s="7">
        <v>6</v>
      </c>
      <c r="W186" s="7">
        <v>8</v>
      </c>
      <c r="X186" s="7">
        <f t="shared" si="15"/>
        <v>66</v>
      </c>
      <c r="Y186" t="s">
        <v>36</v>
      </c>
      <c r="Z186">
        <v>14524.877833119999</v>
      </c>
      <c r="AA186" t="s">
        <v>627</v>
      </c>
      <c r="AB186">
        <v>36</v>
      </c>
      <c r="AC186">
        <v>0</v>
      </c>
      <c r="AD186" t="s">
        <v>172</v>
      </c>
      <c r="AE186" t="s">
        <v>41</v>
      </c>
      <c r="AF186" t="e">
        <v>#N/A</v>
      </c>
      <c r="AG186" s="8">
        <v>58</v>
      </c>
      <c r="AH186">
        <v>0</v>
      </c>
      <c r="AI186">
        <v>11</v>
      </c>
      <c r="AJ186">
        <v>0</v>
      </c>
      <c r="AK186">
        <v>0</v>
      </c>
      <c r="AL186">
        <v>0</v>
      </c>
      <c r="AM186">
        <v>11</v>
      </c>
      <c r="AN186">
        <v>0</v>
      </c>
      <c r="AO186">
        <v>0</v>
      </c>
      <c r="AP186">
        <v>0</v>
      </c>
      <c r="AQ186">
        <v>0.14545454545454545</v>
      </c>
      <c r="AR186">
        <v>0.29090909090909089</v>
      </c>
      <c r="AS186">
        <v>0.50909090909090904</v>
      </c>
      <c r="AT186">
        <v>5.4545454545454543E-2</v>
      </c>
      <c r="AU186">
        <v>32773.296609450001</v>
      </c>
      <c r="AV186">
        <v>6</v>
      </c>
      <c r="AW186">
        <f t="shared" si="16"/>
        <v>0</v>
      </c>
      <c r="AX186">
        <v>0</v>
      </c>
      <c r="AY186">
        <f t="shared" si="17"/>
        <v>0</v>
      </c>
      <c r="AZ186" t="e">
        <v>#N/A</v>
      </c>
      <c r="BA186">
        <v>5</v>
      </c>
      <c r="BB186">
        <v>2019</v>
      </c>
      <c r="BC186">
        <v>5</v>
      </c>
      <c r="BD186">
        <v>2019</v>
      </c>
      <c r="BE186">
        <v>1</v>
      </c>
      <c r="BF186">
        <v>2019</v>
      </c>
    </row>
    <row r="187" spans="1:58" x14ac:dyDescent="0.2">
      <c r="A187" s="7">
        <v>0</v>
      </c>
      <c r="B187" s="7">
        <v>0</v>
      </c>
      <c r="C187" s="7">
        <v>0</v>
      </c>
      <c r="D187" s="7">
        <v>0</v>
      </c>
      <c r="E187" s="7">
        <f t="shared" si="12"/>
        <v>0</v>
      </c>
      <c r="F187" s="11" t="e">
        <v>#N/A</v>
      </c>
      <c r="G187">
        <v>0</v>
      </c>
      <c r="H187">
        <v>0</v>
      </c>
      <c r="I187">
        <v>0</v>
      </c>
      <c r="J187">
        <v>0</v>
      </c>
      <c r="K187">
        <f t="shared" si="13"/>
        <v>0</v>
      </c>
      <c r="L187" t="e">
        <v>#N/A</v>
      </c>
      <c r="N187" s="7">
        <v>5</v>
      </c>
      <c r="O187" s="7">
        <v>11</v>
      </c>
      <c r="P187" s="7">
        <v>0</v>
      </c>
      <c r="Q187" s="7">
        <v>3</v>
      </c>
      <c r="R187" s="7">
        <f t="shared" si="14"/>
        <v>19</v>
      </c>
      <c r="S187" t="e">
        <v>#N/A</v>
      </c>
      <c r="T187" s="7">
        <v>5</v>
      </c>
      <c r="U187" s="7">
        <v>11</v>
      </c>
      <c r="V187" s="7">
        <v>0</v>
      </c>
      <c r="W187" s="7">
        <v>3</v>
      </c>
      <c r="X187" s="7">
        <f t="shared" si="15"/>
        <v>19</v>
      </c>
      <c r="Y187" t="e">
        <v>#N/A</v>
      </c>
      <c r="Z187">
        <v>4269.0014600000004</v>
      </c>
      <c r="AA187" t="s">
        <v>628</v>
      </c>
      <c r="AB187" t="e">
        <v>#N/A</v>
      </c>
      <c r="AF187" t="e">
        <v>#N/A</v>
      </c>
      <c r="AG187" s="8">
        <v>0</v>
      </c>
      <c r="AH187">
        <v>0</v>
      </c>
      <c r="AI187">
        <v>19</v>
      </c>
      <c r="AJ187">
        <v>0</v>
      </c>
      <c r="AK187" t="e">
        <v>#N/A</v>
      </c>
      <c r="AL187" t="e">
        <v>#N/A</v>
      </c>
      <c r="AM187">
        <v>19</v>
      </c>
      <c r="AN187">
        <v>0</v>
      </c>
      <c r="AO187">
        <v>0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>
        <v>4269.0014600000004</v>
      </c>
      <c r="AV187" t="s">
        <v>489</v>
      </c>
      <c r="AW187" t="str">
        <f t="shared" si="16"/>
        <v>n/a</v>
      </c>
      <c r="AY187" t="e">
        <f t="shared" si="17"/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>
        <v>7</v>
      </c>
      <c r="BF187">
        <v>2018</v>
      </c>
    </row>
    <row r="188" spans="1:58" x14ac:dyDescent="0.2">
      <c r="A188" s="7">
        <v>8</v>
      </c>
      <c r="B188" s="7">
        <v>11</v>
      </c>
      <c r="C188" s="7">
        <v>4</v>
      </c>
      <c r="D188" s="7">
        <v>3</v>
      </c>
      <c r="E188" s="7">
        <f t="shared" si="12"/>
        <v>26</v>
      </c>
      <c r="F188" s="11" t="s">
        <v>36</v>
      </c>
      <c r="G188">
        <v>8</v>
      </c>
      <c r="H188">
        <v>11</v>
      </c>
      <c r="I188">
        <v>4</v>
      </c>
      <c r="J188">
        <v>3</v>
      </c>
      <c r="K188">
        <f t="shared" si="13"/>
        <v>26</v>
      </c>
      <c r="L188" t="s">
        <v>36</v>
      </c>
      <c r="M188">
        <v>32106.151493130012</v>
      </c>
      <c r="N188" s="7">
        <v>7</v>
      </c>
      <c r="O188" s="7">
        <v>11</v>
      </c>
      <c r="P188" s="7">
        <v>4</v>
      </c>
      <c r="Q188" s="7">
        <v>3</v>
      </c>
      <c r="R188" s="7">
        <f t="shared" si="14"/>
        <v>25</v>
      </c>
      <c r="S188" t="s">
        <v>36</v>
      </c>
      <c r="T188" s="7">
        <v>7</v>
      </c>
      <c r="U188" s="7">
        <v>11</v>
      </c>
      <c r="V188" s="7">
        <v>4</v>
      </c>
      <c r="W188" s="7">
        <v>3</v>
      </c>
      <c r="X188" s="7">
        <f t="shared" si="15"/>
        <v>25</v>
      </c>
      <c r="Y188" t="s">
        <v>36</v>
      </c>
      <c r="Z188">
        <v>4567.6746096400002</v>
      </c>
      <c r="AA188" t="s">
        <v>629</v>
      </c>
      <c r="AB188" t="e">
        <v>#N/A</v>
      </c>
      <c r="AF188" t="e">
        <v>#N/A</v>
      </c>
      <c r="AG188" s="8">
        <v>0</v>
      </c>
      <c r="AH188">
        <v>0</v>
      </c>
      <c r="AI188">
        <v>-1</v>
      </c>
      <c r="AJ188">
        <v>0</v>
      </c>
      <c r="AK188" t="e">
        <v>#N/A</v>
      </c>
      <c r="AL188" t="e">
        <v>#N/A</v>
      </c>
      <c r="AM188">
        <v>-1</v>
      </c>
      <c r="AN188">
        <v>1</v>
      </c>
      <c r="AO188">
        <v>0</v>
      </c>
      <c r="AP188">
        <v>0</v>
      </c>
      <c r="AQ188">
        <v>0.11538461538461539</v>
      </c>
      <c r="AR188">
        <v>0.30769230769230771</v>
      </c>
      <c r="AS188">
        <v>0.42307692307692307</v>
      </c>
      <c r="AT188">
        <v>0.15384615384615385</v>
      </c>
      <c r="AU188">
        <v>36673.826102770014</v>
      </c>
      <c r="AV188" t="s">
        <v>489</v>
      </c>
      <c r="AW188" t="str">
        <f t="shared" si="16"/>
        <v>n/a</v>
      </c>
      <c r="AY188" t="e">
        <f t="shared" si="17"/>
        <v>#N/A</v>
      </c>
      <c r="AZ188" t="e">
        <v>#N/A</v>
      </c>
      <c r="BA188">
        <v>5</v>
      </c>
      <c r="BB188">
        <v>2018</v>
      </c>
      <c r="BC188">
        <v>5</v>
      </c>
      <c r="BD188">
        <v>2018</v>
      </c>
      <c r="BE188">
        <v>12</v>
      </c>
      <c r="BF188">
        <v>2018</v>
      </c>
    </row>
    <row r="189" spans="1:58" x14ac:dyDescent="0.2">
      <c r="A189" s="7">
        <v>9</v>
      </c>
      <c r="B189" s="7">
        <v>13</v>
      </c>
      <c r="C189" s="7">
        <v>1</v>
      </c>
      <c r="D189" s="7">
        <v>5</v>
      </c>
      <c r="E189" s="7">
        <f t="shared" si="12"/>
        <v>28</v>
      </c>
      <c r="F189" s="11" t="e">
        <v>#N/A</v>
      </c>
      <c r="G189">
        <v>9</v>
      </c>
      <c r="H189">
        <v>11</v>
      </c>
      <c r="I189">
        <v>4</v>
      </c>
      <c r="J189">
        <v>23</v>
      </c>
      <c r="K189">
        <f t="shared" si="13"/>
        <v>47</v>
      </c>
      <c r="L189" t="e">
        <v>#N/A</v>
      </c>
      <c r="M189">
        <v>55065.557513810003</v>
      </c>
      <c r="N189" s="7">
        <v>12</v>
      </c>
      <c r="O189" s="7">
        <v>14</v>
      </c>
      <c r="P189" s="7">
        <v>4</v>
      </c>
      <c r="Q189" s="7">
        <v>6</v>
      </c>
      <c r="R189" s="7">
        <f t="shared" si="14"/>
        <v>36</v>
      </c>
      <c r="S189" t="e">
        <v>#N/A</v>
      </c>
      <c r="T189" s="7">
        <v>12</v>
      </c>
      <c r="U189" s="7">
        <v>14</v>
      </c>
      <c r="V189" s="7">
        <v>4</v>
      </c>
      <c r="W189" s="7">
        <v>6</v>
      </c>
      <c r="X189" s="7">
        <f t="shared" si="15"/>
        <v>36</v>
      </c>
      <c r="Y189" t="e">
        <v>#N/A</v>
      </c>
      <c r="Z189">
        <v>69716.798221349993</v>
      </c>
      <c r="AA189" t="s">
        <v>173</v>
      </c>
      <c r="AB189">
        <v>74</v>
      </c>
      <c r="AC189">
        <v>82</v>
      </c>
      <c r="AD189" t="s">
        <v>174</v>
      </c>
      <c r="AE189" t="s">
        <v>41</v>
      </c>
      <c r="AF189">
        <v>195</v>
      </c>
      <c r="AG189" s="8">
        <v>0</v>
      </c>
      <c r="AH189">
        <v>0</v>
      </c>
      <c r="AI189">
        <v>8</v>
      </c>
      <c r="AJ189">
        <v>19</v>
      </c>
      <c r="AK189" t="e">
        <v>#N/A</v>
      </c>
      <c r="AL189" t="e">
        <v>#N/A</v>
      </c>
      <c r="AM189">
        <v>-11</v>
      </c>
      <c r="AN189">
        <v>1</v>
      </c>
      <c r="AO189">
        <v>0</v>
      </c>
      <c r="AP189">
        <v>0</v>
      </c>
      <c r="AQ189">
        <v>0.17857142857142858</v>
      </c>
      <c r="AR189">
        <v>0.32142857142857145</v>
      </c>
      <c r="AS189">
        <v>0.4642857142857143</v>
      </c>
      <c r="AT189">
        <v>3.5714285714285712E-2</v>
      </c>
      <c r="AU189">
        <v>124782.35573516</v>
      </c>
      <c r="AV189">
        <v>14</v>
      </c>
      <c r="AW189">
        <f t="shared" si="16"/>
        <v>1</v>
      </c>
      <c r="AX189">
        <v>82</v>
      </c>
      <c r="AY189">
        <f t="shared" si="17"/>
        <v>1</v>
      </c>
      <c r="AZ189">
        <v>0.42051282051282052</v>
      </c>
      <c r="BA189">
        <v>1</v>
      </c>
      <c r="BB189">
        <v>2020</v>
      </c>
      <c r="BC189">
        <v>7</v>
      </c>
      <c r="BD189">
        <v>2020</v>
      </c>
      <c r="BE189">
        <v>1</v>
      </c>
      <c r="BF189">
        <v>2020</v>
      </c>
    </row>
    <row r="190" spans="1:58" x14ac:dyDescent="0.2">
      <c r="A190" s="7">
        <v>18</v>
      </c>
      <c r="B190" s="7">
        <v>35</v>
      </c>
      <c r="C190" s="7">
        <v>9</v>
      </c>
      <c r="D190" s="7">
        <v>12</v>
      </c>
      <c r="E190" s="7">
        <f t="shared" si="12"/>
        <v>74</v>
      </c>
      <c r="F190" s="11" t="s">
        <v>36</v>
      </c>
      <c r="G190">
        <v>18</v>
      </c>
      <c r="H190">
        <v>35</v>
      </c>
      <c r="I190">
        <v>9</v>
      </c>
      <c r="J190">
        <v>12</v>
      </c>
      <c r="K190">
        <f t="shared" si="13"/>
        <v>74</v>
      </c>
      <c r="L190" t="s">
        <v>36</v>
      </c>
      <c r="M190">
        <v>16959.041456669998</v>
      </c>
      <c r="N190" s="7">
        <v>18</v>
      </c>
      <c r="O190" s="7">
        <v>35</v>
      </c>
      <c r="P190" s="7">
        <v>9</v>
      </c>
      <c r="Q190" s="7">
        <v>12</v>
      </c>
      <c r="R190" s="7">
        <f t="shared" si="14"/>
        <v>74</v>
      </c>
      <c r="S190" t="s">
        <v>36</v>
      </c>
      <c r="T190" s="7">
        <v>18</v>
      </c>
      <c r="U190" s="7">
        <v>38</v>
      </c>
      <c r="V190" s="7">
        <v>9</v>
      </c>
      <c r="W190" s="7">
        <v>9</v>
      </c>
      <c r="X190" s="7">
        <f t="shared" si="15"/>
        <v>74</v>
      </c>
      <c r="Y190" t="s">
        <v>36</v>
      </c>
      <c r="Z190">
        <v>14964.69447638</v>
      </c>
      <c r="AA190" t="s">
        <v>630</v>
      </c>
      <c r="AB190" t="e">
        <v>#N/A</v>
      </c>
      <c r="AF190">
        <v>23</v>
      </c>
      <c r="AG190" s="8">
        <v>21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0.16216216216216217</v>
      </c>
      <c r="AR190">
        <v>0.24324324324324326</v>
      </c>
      <c r="AS190">
        <v>0.47297297297297297</v>
      </c>
      <c r="AT190">
        <v>0.12162162162162163</v>
      </c>
      <c r="AU190">
        <v>31923.735933049997</v>
      </c>
      <c r="AV190" t="s">
        <v>489</v>
      </c>
      <c r="AW190" t="str">
        <f t="shared" si="16"/>
        <v>n/a</v>
      </c>
      <c r="AY190" t="e">
        <f t="shared" si="17"/>
        <v>#N/A</v>
      </c>
      <c r="AZ190" t="e">
        <v>#N/A</v>
      </c>
      <c r="BA190">
        <v>7</v>
      </c>
      <c r="BB190">
        <v>2018</v>
      </c>
      <c r="BC190">
        <v>7</v>
      </c>
      <c r="BD190">
        <v>2018</v>
      </c>
      <c r="BE190">
        <v>8</v>
      </c>
      <c r="BF190">
        <v>2018</v>
      </c>
    </row>
    <row r="191" spans="1:58" x14ac:dyDescent="0.2">
      <c r="A191" s="7">
        <v>13</v>
      </c>
      <c r="B191" s="7">
        <v>35</v>
      </c>
      <c r="C191" s="7">
        <v>4</v>
      </c>
      <c r="D191" s="7">
        <v>5</v>
      </c>
      <c r="E191" s="7">
        <f t="shared" si="12"/>
        <v>57</v>
      </c>
      <c r="F191" s="11" t="s">
        <v>36</v>
      </c>
      <c r="G191">
        <v>13</v>
      </c>
      <c r="H191">
        <v>20</v>
      </c>
      <c r="I191">
        <v>4</v>
      </c>
      <c r="J191">
        <v>0</v>
      </c>
      <c r="K191">
        <f t="shared" si="13"/>
        <v>37</v>
      </c>
      <c r="L191" t="s">
        <v>36</v>
      </c>
      <c r="M191">
        <v>11924.89445107</v>
      </c>
      <c r="N191" s="7">
        <v>16</v>
      </c>
      <c r="O191" s="7">
        <v>35</v>
      </c>
      <c r="P191" s="7">
        <v>9</v>
      </c>
      <c r="Q191" s="7">
        <v>7</v>
      </c>
      <c r="R191" s="7">
        <f t="shared" si="14"/>
        <v>67</v>
      </c>
      <c r="S191" t="s">
        <v>42</v>
      </c>
      <c r="T191" s="7">
        <v>13</v>
      </c>
      <c r="U191" s="7">
        <v>35</v>
      </c>
      <c r="V191" s="7">
        <v>4</v>
      </c>
      <c r="W191" s="7">
        <v>5</v>
      </c>
      <c r="X191" s="7">
        <f t="shared" si="15"/>
        <v>57</v>
      </c>
      <c r="Y191" t="s">
        <v>36</v>
      </c>
      <c r="Z191">
        <v>16857.599264839999</v>
      </c>
      <c r="AA191" t="s">
        <v>631</v>
      </c>
      <c r="AB191" t="e">
        <v>#N/A</v>
      </c>
      <c r="AF191">
        <v>258</v>
      </c>
      <c r="AG191" s="8">
        <v>40</v>
      </c>
      <c r="AH191">
        <v>-10</v>
      </c>
      <c r="AI191">
        <v>0</v>
      </c>
      <c r="AJ191">
        <v>-20</v>
      </c>
      <c r="AK191">
        <v>-0.25</v>
      </c>
      <c r="AL191">
        <v>-1.5811388300841895</v>
      </c>
      <c r="AM191">
        <v>30</v>
      </c>
      <c r="AN191">
        <v>0</v>
      </c>
      <c r="AO191">
        <v>-0.14925373134328357</v>
      </c>
      <c r="AP191">
        <v>-0.17543859649122806</v>
      </c>
      <c r="AQ191">
        <v>8.771929824561403E-2</v>
      </c>
      <c r="AR191">
        <v>0.22807017543859648</v>
      </c>
      <c r="AS191">
        <v>0.61403508771929827</v>
      </c>
      <c r="AT191">
        <v>7.0175438596491224E-2</v>
      </c>
      <c r="AU191">
        <v>28782.493715910001</v>
      </c>
      <c r="AV191" t="s">
        <v>489</v>
      </c>
      <c r="AW191" t="str">
        <f t="shared" si="16"/>
        <v>n/a</v>
      </c>
      <c r="AY191" t="e">
        <f t="shared" si="17"/>
        <v>#N/A</v>
      </c>
      <c r="AZ191" t="e">
        <v>#N/A</v>
      </c>
      <c r="BA191">
        <v>1</v>
      </c>
      <c r="BB191">
        <v>2018</v>
      </c>
      <c r="BC191">
        <v>9</v>
      </c>
      <c r="BD191">
        <v>2018</v>
      </c>
      <c r="BE191">
        <v>10</v>
      </c>
      <c r="BF191">
        <v>2018</v>
      </c>
    </row>
    <row r="192" spans="1:58" x14ac:dyDescent="0.2">
      <c r="A192" s="7">
        <v>6</v>
      </c>
      <c r="B192" s="7">
        <v>26</v>
      </c>
      <c r="C192" s="7">
        <v>0</v>
      </c>
      <c r="D192" s="7">
        <v>3</v>
      </c>
      <c r="E192" s="7">
        <f t="shared" si="12"/>
        <v>35</v>
      </c>
      <c r="F192" s="11" t="s">
        <v>83</v>
      </c>
      <c r="G192">
        <v>6</v>
      </c>
      <c r="H192">
        <v>26</v>
      </c>
      <c r="I192">
        <v>0</v>
      </c>
      <c r="J192">
        <v>3</v>
      </c>
      <c r="K192">
        <f t="shared" si="13"/>
        <v>35</v>
      </c>
      <c r="L192" t="s">
        <v>83</v>
      </c>
      <c r="M192">
        <v>3515.7267099999999</v>
      </c>
      <c r="N192" s="7">
        <v>6</v>
      </c>
      <c r="O192" s="7">
        <v>26</v>
      </c>
      <c r="P192" s="7">
        <v>0</v>
      </c>
      <c r="Q192" s="7">
        <v>3</v>
      </c>
      <c r="R192" s="7">
        <f t="shared" si="14"/>
        <v>35</v>
      </c>
      <c r="S192" t="s">
        <v>83</v>
      </c>
      <c r="T192" s="7">
        <v>12</v>
      </c>
      <c r="U192" s="7">
        <v>30</v>
      </c>
      <c r="V192" s="7">
        <v>4</v>
      </c>
      <c r="W192" s="7">
        <v>5</v>
      </c>
      <c r="X192" s="7">
        <f t="shared" si="15"/>
        <v>51</v>
      </c>
      <c r="Y192" t="s">
        <v>83</v>
      </c>
      <c r="Z192">
        <v>40780.008735799987</v>
      </c>
      <c r="AA192" t="s">
        <v>632</v>
      </c>
      <c r="AB192" t="e">
        <v>#N/A</v>
      </c>
      <c r="AF192" t="e">
        <v>#N/A</v>
      </c>
      <c r="AG192" s="8">
        <v>63</v>
      </c>
      <c r="AH192">
        <v>16</v>
      </c>
      <c r="AI192">
        <v>16</v>
      </c>
      <c r="AJ192">
        <v>0</v>
      </c>
      <c r="AK192">
        <v>0.25396825396825395</v>
      </c>
      <c r="AL192">
        <v>2.0158105227158782</v>
      </c>
      <c r="AM192">
        <v>0</v>
      </c>
      <c r="AN192">
        <v>0</v>
      </c>
      <c r="AO192">
        <v>0.45714285714285713</v>
      </c>
      <c r="AP192">
        <v>0.45714285714285713</v>
      </c>
      <c r="AQ192">
        <v>8.5714285714285715E-2</v>
      </c>
      <c r="AR192">
        <v>0.17142857142857143</v>
      </c>
      <c r="AS192">
        <v>0.74285714285714288</v>
      </c>
      <c r="AT192">
        <v>0</v>
      </c>
      <c r="AU192">
        <v>44295.73544579999</v>
      </c>
      <c r="AV192" t="s">
        <v>489</v>
      </c>
      <c r="AW192" t="str">
        <f t="shared" si="16"/>
        <v>n/a</v>
      </c>
      <c r="AY192" t="e">
        <f t="shared" si="17"/>
        <v>#N/A</v>
      </c>
      <c r="AZ192" t="e">
        <v>#N/A</v>
      </c>
      <c r="BA192">
        <v>1</v>
      </c>
      <c r="BB192">
        <v>2018</v>
      </c>
      <c r="BC192">
        <v>1</v>
      </c>
      <c r="BD192">
        <v>2018</v>
      </c>
      <c r="BE192">
        <v>10</v>
      </c>
      <c r="BF192">
        <v>2018</v>
      </c>
    </row>
    <row r="193" spans="1:58" x14ac:dyDescent="0.2">
      <c r="A193" s="7">
        <v>5</v>
      </c>
      <c r="B193" s="7">
        <v>10</v>
      </c>
      <c r="C193" s="7">
        <v>2</v>
      </c>
      <c r="D193" s="7">
        <v>0</v>
      </c>
      <c r="E193" s="7">
        <f t="shared" si="12"/>
        <v>17</v>
      </c>
      <c r="F193" s="11" t="e">
        <v>#N/A</v>
      </c>
      <c r="G193">
        <v>3</v>
      </c>
      <c r="H193">
        <v>13</v>
      </c>
      <c r="I193">
        <v>2</v>
      </c>
      <c r="J193">
        <v>0</v>
      </c>
      <c r="K193">
        <f t="shared" si="13"/>
        <v>18</v>
      </c>
      <c r="L193" t="e">
        <v>#N/A</v>
      </c>
      <c r="M193">
        <v>35083.158594590001</v>
      </c>
      <c r="N193" s="7">
        <v>10</v>
      </c>
      <c r="O193" s="7">
        <v>10</v>
      </c>
      <c r="P193" s="7">
        <v>2</v>
      </c>
      <c r="Q193" s="7">
        <v>0</v>
      </c>
      <c r="R193" s="7">
        <f t="shared" si="14"/>
        <v>22</v>
      </c>
      <c r="S193" t="e">
        <v>#N/A</v>
      </c>
      <c r="T193" s="7">
        <v>10</v>
      </c>
      <c r="U193" s="7">
        <v>10</v>
      </c>
      <c r="V193" s="7">
        <v>2</v>
      </c>
      <c r="W193" s="7">
        <v>0</v>
      </c>
      <c r="X193" s="7">
        <f t="shared" si="15"/>
        <v>22</v>
      </c>
      <c r="Y193" t="e">
        <v>#N/A</v>
      </c>
      <c r="Z193">
        <v>110687.24009262001</v>
      </c>
      <c r="AA193" t="s">
        <v>175</v>
      </c>
      <c r="AB193">
        <v>42</v>
      </c>
      <c r="AC193">
        <v>0</v>
      </c>
      <c r="AD193" t="s">
        <v>82</v>
      </c>
      <c r="AE193" t="s">
        <v>41</v>
      </c>
      <c r="AF193">
        <v>181</v>
      </c>
      <c r="AG193" s="8">
        <v>0</v>
      </c>
      <c r="AH193">
        <v>0</v>
      </c>
      <c r="AI193">
        <v>5</v>
      </c>
      <c r="AJ193">
        <v>1</v>
      </c>
      <c r="AK193" t="e">
        <v>#N/A</v>
      </c>
      <c r="AL193" t="e">
        <v>#N/A</v>
      </c>
      <c r="AM193">
        <v>4</v>
      </c>
      <c r="AN193">
        <v>0</v>
      </c>
      <c r="AO193">
        <v>0</v>
      </c>
      <c r="AP193">
        <v>0</v>
      </c>
      <c r="AQ193">
        <v>0</v>
      </c>
      <c r="AR193">
        <v>0.29411764705882354</v>
      </c>
      <c r="AS193">
        <v>0.58823529411764708</v>
      </c>
      <c r="AT193">
        <v>0.11764705882352941</v>
      </c>
      <c r="AU193">
        <v>145770.39868720999</v>
      </c>
      <c r="AV193">
        <v>12</v>
      </c>
      <c r="AW193">
        <f t="shared" si="16"/>
        <v>1</v>
      </c>
      <c r="AX193">
        <v>0</v>
      </c>
      <c r="AY193">
        <f t="shared" si="17"/>
        <v>0</v>
      </c>
      <c r="AZ193">
        <v>0</v>
      </c>
      <c r="BA193">
        <v>1</v>
      </c>
      <c r="BB193">
        <v>2020</v>
      </c>
      <c r="BC193">
        <v>7</v>
      </c>
      <c r="BD193">
        <v>2020</v>
      </c>
      <c r="BE193">
        <v>1</v>
      </c>
      <c r="BF193">
        <v>2020</v>
      </c>
    </row>
    <row r="194" spans="1:58" x14ac:dyDescent="0.2">
      <c r="A194" s="7">
        <v>18</v>
      </c>
      <c r="B194" s="7">
        <v>23</v>
      </c>
      <c r="C194" s="7">
        <v>8</v>
      </c>
      <c r="D194" s="7">
        <v>1</v>
      </c>
      <c r="E194" s="7">
        <f t="shared" ref="E194:E257" si="18">SUM(A194,B194,C194,D194)</f>
        <v>50</v>
      </c>
      <c r="F194" s="11" t="s">
        <v>36</v>
      </c>
      <c r="G194">
        <v>19</v>
      </c>
      <c r="H194">
        <v>21</v>
      </c>
      <c r="I194">
        <v>8</v>
      </c>
      <c r="J194">
        <v>1</v>
      </c>
      <c r="K194">
        <f t="shared" ref="K194:K257" si="19">SUM(G194,H194,I194,J194)</f>
        <v>49</v>
      </c>
      <c r="L194" t="s">
        <v>36</v>
      </c>
      <c r="M194">
        <v>12687.0864191</v>
      </c>
      <c r="N194" s="7">
        <v>20</v>
      </c>
      <c r="O194" s="7">
        <v>28</v>
      </c>
      <c r="P194" s="7">
        <v>9</v>
      </c>
      <c r="Q194" s="7">
        <v>5</v>
      </c>
      <c r="R194" s="7">
        <f t="shared" ref="R194:R257" si="20">SUM(N194,O194,P194,Q194)</f>
        <v>62</v>
      </c>
      <c r="S194" t="s">
        <v>36</v>
      </c>
      <c r="T194" s="7">
        <v>18</v>
      </c>
      <c r="U194" s="7">
        <v>23</v>
      </c>
      <c r="V194" s="7">
        <v>8</v>
      </c>
      <c r="W194" s="7">
        <v>1</v>
      </c>
      <c r="X194" s="7">
        <f t="shared" ref="X194:X257" si="21">SUM(T194,U194,V194,W194)</f>
        <v>50</v>
      </c>
      <c r="Y194" t="s">
        <v>36</v>
      </c>
      <c r="Z194">
        <v>67105.580526865</v>
      </c>
      <c r="AA194" t="s">
        <v>633</v>
      </c>
      <c r="AB194" t="e">
        <v>#N/A</v>
      </c>
      <c r="AF194">
        <v>211</v>
      </c>
      <c r="AG194" s="8">
        <v>181</v>
      </c>
      <c r="AH194">
        <v>-12</v>
      </c>
      <c r="AI194">
        <v>0</v>
      </c>
      <c r="AJ194">
        <v>-1</v>
      </c>
      <c r="AK194">
        <v>-6.6298342541436461E-2</v>
      </c>
      <c r="AL194">
        <v>-0.89195297549659958</v>
      </c>
      <c r="AM194">
        <v>13</v>
      </c>
      <c r="AN194">
        <v>0</v>
      </c>
      <c r="AO194">
        <v>-0.19354838709677419</v>
      </c>
      <c r="AP194">
        <v>-0.24</v>
      </c>
      <c r="AQ194">
        <v>0.02</v>
      </c>
      <c r="AR194">
        <v>0.36</v>
      </c>
      <c r="AS194">
        <v>0.46</v>
      </c>
      <c r="AT194">
        <v>0.16</v>
      </c>
      <c r="AU194">
        <v>79792.666945965</v>
      </c>
      <c r="AV194" t="s">
        <v>489</v>
      </c>
      <c r="AW194" t="str">
        <f t="shared" si="16"/>
        <v>n/a</v>
      </c>
      <c r="AY194" t="e">
        <f t="shared" si="17"/>
        <v>#N/A</v>
      </c>
      <c r="AZ194" t="e">
        <v>#N/A</v>
      </c>
      <c r="BA194">
        <v>1</v>
      </c>
      <c r="BB194">
        <v>2018</v>
      </c>
      <c r="BC194">
        <v>8</v>
      </c>
      <c r="BD194">
        <v>2018</v>
      </c>
      <c r="BE194">
        <v>5</v>
      </c>
      <c r="BF194">
        <v>2018</v>
      </c>
    </row>
    <row r="195" spans="1:58" x14ac:dyDescent="0.2">
      <c r="A195" s="7">
        <v>18</v>
      </c>
      <c r="B195" s="7">
        <v>26</v>
      </c>
      <c r="C195" s="7">
        <v>9</v>
      </c>
      <c r="D195" s="7">
        <v>7</v>
      </c>
      <c r="E195" s="7">
        <f t="shared" si="18"/>
        <v>60</v>
      </c>
      <c r="F195" s="11" t="s">
        <v>36</v>
      </c>
      <c r="G195">
        <v>18</v>
      </c>
      <c r="H195">
        <v>26</v>
      </c>
      <c r="I195">
        <v>9</v>
      </c>
      <c r="J195">
        <v>7</v>
      </c>
      <c r="K195">
        <f t="shared" si="19"/>
        <v>60</v>
      </c>
      <c r="L195" t="s">
        <v>36</v>
      </c>
      <c r="M195">
        <v>5664.6441116400001</v>
      </c>
      <c r="N195" s="7">
        <v>18</v>
      </c>
      <c r="O195" s="7">
        <v>25</v>
      </c>
      <c r="P195" s="7">
        <v>9</v>
      </c>
      <c r="Q195" s="7">
        <v>7</v>
      </c>
      <c r="R195" s="7">
        <f t="shared" si="20"/>
        <v>59</v>
      </c>
      <c r="S195" t="s">
        <v>42</v>
      </c>
      <c r="T195" s="7">
        <v>19</v>
      </c>
      <c r="U195" s="7">
        <v>26</v>
      </c>
      <c r="V195" s="7">
        <v>9</v>
      </c>
      <c r="W195" s="7">
        <v>7</v>
      </c>
      <c r="X195" s="7">
        <f t="shared" si="21"/>
        <v>61</v>
      </c>
      <c r="Y195" t="s">
        <v>42</v>
      </c>
      <c r="Z195">
        <v>11494.00164502</v>
      </c>
      <c r="AA195" t="s">
        <v>634</v>
      </c>
      <c r="AB195">
        <v>28</v>
      </c>
      <c r="AC195">
        <v>0</v>
      </c>
      <c r="AD195" t="s">
        <v>176</v>
      </c>
      <c r="AE195" t="s">
        <v>75</v>
      </c>
      <c r="AF195" t="e">
        <v>#N/A</v>
      </c>
      <c r="AG195" s="8">
        <v>334</v>
      </c>
      <c r="AH195">
        <v>2</v>
      </c>
      <c r="AI195">
        <v>1</v>
      </c>
      <c r="AJ195">
        <v>0</v>
      </c>
      <c r="AK195">
        <v>5.9880239520958087E-3</v>
      </c>
      <c r="AL195">
        <v>0.10943513103291655</v>
      </c>
      <c r="AM195">
        <v>-1</v>
      </c>
      <c r="AN195">
        <v>1</v>
      </c>
      <c r="AO195">
        <v>3.3898305084745763E-2</v>
      </c>
      <c r="AP195">
        <v>3.3333333333333333E-2</v>
      </c>
      <c r="AQ195">
        <v>0.11666666666666667</v>
      </c>
      <c r="AR195">
        <v>0.3</v>
      </c>
      <c r="AS195">
        <v>0.43333333333333335</v>
      </c>
      <c r="AT195">
        <v>0.15</v>
      </c>
      <c r="AU195">
        <v>17158.64575666</v>
      </c>
      <c r="AV195">
        <v>11</v>
      </c>
      <c r="AW195">
        <f t="shared" ref="AW195:AW258" si="22">IF(AV195="n/a","n/a",IF(AV195&gt;=10,1,0))</f>
        <v>1</v>
      </c>
      <c r="AX195">
        <v>0</v>
      </c>
      <c r="AY195">
        <f t="shared" ref="AY195:AY258" si="23">IF(
  ISBLANK(AX195),
  NA(),
  IF(AX195&gt;0, 1, 0)
)</f>
        <v>0</v>
      </c>
      <c r="AZ195" t="e">
        <v>#N/A</v>
      </c>
      <c r="BA195">
        <v>12</v>
      </c>
      <c r="BB195">
        <v>2019</v>
      </c>
      <c r="BC195">
        <v>12</v>
      </c>
      <c r="BD195">
        <v>2019</v>
      </c>
      <c r="BE195">
        <v>1</v>
      </c>
      <c r="BF195">
        <v>2019</v>
      </c>
    </row>
    <row r="196" spans="1:58" x14ac:dyDescent="0.2">
      <c r="A196" s="7">
        <v>11</v>
      </c>
      <c r="B196" s="7">
        <v>35</v>
      </c>
      <c r="C196" s="7">
        <v>4</v>
      </c>
      <c r="D196" s="7">
        <v>3</v>
      </c>
      <c r="E196" s="7">
        <f t="shared" si="18"/>
        <v>53</v>
      </c>
      <c r="F196" s="11" t="s">
        <v>36</v>
      </c>
      <c r="G196">
        <v>11</v>
      </c>
      <c r="H196">
        <v>35</v>
      </c>
      <c r="I196">
        <v>4</v>
      </c>
      <c r="J196">
        <v>3</v>
      </c>
      <c r="K196">
        <f t="shared" si="19"/>
        <v>53</v>
      </c>
      <c r="L196" t="s">
        <v>36</v>
      </c>
      <c r="M196">
        <v>18074.220656540001</v>
      </c>
      <c r="N196" s="7">
        <v>11</v>
      </c>
      <c r="O196" s="7">
        <v>35</v>
      </c>
      <c r="P196" s="7">
        <v>4</v>
      </c>
      <c r="Q196" s="7">
        <v>3</v>
      </c>
      <c r="R196" s="7">
        <f t="shared" si="20"/>
        <v>53</v>
      </c>
      <c r="S196" t="s">
        <v>36</v>
      </c>
      <c r="T196" s="7">
        <v>19</v>
      </c>
      <c r="U196" s="7">
        <v>39</v>
      </c>
      <c r="V196" s="7">
        <v>9</v>
      </c>
      <c r="W196" s="7">
        <v>8</v>
      </c>
      <c r="X196" s="7">
        <f t="shared" si="21"/>
        <v>75</v>
      </c>
      <c r="Y196" t="s">
        <v>36</v>
      </c>
      <c r="Z196">
        <v>101391.36811117</v>
      </c>
      <c r="AA196" t="s">
        <v>635</v>
      </c>
      <c r="AB196">
        <v>49</v>
      </c>
      <c r="AC196">
        <v>0</v>
      </c>
      <c r="AD196" t="s">
        <v>131</v>
      </c>
      <c r="AE196" t="s">
        <v>75</v>
      </c>
      <c r="AF196">
        <v>249</v>
      </c>
      <c r="AG196" s="8">
        <v>342</v>
      </c>
      <c r="AH196">
        <v>22</v>
      </c>
      <c r="AI196">
        <v>22</v>
      </c>
      <c r="AJ196">
        <v>0</v>
      </c>
      <c r="AK196">
        <v>6.4327485380116955E-2</v>
      </c>
      <c r="AL196">
        <v>1.1896237549589253</v>
      </c>
      <c r="AM196">
        <v>0</v>
      </c>
      <c r="AN196">
        <v>0</v>
      </c>
      <c r="AO196">
        <v>0.41509433962264153</v>
      </c>
      <c r="AP196">
        <v>0.41509433962264153</v>
      </c>
      <c r="AQ196">
        <v>5.6603773584905662E-2</v>
      </c>
      <c r="AR196">
        <v>0.20754716981132076</v>
      </c>
      <c r="AS196">
        <v>0.660377358490566</v>
      </c>
      <c r="AT196">
        <v>7.5471698113207544E-2</v>
      </c>
      <c r="AU196">
        <v>119465.58876771</v>
      </c>
      <c r="AV196">
        <v>9</v>
      </c>
      <c r="AW196">
        <f t="shared" si="22"/>
        <v>0</v>
      </c>
      <c r="AX196">
        <v>0</v>
      </c>
      <c r="AY196">
        <f t="shared" si="23"/>
        <v>0</v>
      </c>
      <c r="AZ196">
        <v>0</v>
      </c>
      <c r="BA196">
        <v>3</v>
      </c>
      <c r="BB196">
        <v>2018</v>
      </c>
      <c r="BC196">
        <v>11</v>
      </c>
      <c r="BD196">
        <v>2018</v>
      </c>
      <c r="BE196">
        <v>11</v>
      </c>
      <c r="BF196">
        <v>2018</v>
      </c>
    </row>
    <row r="197" spans="1:58" x14ac:dyDescent="0.2">
      <c r="A197" s="7">
        <v>3</v>
      </c>
      <c r="B197" s="7">
        <v>33</v>
      </c>
      <c r="C197" s="7">
        <v>2</v>
      </c>
      <c r="D197" s="7">
        <v>3</v>
      </c>
      <c r="E197" s="7">
        <f t="shared" si="18"/>
        <v>41</v>
      </c>
      <c r="F197" s="11" t="s">
        <v>36</v>
      </c>
      <c r="G197">
        <v>3</v>
      </c>
      <c r="H197">
        <v>33</v>
      </c>
      <c r="I197">
        <v>2</v>
      </c>
      <c r="J197">
        <v>3</v>
      </c>
      <c r="K197">
        <f t="shared" si="19"/>
        <v>41</v>
      </c>
      <c r="L197" t="s">
        <v>36</v>
      </c>
      <c r="M197">
        <v>9027.8605300000017</v>
      </c>
      <c r="N197" s="7">
        <v>3</v>
      </c>
      <c r="O197" s="7">
        <v>33</v>
      </c>
      <c r="P197" s="7">
        <v>2</v>
      </c>
      <c r="Q197" s="7">
        <v>3</v>
      </c>
      <c r="R197" s="7">
        <f t="shared" si="20"/>
        <v>41</v>
      </c>
      <c r="S197" t="s">
        <v>36</v>
      </c>
      <c r="T197" s="7">
        <v>3</v>
      </c>
      <c r="U197" s="7">
        <v>33</v>
      </c>
      <c r="V197" s="7">
        <v>2</v>
      </c>
      <c r="W197" s="7">
        <v>3</v>
      </c>
      <c r="X197" s="7">
        <f t="shared" si="21"/>
        <v>41</v>
      </c>
      <c r="Y197" t="s">
        <v>36</v>
      </c>
      <c r="Z197">
        <v>10540.30648091</v>
      </c>
      <c r="AA197" t="s">
        <v>636</v>
      </c>
      <c r="AB197" t="e">
        <v>#N/A</v>
      </c>
      <c r="AF197">
        <v>27</v>
      </c>
      <c r="AG197" s="8">
        <v>137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7.3170731707317069E-2</v>
      </c>
      <c r="AR197">
        <v>7.3170731707317069E-2</v>
      </c>
      <c r="AS197">
        <v>0.80487804878048785</v>
      </c>
      <c r="AT197">
        <v>4.878048780487805E-2</v>
      </c>
      <c r="AU197">
        <v>19568.167010910001</v>
      </c>
      <c r="AV197" t="s">
        <v>489</v>
      </c>
      <c r="AW197" t="str">
        <f t="shared" si="22"/>
        <v>n/a</v>
      </c>
      <c r="AY197" t="e">
        <f t="shared" si="23"/>
        <v>#N/A</v>
      </c>
      <c r="AZ197" t="e">
        <v>#N/A</v>
      </c>
      <c r="BA197">
        <v>1</v>
      </c>
      <c r="BB197">
        <v>2018</v>
      </c>
      <c r="BC197">
        <v>1</v>
      </c>
      <c r="BD197">
        <v>2018</v>
      </c>
      <c r="BE197">
        <v>2</v>
      </c>
      <c r="BF197">
        <v>2018</v>
      </c>
    </row>
    <row r="198" spans="1:58" x14ac:dyDescent="0.2">
      <c r="A198" s="7">
        <v>2</v>
      </c>
      <c r="B198" s="7">
        <v>33</v>
      </c>
      <c r="C198" s="7">
        <v>2</v>
      </c>
      <c r="D198" s="7">
        <v>3</v>
      </c>
      <c r="E198" s="7">
        <f t="shared" si="18"/>
        <v>40</v>
      </c>
      <c r="F198" s="11" t="s">
        <v>36</v>
      </c>
      <c r="G198">
        <v>2</v>
      </c>
      <c r="H198">
        <v>33</v>
      </c>
      <c r="I198">
        <v>2</v>
      </c>
      <c r="J198">
        <v>3</v>
      </c>
      <c r="K198">
        <f t="shared" si="19"/>
        <v>40</v>
      </c>
      <c r="L198" t="s">
        <v>36</v>
      </c>
      <c r="M198">
        <v>10352.05157512</v>
      </c>
      <c r="N198" s="7">
        <v>3</v>
      </c>
      <c r="O198" s="7">
        <v>33</v>
      </c>
      <c r="P198" s="7">
        <v>2</v>
      </c>
      <c r="Q198" s="7">
        <v>3</v>
      </c>
      <c r="R198" s="7">
        <f t="shared" si="20"/>
        <v>41</v>
      </c>
      <c r="S198" t="s">
        <v>36</v>
      </c>
      <c r="T198" s="7">
        <v>3</v>
      </c>
      <c r="U198" s="7">
        <v>33</v>
      </c>
      <c r="V198" s="7">
        <v>2</v>
      </c>
      <c r="W198" s="7">
        <v>3</v>
      </c>
      <c r="X198" s="7">
        <f t="shared" si="21"/>
        <v>41</v>
      </c>
      <c r="Y198" t="s">
        <v>36</v>
      </c>
      <c r="Z198">
        <v>15094.261272829999</v>
      </c>
      <c r="AA198" t="s">
        <v>637</v>
      </c>
      <c r="AB198">
        <v>66</v>
      </c>
      <c r="AC198">
        <v>0</v>
      </c>
      <c r="AD198" t="s">
        <v>156</v>
      </c>
      <c r="AE198" t="s">
        <v>75</v>
      </c>
      <c r="AF198" t="e">
        <v>#N/A</v>
      </c>
      <c r="AG198" s="8">
        <v>0</v>
      </c>
      <c r="AH198">
        <v>0</v>
      </c>
      <c r="AI198">
        <v>1</v>
      </c>
      <c r="AJ198">
        <v>0</v>
      </c>
      <c r="AK198" t="e">
        <v>#N/A</v>
      </c>
      <c r="AL198" t="e">
        <v>#N/A</v>
      </c>
      <c r="AM198">
        <v>1</v>
      </c>
      <c r="AN198">
        <v>0</v>
      </c>
      <c r="AO198">
        <v>0</v>
      </c>
      <c r="AP198">
        <v>0</v>
      </c>
      <c r="AQ198">
        <v>7.4999999999999997E-2</v>
      </c>
      <c r="AR198">
        <v>0.05</v>
      </c>
      <c r="AS198">
        <v>0.82499999999999996</v>
      </c>
      <c r="AT198">
        <v>0.05</v>
      </c>
      <c r="AU198">
        <v>25446.312847950001</v>
      </c>
      <c r="AV198">
        <v>3</v>
      </c>
      <c r="AW198">
        <f t="shared" si="22"/>
        <v>0</v>
      </c>
      <c r="AX198">
        <v>0</v>
      </c>
      <c r="AY198">
        <f t="shared" si="23"/>
        <v>0</v>
      </c>
      <c r="AZ198" t="e">
        <v>#N/A</v>
      </c>
      <c r="BA198">
        <v>11</v>
      </c>
      <c r="BB198">
        <v>2019</v>
      </c>
      <c r="BC198">
        <v>11</v>
      </c>
      <c r="BD198">
        <v>2019</v>
      </c>
      <c r="BE198">
        <v>1</v>
      </c>
      <c r="BF198">
        <v>2019</v>
      </c>
    </row>
    <row r="199" spans="1:58" x14ac:dyDescent="0.2">
      <c r="A199" s="7">
        <v>0</v>
      </c>
      <c r="B199" s="7">
        <v>0</v>
      </c>
      <c r="C199" s="7">
        <v>0</v>
      </c>
      <c r="D199" s="7">
        <v>0</v>
      </c>
      <c r="E199" s="7">
        <f t="shared" si="18"/>
        <v>0</v>
      </c>
      <c r="F199" s="11" t="e">
        <v>#N/A</v>
      </c>
      <c r="G199">
        <v>0</v>
      </c>
      <c r="H199">
        <v>0</v>
      </c>
      <c r="I199">
        <v>0</v>
      </c>
      <c r="J199">
        <v>0</v>
      </c>
      <c r="K199">
        <f t="shared" si="19"/>
        <v>0</v>
      </c>
      <c r="L199" t="e">
        <v>#N/A</v>
      </c>
      <c r="N199" s="7">
        <v>2</v>
      </c>
      <c r="O199" s="7">
        <v>15</v>
      </c>
      <c r="P199" s="7">
        <v>0</v>
      </c>
      <c r="Q199" s="7">
        <v>3</v>
      </c>
      <c r="R199" s="7">
        <f t="shared" si="20"/>
        <v>20</v>
      </c>
      <c r="S199" t="e">
        <v>#N/A</v>
      </c>
      <c r="T199" s="7">
        <v>2</v>
      </c>
      <c r="U199" s="7">
        <v>15</v>
      </c>
      <c r="V199" s="7">
        <v>0</v>
      </c>
      <c r="W199" s="7">
        <v>3</v>
      </c>
      <c r="X199" s="7">
        <f t="shared" si="21"/>
        <v>20</v>
      </c>
      <c r="Y199" t="e">
        <v>#N/A</v>
      </c>
      <c r="Z199">
        <v>9299.6146757200004</v>
      </c>
      <c r="AA199" t="s">
        <v>177</v>
      </c>
      <c r="AB199">
        <v>66</v>
      </c>
      <c r="AC199">
        <v>0</v>
      </c>
      <c r="AD199" t="s">
        <v>99</v>
      </c>
      <c r="AE199" t="s">
        <v>75</v>
      </c>
      <c r="AF199" t="e">
        <v>#N/A</v>
      </c>
      <c r="AG199" s="8">
        <v>0</v>
      </c>
      <c r="AH199">
        <v>0</v>
      </c>
      <c r="AI199">
        <v>20</v>
      </c>
      <c r="AJ199">
        <v>0</v>
      </c>
      <c r="AK199" t="e">
        <v>#N/A</v>
      </c>
      <c r="AL199" t="e">
        <v>#N/A</v>
      </c>
      <c r="AM199">
        <v>20</v>
      </c>
      <c r="AN199">
        <v>0</v>
      </c>
      <c r="AO199">
        <v>0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>
        <v>9299.6146757200004</v>
      </c>
      <c r="AV199">
        <v>10</v>
      </c>
      <c r="AW199">
        <f t="shared" si="22"/>
        <v>1</v>
      </c>
      <c r="AX199">
        <v>0</v>
      </c>
      <c r="AY199">
        <f t="shared" si="23"/>
        <v>0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>
        <v>4</v>
      </c>
      <c r="BF199">
        <v>2020</v>
      </c>
    </row>
    <row r="200" spans="1:58" x14ac:dyDescent="0.2">
      <c r="A200" s="7">
        <v>15</v>
      </c>
      <c r="B200" s="7">
        <v>33</v>
      </c>
      <c r="C200" s="7">
        <v>4</v>
      </c>
      <c r="D200" s="7">
        <v>0</v>
      </c>
      <c r="E200" s="7">
        <f t="shared" si="18"/>
        <v>52</v>
      </c>
      <c r="F200" s="11" t="s">
        <v>83</v>
      </c>
      <c r="G200">
        <v>15</v>
      </c>
      <c r="H200">
        <v>33</v>
      </c>
      <c r="I200">
        <v>4</v>
      </c>
      <c r="J200">
        <v>0</v>
      </c>
      <c r="K200">
        <f t="shared" si="19"/>
        <v>52</v>
      </c>
      <c r="L200" t="s">
        <v>83</v>
      </c>
      <c r="M200">
        <v>6301.7590639</v>
      </c>
      <c r="N200" s="7">
        <v>20</v>
      </c>
      <c r="O200" s="7">
        <v>35</v>
      </c>
      <c r="P200" s="7">
        <v>10</v>
      </c>
      <c r="Q200" s="7">
        <v>7</v>
      </c>
      <c r="R200" s="7">
        <f t="shared" si="20"/>
        <v>72</v>
      </c>
      <c r="S200" t="s">
        <v>36</v>
      </c>
      <c r="T200" s="7">
        <v>20</v>
      </c>
      <c r="U200" s="7">
        <v>35</v>
      </c>
      <c r="V200" s="7">
        <v>10</v>
      </c>
      <c r="W200" s="7">
        <v>7</v>
      </c>
      <c r="X200" s="7">
        <f t="shared" si="21"/>
        <v>72</v>
      </c>
      <c r="Y200" t="s">
        <v>36</v>
      </c>
      <c r="Z200">
        <v>2681.50857</v>
      </c>
      <c r="AA200" t="s">
        <v>638</v>
      </c>
      <c r="AB200">
        <v>49</v>
      </c>
      <c r="AC200">
        <v>0</v>
      </c>
      <c r="AD200" t="s">
        <v>178</v>
      </c>
      <c r="AE200" t="s">
        <v>41</v>
      </c>
      <c r="AF200" t="e">
        <v>#N/A</v>
      </c>
      <c r="AG200" s="8">
        <v>0</v>
      </c>
      <c r="AH200">
        <v>0</v>
      </c>
      <c r="AI200">
        <v>20</v>
      </c>
      <c r="AJ200">
        <v>0</v>
      </c>
      <c r="AK200" t="e">
        <v>#N/A</v>
      </c>
      <c r="AL200" t="e">
        <v>#N/A</v>
      </c>
      <c r="AM200">
        <v>20</v>
      </c>
      <c r="AN200">
        <v>0</v>
      </c>
      <c r="AO200">
        <v>0</v>
      </c>
      <c r="AP200">
        <v>0</v>
      </c>
      <c r="AQ200">
        <v>0</v>
      </c>
      <c r="AR200">
        <v>0.28846153846153844</v>
      </c>
      <c r="AS200">
        <v>0.63461538461538458</v>
      </c>
      <c r="AT200">
        <v>7.6923076923076927E-2</v>
      </c>
      <c r="AU200">
        <v>8983.2676338999991</v>
      </c>
      <c r="AV200">
        <v>3</v>
      </c>
      <c r="AW200">
        <f t="shared" si="22"/>
        <v>0</v>
      </c>
      <c r="AX200">
        <v>0</v>
      </c>
      <c r="AY200">
        <f t="shared" si="23"/>
        <v>0</v>
      </c>
      <c r="AZ200" t="e">
        <v>#N/A</v>
      </c>
      <c r="BA200">
        <v>12</v>
      </c>
      <c r="BB200">
        <v>2019</v>
      </c>
      <c r="BC200">
        <v>12</v>
      </c>
      <c r="BD200">
        <v>2019</v>
      </c>
      <c r="BE200">
        <v>12</v>
      </c>
      <c r="BF200">
        <v>2019</v>
      </c>
    </row>
    <row r="201" spans="1:58" x14ac:dyDescent="0.2">
      <c r="A201" s="7">
        <v>0</v>
      </c>
      <c r="B201" s="7">
        <v>0</v>
      </c>
      <c r="C201" s="7">
        <v>0</v>
      </c>
      <c r="D201" s="7">
        <v>0</v>
      </c>
      <c r="E201" s="7">
        <f t="shared" si="18"/>
        <v>0</v>
      </c>
      <c r="F201" s="11" t="e">
        <v>#N/A</v>
      </c>
      <c r="G201">
        <v>0</v>
      </c>
      <c r="H201">
        <v>0</v>
      </c>
      <c r="I201">
        <v>0</v>
      </c>
      <c r="J201">
        <v>0</v>
      </c>
      <c r="K201">
        <f t="shared" si="19"/>
        <v>0</v>
      </c>
      <c r="L201" t="e">
        <v>#N/A</v>
      </c>
      <c r="N201" s="7">
        <v>18</v>
      </c>
      <c r="O201" s="7">
        <v>37</v>
      </c>
      <c r="P201" s="7">
        <v>10</v>
      </c>
      <c r="Q201" s="7">
        <v>15</v>
      </c>
      <c r="R201" s="7">
        <f t="shared" si="20"/>
        <v>80</v>
      </c>
      <c r="S201" t="s">
        <v>36</v>
      </c>
      <c r="T201" s="7">
        <v>20</v>
      </c>
      <c r="U201" s="7">
        <v>39</v>
      </c>
      <c r="V201" s="7">
        <v>9</v>
      </c>
      <c r="W201" s="7">
        <v>18</v>
      </c>
      <c r="X201" s="7">
        <f t="shared" si="21"/>
        <v>86</v>
      </c>
      <c r="Y201" t="s">
        <v>36</v>
      </c>
      <c r="Z201">
        <v>120598.51812360001</v>
      </c>
      <c r="AA201" t="s">
        <v>639</v>
      </c>
      <c r="AB201">
        <v>68</v>
      </c>
      <c r="AC201">
        <v>43</v>
      </c>
      <c r="AD201" t="s">
        <v>179</v>
      </c>
      <c r="AE201" t="s">
        <v>41</v>
      </c>
      <c r="AF201" t="e">
        <v>#N/A</v>
      </c>
      <c r="AG201" s="8">
        <v>177</v>
      </c>
      <c r="AH201">
        <v>6</v>
      </c>
      <c r="AI201">
        <v>86</v>
      </c>
      <c r="AJ201">
        <v>0</v>
      </c>
      <c r="AK201">
        <v>3.3898305084745763E-2</v>
      </c>
      <c r="AL201">
        <v>0.4509876168016973</v>
      </c>
      <c r="AM201">
        <v>80</v>
      </c>
      <c r="AN201">
        <v>0</v>
      </c>
      <c r="AO201">
        <v>7.4999999999999997E-2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>
        <v>120598.51812360001</v>
      </c>
      <c r="AV201">
        <v>8</v>
      </c>
      <c r="AW201">
        <f t="shared" si="22"/>
        <v>0</v>
      </c>
      <c r="AX201">
        <v>43</v>
      </c>
      <c r="AY201">
        <f t="shared" si="23"/>
        <v>1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>
        <v>2</v>
      </c>
      <c r="BF201">
        <v>2019</v>
      </c>
    </row>
    <row r="202" spans="1:58" x14ac:dyDescent="0.2">
      <c r="A202" s="7">
        <v>1</v>
      </c>
      <c r="B202" s="7">
        <v>21</v>
      </c>
      <c r="C202" s="7">
        <v>0</v>
      </c>
      <c r="D202" s="7">
        <v>3</v>
      </c>
      <c r="E202" s="7">
        <f t="shared" si="18"/>
        <v>25</v>
      </c>
      <c r="F202" s="11" t="s">
        <v>36</v>
      </c>
      <c r="G202">
        <v>1</v>
      </c>
      <c r="H202">
        <v>21</v>
      </c>
      <c r="I202">
        <v>0</v>
      </c>
      <c r="J202">
        <v>3</v>
      </c>
      <c r="K202">
        <f t="shared" si="19"/>
        <v>25</v>
      </c>
      <c r="L202" t="s">
        <v>36</v>
      </c>
      <c r="M202">
        <v>10632.498553969999</v>
      </c>
      <c r="N202" s="7">
        <v>1</v>
      </c>
      <c r="O202" s="7">
        <v>21</v>
      </c>
      <c r="P202" s="7">
        <v>0</v>
      </c>
      <c r="Q202" s="7">
        <v>3</v>
      </c>
      <c r="R202" s="7">
        <f t="shared" si="20"/>
        <v>25</v>
      </c>
      <c r="S202" t="s">
        <v>36</v>
      </c>
      <c r="T202" s="7">
        <v>1</v>
      </c>
      <c r="U202" s="7">
        <v>21</v>
      </c>
      <c r="V202" s="7">
        <v>0</v>
      </c>
      <c r="W202" s="7">
        <v>3</v>
      </c>
      <c r="X202" s="7">
        <f t="shared" si="21"/>
        <v>25</v>
      </c>
      <c r="Y202" t="s">
        <v>36</v>
      </c>
      <c r="Z202">
        <v>16592.32118757</v>
      </c>
      <c r="AA202" t="s">
        <v>640</v>
      </c>
      <c r="AB202">
        <v>43</v>
      </c>
      <c r="AC202">
        <v>0</v>
      </c>
      <c r="AD202" t="s">
        <v>180</v>
      </c>
      <c r="AE202" t="s">
        <v>41</v>
      </c>
      <c r="AF202" t="e">
        <v>#N/A</v>
      </c>
      <c r="AG202" s="8">
        <v>273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0.12</v>
      </c>
      <c r="AR202">
        <v>0.04</v>
      </c>
      <c r="AS202">
        <v>0.84</v>
      </c>
      <c r="AT202">
        <v>0</v>
      </c>
      <c r="AU202">
        <v>27224.819741539999</v>
      </c>
      <c r="AV202">
        <v>7</v>
      </c>
      <c r="AW202">
        <f t="shared" si="22"/>
        <v>0</v>
      </c>
      <c r="AX202">
        <v>0</v>
      </c>
      <c r="AY202">
        <f t="shared" si="23"/>
        <v>0</v>
      </c>
      <c r="AZ202" t="e">
        <v>#N/A</v>
      </c>
      <c r="BA202">
        <v>3</v>
      </c>
      <c r="BB202">
        <v>2019</v>
      </c>
      <c r="BC202">
        <v>3</v>
      </c>
      <c r="BD202">
        <v>2019</v>
      </c>
      <c r="BE202">
        <v>1</v>
      </c>
      <c r="BF202">
        <v>2019</v>
      </c>
    </row>
    <row r="203" spans="1:58" x14ac:dyDescent="0.2">
      <c r="A203" s="7">
        <v>0</v>
      </c>
      <c r="B203" s="7">
        <v>0</v>
      </c>
      <c r="C203" s="7">
        <v>0</v>
      </c>
      <c r="D203" s="7">
        <v>0</v>
      </c>
      <c r="E203" s="7">
        <f t="shared" si="18"/>
        <v>0</v>
      </c>
      <c r="F203" s="11" t="e">
        <v>#N/A</v>
      </c>
      <c r="G203">
        <v>0</v>
      </c>
      <c r="H203">
        <v>0</v>
      </c>
      <c r="I203">
        <v>0</v>
      </c>
      <c r="J203">
        <v>0</v>
      </c>
      <c r="K203">
        <f t="shared" si="19"/>
        <v>0</v>
      </c>
      <c r="L203" t="e">
        <v>#N/A</v>
      </c>
      <c r="N203" s="7">
        <v>2</v>
      </c>
      <c r="O203" s="7">
        <v>10</v>
      </c>
      <c r="P203" s="7">
        <v>0</v>
      </c>
      <c r="Q203" s="7">
        <v>1</v>
      </c>
      <c r="R203" s="7">
        <f t="shared" si="20"/>
        <v>13</v>
      </c>
      <c r="S203" t="e">
        <v>#N/A</v>
      </c>
      <c r="T203" s="7">
        <v>2</v>
      </c>
      <c r="U203" s="7">
        <v>10</v>
      </c>
      <c r="V203" s="7">
        <v>0</v>
      </c>
      <c r="W203" s="7">
        <v>1</v>
      </c>
      <c r="X203" s="7">
        <f t="shared" si="21"/>
        <v>13</v>
      </c>
      <c r="Y203" t="s">
        <v>39</v>
      </c>
      <c r="Z203">
        <v>10381.047280000001</v>
      </c>
      <c r="AA203" t="s">
        <v>641</v>
      </c>
      <c r="AB203">
        <v>69</v>
      </c>
      <c r="AC203">
        <v>0</v>
      </c>
      <c r="AD203" t="s">
        <v>99</v>
      </c>
      <c r="AE203" t="s">
        <v>75</v>
      </c>
      <c r="AF203" t="e">
        <v>#N/A</v>
      </c>
      <c r="AG203" s="8">
        <v>246</v>
      </c>
      <c r="AH203">
        <v>0</v>
      </c>
      <c r="AI203">
        <v>13</v>
      </c>
      <c r="AJ203">
        <v>0</v>
      </c>
      <c r="AK203">
        <v>0</v>
      </c>
      <c r="AL203">
        <v>0</v>
      </c>
      <c r="AM203">
        <v>13</v>
      </c>
      <c r="AN203">
        <v>0</v>
      </c>
      <c r="AO203">
        <v>0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>
        <v>10381.047280000001</v>
      </c>
      <c r="AV203">
        <v>7</v>
      </c>
      <c r="AW203">
        <f t="shared" si="22"/>
        <v>0</v>
      </c>
      <c r="AX203">
        <v>0</v>
      </c>
      <c r="AY203">
        <f t="shared" si="23"/>
        <v>0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>
        <v>2</v>
      </c>
      <c r="BF203">
        <v>2019</v>
      </c>
    </row>
    <row r="204" spans="1:58" x14ac:dyDescent="0.2">
      <c r="A204" s="7">
        <v>11</v>
      </c>
      <c r="B204" s="7">
        <v>14</v>
      </c>
      <c r="C204" s="7">
        <v>6</v>
      </c>
      <c r="D204" s="7">
        <v>5</v>
      </c>
      <c r="E204" s="7">
        <f t="shared" si="18"/>
        <v>36</v>
      </c>
      <c r="F204" s="11" t="s">
        <v>39</v>
      </c>
      <c r="G204">
        <v>11</v>
      </c>
      <c r="H204">
        <v>14</v>
      </c>
      <c r="I204">
        <v>6</v>
      </c>
      <c r="J204">
        <v>5</v>
      </c>
      <c r="K204">
        <f t="shared" si="19"/>
        <v>36</v>
      </c>
      <c r="L204" t="s">
        <v>39</v>
      </c>
      <c r="M204">
        <v>14633.70054763</v>
      </c>
      <c r="N204" s="7">
        <v>12</v>
      </c>
      <c r="O204" s="7">
        <v>15</v>
      </c>
      <c r="P204" s="7">
        <v>6</v>
      </c>
      <c r="Q204" s="7">
        <v>6</v>
      </c>
      <c r="R204" s="7">
        <f t="shared" si="20"/>
        <v>39</v>
      </c>
      <c r="S204" t="s">
        <v>42</v>
      </c>
      <c r="T204" s="7">
        <v>12</v>
      </c>
      <c r="U204" s="7">
        <v>15</v>
      </c>
      <c r="V204" s="7">
        <v>6</v>
      </c>
      <c r="W204" s="7">
        <v>6</v>
      </c>
      <c r="X204" s="7">
        <f t="shared" si="21"/>
        <v>39</v>
      </c>
      <c r="Y204" t="s">
        <v>42</v>
      </c>
      <c r="Z204">
        <v>8924.5007610399989</v>
      </c>
      <c r="AA204" t="s">
        <v>642</v>
      </c>
      <c r="AB204" t="e">
        <v>#N/A</v>
      </c>
      <c r="AF204">
        <v>195</v>
      </c>
      <c r="AG204" s="8">
        <v>0</v>
      </c>
      <c r="AH204">
        <v>0</v>
      </c>
      <c r="AI204">
        <v>3</v>
      </c>
      <c r="AJ204">
        <v>0</v>
      </c>
      <c r="AK204" t="e">
        <v>#N/A</v>
      </c>
      <c r="AL204" t="e">
        <v>#N/A</v>
      </c>
      <c r="AM204">
        <v>3</v>
      </c>
      <c r="AN204">
        <v>0</v>
      </c>
      <c r="AO204">
        <v>0</v>
      </c>
      <c r="AP204">
        <v>0</v>
      </c>
      <c r="AQ204">
        <v>0.1388888888888889</v>
      </c>
      <c r="AR204">
        <v>0.30555555555555558</v>
      </c>
      <c r="AS204">
        <v>0.3888888888888889</v>
      </c>
      <c r="AT204">
        <v>0.16666666666666666</v>
      </c>
      <c r="AU204">
        <v>23558.201308669999</v>
      </c>
      <c r="AV204" t="s">
        <v>489</v>
      </c>
      <c r="AW204" t="str">
        <f t="shared" si="22"/>
        <v>n/a</v>
      </c>
      <c r="AY204" t="e">
        <f t="shared" si="23"/>
        <v>#N/A</v>
      </c>
      <c r="AZ204" t="e">
        <v>#N/A</v>
      </c>
      <c r="BA204">
        <v>5</v>
      </c>
      <c r="BB204">
        <v>2018</v>
      </c>
      <c r="BC204">
        <v>11</v>
      </c>
      <c r="BD204">
        <v>2018</v>
      </c>
      <c r="BE204">
        <v>1</v>
      </c>
      <c r="BF204">
        <v>2018</v>
      </c>
    </row>
    <row r="205" spans="1:58" x14ac:dyDescent="0.2">
      <c r="A205" s="7">
        <v>8</v>
      </c>
      <c r="B205" s="7">
        <v>15</v>
      </c>
      <c r="C205" s="7">
        <v>3</v>
      </c>
      <c r="D205" s="7">
        <v>5</v>
      </c>
      <c r="E205" s="7">
        <f t="shared" si="18"/>
        <v>31</v>
      </c>
      <c r="F205" s="11" t="s">
        <v>36</v>
      </c>
      <c r="G205">
        <v>8</v>
      </c>
      <c r="H205">
        <v>15</v>
      </c>
      <c r="I205">
        <v>3</v>
      </c>
      <c r="J205">
        <v>5</v>
      </c>
      <c r="K205">
        <f t="shared" si="19"/>
        <v>31</v>
      </c>
      <c r="L205" t="s">
        <v>36</v>
      </c>
      <c r="M205">
        <v>27141.8156576</v>
      </c>
      <c r="N205" s="7">
        <v>8</v>
      </c>
      <c r="O205" s="7">
        <v>11</v>
      </c>
      <c r="P205" s="7">
        <v>3</v>
      </c>
      <c r="Q205" s="7">
        <v>5</v>
      </c>
      <c r="R205" s="7">
        <f t="shared" si="20"/>
        <v>27</v>
      </c>
      <c r="S205" t="s">
        <v>36</v>
      </c>
      <c r="T205" s="7">
        <v>8</v>
      </c>
      <c r="U205" s="7">
        <v>14</v>
      </c>
      <c r="V205" s="7">
        <v>2</v>
      </c>
      <c r="W205" s="7">
        <v>5</v>
      </c>
      <c r="X205" s="7">
        <f t="shared" si="21"/>
        <v>29</v>
      </c>
      <c r="Y205" t="s">
        <v>66</v>
      </c>
      <c r="Z205">
        <v>24171.464579380001</v>
      </c>
      <c r="AA205" t="s">
        <v>643</v>
      </c>
      <c r="AB205">
        <v>66</v>
      </c>
      <c r="AC205">
        <v>44</v>
      </c>
      <c r="AD205" t="s">
        <v>117</v>
      </c>
      <c r="AE205" t="s">
        <v>75</v>
      </c>
      <c r="AF205" t="e">
        <v>#N/A</v>
      </c>
      <c r="AG205" s="8">
        <v>101</v>
      </c>
      <c r="AH205">
        <v>2</v>
      </c>
      <c r="AI205">
        <v>-2</v>
      </c>
      <c r="AJ205">
        <v>0</v>
      </c>
      <c r="AK205">
        <v>1.9801980198019802E-2</v>
      </c>
      <c r="AL205">
        <v>0.19900743804199783</v>
      </c>
      <c r="AM205">
        <v>-4</v>
      </c>
      <c r="AN205">
        <v>1</v>
      </c>
      <c r="AO205">
        <v>7.407407407407407E-2</v>
      </c>
      <c r="AP205">
        <v>6.4516129032258063E-2</v>
      </c>
      <c r="AQ205">
        <v>0.16129032258064516</v>
      </c>
      <c r="AR205">
        <v>0.25806451612903225</v>
      </c>
      <c r="AS205">
        <v>0.4838709677419355</v>
      </c>
      <c r="AT205">
        <v>9.6774193548387094E-2</v>
      </c>
      <c r="AU205">
        <v>51313.280236980005</v>
      </c>
      <c r="AV205">
        <v>11</v>
      </c>
      <c r="AW205">
        <f t="shared" si="22"/>
        <v>1</v>
      </c>
      <c r="AX205">
        <v>44</v>
      </c>
      <c r="AY205">
        <f t="shared" si="23"/>
        <v>1</v>
      </c>
      <c r="AZ205" t="e">
        <v>#N/A</v>
      </c>
      <c r="BA205">
        <v>1</v>
      </c>
      <c r="BB205">
        <v>2019</v>
      </c>
      <c r="BC205">
        <v>1</v>
      </c>
      <c r="BD205">
        <v>2019</v>
      </c>
      <c r="BE205">
        <v>1</v>
      </c>
      <c r="BF205">
        <v>2019</v>
      </c>
    </row>
    <row r="206" spans="1:58" x14ac:dyDescent="0.2">
      <c r="A206" s="7">
        <v>3</v>
      </c>
      <c r="B206" s="7">
        <v>11</v>
      </c>
      <c r="C206" s="7">
        <v>0</v>
      </c>
      <c r="D206" s="7">
        <v>3</v>
      </c>
      <c r="E206" s="7">
        <f t="shared" si="18"/>
        <v>17</v>
      </c>
      <c r="F206" s="11" t="e">
        <v>#N/A</v>
      </c>
      <c r="G206">
        <v>2</v>
      </c>
      <c r="H206">
        <v>11</v>
      </c>
      <c r="I206">
        <v>0</v>
      </c>
      <c r="J206">
        <v>5</v>
      </c>
      <c r="K206">
        <f t="shared" si="19"/>
        <v>18</v>
      </c>
      <c r="L206" t="e">
        <v>#N/A</v>
      </c>
      <c r="M206">
        <v>21926.89549028</v>
      </c>
      <c r="N206" s="7">
        <v>8</v>
      </c>
      <c r="O206" s="7">
        <v>15</v>
      </c>
      <c r="P206" s="7">
        <v>0</v>
      </c>
      <c r="Q206" s="7">
        <v>3</v>
      </c>
      <c r="R206" s="7">
        <f t="shared" si="20"/>
        <v>26</v>
      </c>
      <c r="S206" t="e">
        <v>#N/A</v>
      </c>
      <c r="T206" s="7">
        <v>9</v>
      </c>
      <c r="U206" s="7">
        <v>11</v>
      </c>
      <c r="V206" s="7">
        <v>0</v>
      </c>
      <c r="W206" s="7">
        <v>3</v>
      </c>
      <c r="X206" s="7">
        <f t="shared" si="21"/>
        <v>23</v>
      </c>
      <c r="Y206" t="e">
        <v>#N/A</v>
      </c>
      <c r="Z206">
        <v>43516.921678309998</v>
      </c>
      <c r="AA206" t="s">
        <v>181</v>
      </c>
      <c r="AB206">
        <v>68</v>
      </c>
      <c r="AC206">
        <v>18</v>
      </c>
      <c r="AD206" t="s">
        <v>76</v>
      </c>
      <c r="AE206" t="s">
        <v>75</v>
      </c>
      <c r="AF206">
        <v>139</v>
      </c>
      <c r="AG206" s="8">
        <v>229</v>
      </c>
      <c r="AH206">
        <v>-3</v>
      </c>
      <c r="AI206">
        <v>6</v>
      </c>
      <c r="AJ206">
        <v>1</v>
      </c>
      <c r="AK206">
        <v>-1.3100436681222707E-2</v>
      </c>
      <c r="AL206">
        <v>-0.19824558013652693</v>
      </c>
      <c r="AM206">
        <v>8</v>
      </c>
      <c r="AN206">
        <v>0</v>
      </c>
      <c r="AO206">
        <v>-0.11538461538461539</v>
      </c>
      <c r="AP206">
        <v>-0.17647058823529413</v>
      </c>
      <c r="AQ206">
        <v>0.17647058823529413</v>
      </c>
      <c r="AR206">
        <v>0.17647058823529413</v>
      </c>
      <c r="AS206">
        <v>0.6470588235294118</v>
      </c>
      <c r="AT206">
        <v>0</v>
      </c>
      <c r="AU206">
        <v>65443.817168590002</v>
      </c>
      <c r="AV206">
        <v>11</v>
      </c>
      <c r="AW206">
        <f t="shared" si="22"/>
        <v>1</v>
      </c>
      <c r="AX206">
        <v>18</v>
      </c>
      <c r="AY206">
        <f t="shared" si="23"/>
        <v>1</v>
      </c>
      <c r="AZ206">
        <v>0.12949640287769784</v>
      </c>
      <c r="BA206">
        <v>2</v>
      </c>
      <c r="BB206">
        <v>2020</v>
      </c>
      <c r="BC206">
        <v>6</v>
      </c>
      <c r="BD206">
        <v>2020</v>
      </c>
      <c r="BE206">
        <v>1</v>
      </c>
      <c r="BF206">
        <v>2020</v>
      </c>
    </row>
    <row r="207" spans="1:58" x14ac:dyDescent="0.2">
      <c r="A207" s="7">
        <v>8</v>
      </c>
      <c r="B207" s="7">
        <v>16</v>
      </c>
      <c r="C207" s="7">
        <v>4</v>
      </c>
      <c r="D207" s="7">
        <v>4</v>
      </c>
      <c r="E207" s="7">
        <f t="shared" si="18"/>
        <v>32</v>
      </c>
      <c r="F207" s="11" t="e">
        <v>#N/A</v>
      </c>
      <c r="G207">
        <v>8</v>
      </c>
      <c r="H207">
        <v>16</v>
      </c>
      <c r="I207">
        <v>4</v>
      </c>
      <c r="J207">
        <v>4</v>
      </c>
      <c r="K207">
        <f t="shared" si="19"/>
        <v>32</v>
      </c>
      <c r="L207" t="e">
        <v>#N/A</v>
      </c>
      <c r="M207">
        <v>21555.03526855</v>
      </c>
      <c r="N207" s="7">
        <v>12</v>
      </c>
      <c r="O207" s="7">
        <v>27</v>
      </c>
      <c r="P207" s="7">
        <v>4</v>
      </c>
      <c r="Q207" s="7">
        <v>0</v>
      </c>
      <c r="R207" s="7">
        <f t="shared" si="20"/>
        <v>43</v>
      </c>
      <c r="S207" t="e">
        <v>#N/A</v>
      </c>
      <c r="T207" s="7">
        <v>12</v>
      </c>
      <c r="U207" s="7">
        <v>27</v>
      </c>
      <c r="V207" s="7">
        <v>4</v>
      </c>
      <c r="W207" s="7">
        <v>0</v>
      </c>
      <c r="X207" s="7">
        <f t="shared" si="21"/>
        <v>43</v>
      </c>
      <c r="Y207" t="e">
        <v>#N/A</v>
      </c>
      <c r="Z207">
        <v>902.06986000000006</v>
      </c>
      <c r="AA207" t="s">
        <v>182</v>
      </c>
      <c r="AB207">
        <v>59</v>
      </c>
      <c r="AC207">
        <v>0</v>
      </c>
      <c r="AD207" t="s">
        <v>92</v>
      </c>
      <c r="AE207" t="s">
        <v>41</v>
      </c>
      <c r="AF207" t="e">
        <v>#N/A</v>
      </c>
      <c r="AG207" s="8">
        <v>0</v>
      </c>
      <c r="AH207">
        <v>0</v>
      </c>
      <c r="AI207">
        <v>11</v>
      </c>
      <c r="AJ207">
        <v>0</v>
      </c>
      <c r="AK207" t="e">
        <v>#N/A</v>
      </c>
      <c r="AL207" t="e">
        <v>#N/A</v>
      </c>
      <c r="AM207">
        <v>11</v>
      </c>
      <c r="AN207">
        <v>0</v>
      </c>
      <c r="AO207">
        <v>0</v>
      </c>
      <c r="AP207">
        <v>0</v>
      </c>
      <c r="AQ207">
        <v>0.125</v>
      </c>
      <c r="AR207">
        <v>0.25</v>
      </c>
      <c r="AS207">
        <v>0.5</v>
      </c>
      <c r="AT207">
        <v>0.125</v>
      </c>
      <c r="AU207">
        <v>22457.10512855</v>
      </c>
      <c r="AV207">
        <v>6</v>
      </c>
      <c r="AW207">
        <f t="shared" si="22"/>
        <v>0</v>
      </c>
      <c r="AX207">
        <v>0</v>
      </c>
      <c r="AY207">
        <f t="shared" si="23"/>
        <v>0</v>
      </c>
      <c r="AZ207" t="e">
        <v>#N/A</v>
      </c>
      <c r="BA207">
        <v>8</v>
      </c>
      <c r="BB207">
        <v>2020</v>
      </c>
      <c r="BC207">
        <v>8</v>
      </c>
      <c r="BD207">
        <v>2020</v>
      </c>
      <c r="BE207">
        <v>1</v>
      </c>
      <c r="BF207">
        <v>2020</v>
      </c>
    </row>
    <row r="208" spans="1:58" x14ac:dyDescent="0.2">
      <c r="A208" s="7">
        <v>3</v>
      </c>
      <c r="B208" s="7">
        <v>13</v>
      </c>
      <c r="C208" s="7">
        <v>0</v>
      </c>
      <c r="D208" s="7">
        <v>0</v>
      </c>
      <c r="E208" s="7">
        <f t="shared" si="18"/>
        <v>16</v>
      </c>
      <c r="F208" s="11" t="s">
        <v>55</v>
      </c>
      <c r="G208">
        <v>3</v>
      </c>
      <c r="H208">
        <v>13</v>
      </c>
      <c r="I208">
        <v>0</v>
      </c>
      <c r="J208">
        <v>0</v>
      </c>
      <c r="K208">
        <f t="shared" si="19"/>
        <v>16</v>
      </c>
      <c r="L208" t="s">
        <v>55</v>
      </c>
      <c r="M208">
        <v>13375.568207640001</v>
      </c>
      <c r="N208" s="7">
        <v>3</v>
      </c>
      <c r="O208" s="7">
        <v>13</v>
      </c>
      <c r="P208" s="7">
        <v>0</v>
      </c>
      <c r="Q208" s="7">
        <v>0</v>
      </c>
      <c r="R208" s="7">
        <f t="shared" si="20"/>
        <v>16</v>
      </c>
      <c r="S208" t="s">
        <v>55</v>
      </c>
      <c r="T208" s="7">
        <v>3</v>
      </c>
      <c r="U208" s="7">
        <v>13</v>
      </c>
      <c r="V208" s="7">
        <v>0</v>
      </c>
      <c r="W208" s="7">
        <v>0</v>
      </c>
      <c r="X208" s="7">
        <f t="shared" si="21"/>
        <v>16</v>
      </c>
      <c r="Y208" t="s">
        <v>55</v>
      </c>
      <c r="Z208">
        <v>32366.11508525</v>
      </c>
      <c r="AA208" t="s">
        <v>644</v>
      </c>
      <c r="AB208">
        <v>32</v>
      </c>
      <c r="AC208">
        <v>0</v>
      </c>
      <c r="AD208" t="s">
        <v>183</v>
      </c>
      <c r="AE208" t="s">
        <v>75</v>
      </c>
      <c r="AF208" t="e">
        <v>#N/A</v>
      </c>
      <c r="AG208" s="8">
        <v>193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0.1875</v>
      </c>
      <c r="AS208">
        <v>0.8125</v>
      </c>
      <c r="AT208">
        <v>0</v>
      </c>
      <c r="AU208">
        <v>45741.683292889997</v>
      </c>
      <c r="AV208">
        <v>3</v>
      </c>
      <c r="AW208">
        <f t="shared" si="22"/>
        <v>0</v>
      </c>
      <c r="AX208">
        <v>0</v>
      </c>
      <c r="AY208">
        <f t="shared" si="23"/>
        <v>0</v>
      </c>
      <c r="AZ208" t="e">
        <v>#N/A</v>
      </c>
      <c r="BA208">
        <v>6</v>
      </c>
      <c r="BB208">
        <v>2019</v>
      </c>
      <c r="BC208">
        <v>6</v>
      </c>
      <c r="BD208">
        <v>2019</v>
      </c>
      <c r="BE208">
        <v>1</v>
      </c>
      <c r="BF208">
        <v>2019</v>
      </c>
    </row>
    <row r="209" spans="1:58" x14ac:dyDescent="0.2">
      <c r="A209" s="7">
        <v>20</v>
      </c>
      <c r="B209" s="7">
        <v>36</v>
      </c>
      <c r="C209" s="7">
        <v>9</v>
      </c>
      <c r="D209" s="7">
        <v>7</v>
      </c>
      <c r="E209" s="7">
        <f t="shared" si="18"/>
        <v>72</v>
      </c>
      <c r="F209" s="11" t="s">
        <v>36</v>
      </c>
      <c r="G209">
        <v>20</v>
      </c>
      <c r="H209">
        <v>36</v>
      </c>
      <c r="I209">
        <v>9</v>
      </c>
      <c r="J209">
        <v>7</v>
      </c>
      <c r="K209">
        <f t="shared" si="19"/>
        <v>72</v>
      </c>
      <c r="L209" t="s">
        <v>36</v>
      </c>
      <c r="M209">
        <v>10288.34737582</v>
      </c>
      <c r="N209" s="7">
        <v>20</v>
      </c>
      <c r="O209" s="7">
        <v>34</v>
      </c>
      <c r="P209" s="7">
        <v>6</v>
      </c>
      <c r="Q209" s="7">
        <v>0</v>
      </c>
      <c r="R209" s="7">
        <f t="shared" si="20"/>
        <v>60</v>
      </c>
      <c r="S209" t="e">
        <v>#N/A</v>
      </c>
      <c r="T209" s="7">
        <v>20</v>
      </c>
      <c r="U209" s="7">
        <v>34</v>
      </c>
      <c r="V209" s="7">
        <v>6</v>
      </c>
      <c r="W209" s="7">
        <v>0</v>
      </c>
      <c r="X209" s="7">
        <f t="shared" si="21"/>
        <v>60</v>
      </c>
      <c r="Y209" t="e">
        <v>#N/A</v>
      </c>
      <c r="Z209">
        <v>8248.8876798800011</v>
      </c>
      <c r="AA209" t="s">
        <v>645</v>
      </c>
      <c r="AB209">
        <v>31</v>
      </c>
      <c r="AC209">
        <v>0</v>
      </c>
      <c r="AD209" t="s">
        <v>99</v>
      </c>
      <c r="AE209" t="s">
        <v>41</v>
      </c>
      <c r="AF209" t="e">
        <v>#N/A</v>
      </c>
      <c r="AG209" s="8">
        <v>0</v>
      </c>
      <c r="AH209">
        <v>0</v>
      </c>
      <c r="AI209">
        <v>-12</v>
      </c>
      <c r="AJ209">
        <v>0</v>
      </c>
      <c r="AK209" t="e">
        <v>#N/A</v>
      </c>
      <c r="AL209" t="e">
        <v>#N/A</v>
      </c>
      <c r="AM209">
        <v>-12</v>
      </c>
      <c r="AN209">
        <v>1</v>
      </c>
      <c r="AO209">
        <v>0</v>
      </c>
      <c r="AP209">
        <v>0</v>
      </c>
      <c r="AQ209">
        <v>9.7222222222222224E-2</v>
      </c>
      <c r="AR209">
        <v>0.27777777777777779</v>
      </c>
      <c r="AS209">
        <v>0.5</v>
      </c>
      <c r="AT209">
        <v>0.125</v>
      </c>
      <c r="AU209">
        <v>18537.235055700003</v>
      </c>
      <c r="AV209">
        <v>8</v>
      </c>
      <c r="AW209">
        <f t="shared" si="22"/>
        <v>0</v>
      </c>
      <c r="AX209">
        <v>0</v>
      </c>
      <c r="AY209">
        <f t="shared" si="23"/>
        <v>0</v>
      </c>
      <c r="AZ209" t="e">
        <v>#N/A</v>
      </c>
      <c r="BA209">
        <v>9</v>
      </c>
      <c r="BB209">
        <v>2019</v>
      </c>
      <c r="BC209">
        <v>9</v>
      </c>
      <c r="BD209">
        <v>2019</v>
      </c>
      <c r="BE209">
        <v>10</v>
      </c>
      <c r="BF209">
        <v>2019</v>
      </c>
    </row>
    <row r="210" spans="1:58" x14ac:dyDescent="0.2">
      <c r="A210" s="7">
        <v>15</v>
      </c>
      <c r="B210" s="7">
        <v>35</v>
      </c>
      <c r="C210" s="7">
        <v>4</v>
      </c>
      <c r="D210" s="7">
        <v>3</v>
      </c>
      <c r="E210" s="7">
        <f t="shared" si="18"/>
        <v>57</v>
      </c>
      <c r="F210" s="11" t="s">
        <v>36</v>
      </c>
      <c r="G210">
        <v>15</v>
      </c>
      <c r="H210">
        <v>35</v>
      </c>
      <c r="I210">
        <v>4</v>
      </c>
      <c r="J210">
        <v>3</v>
      </c>
      <c r="K210">
        <f t="shared" si="19"/>
        <v>57</v>
      </c>
      <c r="L210" t="s">
        <v>36</v>
      </c>
      <c r="M210">
        <v>11045.7854536</v>
      </c>
      <c r="N210" s="7">
        <v>6</v>
      </c>
      <c r="O210" s="7">
        <v>15</v>
      </c>
      <c r="P210" s="7">
        <v>2</v>
      </c>
      <c r="Q210" s="7">
        <v>3</v>
      </c>
      <c r="R210" s="7">
        <f t="shared" si="20"/>
        <v>26</v>
      </c>
      <c r="S210" t="s">
        <v>36</v>
      </c>
      <c r="T210" s="7">
        <v>7</v>
      </c>
      <c r="U210" s="7">
        <v>15</v>
      </c>
      <c r="V210" s="7">
        <v>4</v>
      </c>
      <c r="W210" s="7">
        <v>4</v>
      </c>
      <c r="X210" s="7">
        <f t="shared" si="21"/>
        <v>30</v>
      </c>
      <c r="Y210" t="s">
        <v>42</v>
      </c>
      <c r="Z210">
        <v>61496.026351009998</v>
      </c>
      <c r="AA210" t="s">
        <v>646</v>
      </c>
      <c r="AB210">
        <v>40</v>
      </c>
      <c r="AC210">
        <v>0</v>
      </c>
      <c r="AD210" t="s">
        <v>184</v>
      </c>
      <c r="AE210" t="s">
        <v>75</v>
      </c>
      <c r="AF210" t="e">
        <v>#N/A</v>
      </c>
      <c r="AG210" s="8">
        <v>228</v>
      </c>
      <c r="AH210">
        <v>4</v>
      </c>
      <c r="AI210">
        <v>-27</v>
      </c>
      <c r="AJ210">
        <v>0</v>
      </c>
      <c r="AK210">
        <v>1.7543859649122806E-2</v>
      </c>
      <c r="AL210">
        <v>0.26490647141300877</v>
      </c>
      <c r="AM210">
        <v>-31</v>
      </c>
      <c r="AN210">
        <v>1</v>
      </c>
      <c r="AO210">
        <v>0.15384615384615385</v>
      </c>
      <c r="AP210">
        <v>7.0175438596491224E-2</v>
      </c>
      <c r="AQ210">
        <v>5.2631578947368418E-2</v>
      </c>
      <c r="AR210">
        <v>0.26315789473684209</v>
      </c>
      <c r="AS210">
        <v>0.61403508771929827</v>
      </c>
      <c r="AT210">
        <v>7.0175438596491224E-2</v>
      </c>
      <c r="AU210">
        <v>72541.811804609999</v>
      </c>
      <c r="AV210">
        <v>4</v>
      </c>
      <c r="AW210">
        <f t="shared" si="22"/>
        <v>0</v>
      </c>
      <c r="AX210">
        <v>0</v>
      </c>
      <c r="AY210">
        <f t="shared" si="23"/>
        <v>0</v>
      </c>
      <c r="AZ210" t="e">
        <v>#N/A</v>
      </c>
      <c r="BA210">
        <v>5</v>
      </c>
      <c r="BB210">
        <v>2019</v>
      </c>
      <c r="BC210">
        <v>5</v>
      </c>
      <c r="BD210">
        <v>2019</v>
      </c>
      <c r="BE210">
        <v>1</v>
      </c>
      <c r="BF210">
        <v>2019</v>
      </c>
    </row>
    <row r="211" spans="1:58" x14ac:dyDescent="0.2">
      <c r="A211" s="7">
        <v>0</v>
      </c>
      <c r="B211" s="7">
        <v>0</v>
      </c>
      <c r="C211" s="7">
        <v>0</v>
      </c>
      <c r="D211" s="7">
        <v>0</v>
      </c>
      <c r="E211" s="7">
        <f t="shared" si="18"/>
        <v>0</v>
      </c>
      <c r="F211" s="11" t="s">
        <v>37</v>
      </c>
      <c r="G211">
        <v>0</v>
      </c>
      <c r="H211">
        <v>0</v>
      </c>
      <c r="I211">
        <v>0</v>
      </c>
      <c r="J211">
        <v>0</v>
      </c>
      <c r="K211">
        <f t="shared" si="19"/>
        <v>0</v>
      </c>
      <c r="L211" t="s">
        <v>37</v>
      </c>
      <c r="M211">
        <v>68482.455364110006</v>
      </c>
      <c r="N211" s="7">
        <v>1</v>
      </c>
      <c r="O211" s="7">
        <v>7</v>
      </c>
      <c r="P211" s="7">
        <v>0</v>
      </c>
      <c r="Q211" s="7">
        <v>0</v>
      </c>
      <c r="R211" s="7">
        <f t="shared" si="20"/>
        <v>8</v>
      </c>
      <c r="S211" t="s">
        <v>32</v>
      </c>
      <c r="T211" s="7">
        <v>6</v>
      </c>
      <c r="U211" s="7">
        <v>7</v>
      </c>
      <c r="V211" s="7">
        <v>0</v>
      </c>
      <c r="W211" s="7">
        <v>0</v>
      </c>
      <c r="X211" s="7">
        <f t="shared" si="21"/>
        <v>13</v>
      </c>
      <c r="Y211" t="e">
        <v>#N/A</v>
      </c>
      <c r="Z211">
        <v>133608.28751836001</v>
      </c>
      <c r="AA211" t="s">
        <v>647</v>
      </c>
      <c r="AB211">
        <v>69</v>
      </c>
      <c r="AC211">
        <v>884</v>
      </c>
      <c r="AD211" t="s">
        <v>46</v>
      </c>
      <c r="AE211" t="s">
        <v>75</v>
      </c>
      <c r="AF211">
        <v>32</v>
      </c>
      <c r="AG211" s="8">
        <v>377</v>
      </c>
      <c r="AH211">
        <v>5</v>
      </c>
      <c r="AI211">
        <v>13</v>
      </c>
      <c r="AJ211">
        <v>0</v>
      </c>
      <c r="AK211">
        <v>1.3262599469496022E-2</v>
      </c>
      <c r="AL211">
        <v>0.25751310131230237</v>
      </c>
      <c r="AM211">
        <v>8</v>
      </c>
      <c r="AN211">
        <v>0</v>
      </c>
      <c r="AO211">
        <v>0.625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>
        <v>202090.74288247002</v>
      </c>
      <c r="AV211">
        <v>19</v>
      </c>
      <c r="AW211">
        <f t="shared" si="22"/>
        <v>1</v>
      </c>
      <c r="AX211">
        <v>884</v>
      </c>
      <c r="AY211">
        <f t="shared" si="23"/>
        <v>1</v>
      </c>
      <c r="AZ211">
        <v>27.625</v>
      </c>
      <c r="BA211">
        <v>1</v>
      </c>
      <c r="BB211">
        <v>2019</v>
      </c>
      <c r="BC211">
        <v>2</v>
      </c>
      <c r="BD211">
        <v>2019</v>
      </c>
      <c r="BE211">
        <v>1</v>
      </c>
      <c r="BF211">
        <v>2019</v>
      </c>
    </row>
    <row r="212" spans="1:58" x14ac:dyDescent="0.2">
      <c r="A212" s="7">
        <v>14</v>
      </c>
      <c r="B212" s="7">
        <v>28</v>
      </c>
      <c r="C212" s="7">
        <v>4</v>
      </c>
      <c r="D212" s="7">
        <v>6</v>
      </c>
      <c r="E212" s="7">
        <f t="shared" si="18"/>
        <v>52</v>
      </c>
      <c r="F212" s="11" t="s">
        <v>36</v>
      </c>
      <c r="G212">
        <v>14</v>
      </c>
      <c r="H212">
        <v>28</v>
      </c>
      <c r="I212">
        <v>4</v>
      </c>
      <c r="J212">
        <v>6</v>
      </c>
      <c r="K212">
        <f t="shared" si="19"/>
        <v>52</v>
      </c>
      <c r="L212" t="s">
        <v>36</v>
      </c>
      <c r="M212">
        <v>15670.56820311</v>
      </c>
      <c r="N212" s="7">
        <v>10</v>
      </c>
      <c r="O212" s="7">
        <v>21</v>
      </c>
      <c r="P212" s="7">
        <v>4</v>
      </c>
      <c r="Q212" s="7">
        <v>6</v>
      </c>
      <c r="R212" s="7">
        <f t="shared" si="20"/>
        <v>41</v>
      </c>
      <c r="S212" t="s">
        <v>36</v>
      </c>
      <c r="T212" s="7">
        <v>11</v>
      </c>
      <c r="U212" s="7">
        <v>21</v>
      </c>
      <c r="V212" s="7">
        <v>4</v>
      </c>
      <c r="W212" s="7">
        <v>6</v>
      </c>
      <c r="X212" s="7">
        <f t="shared" si="21"/>
        <v>42</v>
      </c>
      <c r="Y212" t="s">
        <v>36</v>
      </c>
      <c r="Z212">
        <v>33686.265312739997</v>
      </c>
      <c r="AA212" t="s">
        <v>648</v>
      </c>
      <c r="AB212">
        <v>62</v>
      </c>
      <c r="AC212">
        <v>0</v>
      </c>
      <c r="AD212" t="s">
        <v>185</v>
      </c>
      <c r="AE212" t="s">
        <v>75</v>
      </c>
      <c r="AF212" t="e">
        <v>#N/A</v>
      </c>
      <c r="AG212" s="8">
        <v>142</v>
      </c>
      <c r="AH212">
        <v>1</v>
      </c>
      <c r="AI212">
        <v>-10</v>
      </c>
      <c r="AJ212">
        <v>0</v>
      </c>
      <c r="AK212">
        <v>7.0422535211267607E-3</v>
      </c>
      <c r="AL212">
        <v>8.3918135829668908E-2</v>
      </c>
      <c r="AM212">
        <v>-11</v>
      </c>
      <c r="AN212">
        <v>1</v>
      </c>
      <c r="AO212">
        <v>2.4390243902439025E-2</v>
      </c>
      <c r="AP212">
        <v>1.9230769230769232E-2</v>
      </c>
      <c r="AQ212">
        <v>0.11538461538461539</v>
      </c>
      <c r="AR212">
        <v>0.26923076923076922</v>
      </c>
      <c r="AS212">
        <v>0.53846153846153844</v>
      </c>
      <c r="AT212">
        <v>7.6923076923076927E-2</v>
      </c>
      <c r="AU212">
        <v>49356.833515849998</v>
      </c>
      <c r="AV212">
        <v>6</v>
      </c>
      <c r="AW212">
        <f t="shared" si="22"/>
        <v>0</v>
      </c>
      <c r="AX212">
        <v>0</v>
      </c>
      <c r="AY212">
        <f t="shared" si="23"/>
        <v>0</v>
      </c>
      <c r="AZ212" t="e">
        <v>#N/A</v>
      </c>
      <c r="BA212">
        <v>8</v>
      </c>
      <c r="BB212">
        <v>2019</v>
      </c>
      <c r="BC212">
        <v>8</v>
      </c>
      <c r="BD212">
        <v>2019</v>
      </c>
      <c r="BE212">
        <v>1</v>
      </c>
      <c r="BF212">
        <v>2019</v>
      </c>
    </row>
    <row r="213" spans="1:58" x14ac:dyDescent="0.2">
      <c r="A213" s="7">
        <v>12</v>
      </c>
      <c r="B213" s="7">
        <v>20</v>
      </c>
      <c r="C213" s="7">
        <v>6</v>
      </c>
      <c r="D213" s="7">
        <v>5</v>
      </c>
      <c r="E213" s="7">
        <f t="shared" si="18"/>
        <v>43</v>
      </c>
      <c r="F213" s="11" t="s">
        <v>36</v>
      </c>
      <c r="G213">
        <v>16</v>
      </c>
      <c r="H213">
        <v>31</v>
      </c>
      <c r="I213">
        <v>6</v>
      </c>
      <c r="J213">
        <v>5</v>
      </c>
      <c r="K213">
        <f t="shared" si="19"/>
        <v>58</v>
      </c>
      <c r="L213" t="s">
        <v>36</v>
      </c>
      <c r="M213">
        <v>23327.344531629999</v>
      </c>
      <c r="N213" s="7">
        <v>17</v>
      </c>
      <c r="O213" s="7">
        <v>21</v>
      </c>
      <c r="P213" s="7">
        <v>7</v>
      </c>
      <c r="Q213" s="7">
        <v>5</v>
      </c>
      <c r="R213" s="7">
        <f t="shared" si="20"/>
        <v>50</v>
      </c>
      <c r="S213" t="s">
        <v>36</v>
      </c>
      <c r="T213" s="7">
        <v>17</v>
      </c>
      <c r="U213" s="7">
        <v>33</v>
      </c>
      <c r="V213" s="7">
        <v>7</v>
      </c>
      <c r="W213" s="7">
        <v>7</v>
      </c>
      <c r="X213" s="7">
        <f t="shared" si="21"/>
        <v>64</v>
      </c>
      <c r="Y213" t="s">
        <v>36</v>
      </c>
      <c r="Z213">
        <v>43137.093076419987</v>
      </c>
      <c r="AA213" t="s">
        <v>648</v>
      </c>
      <c r="AB213">
        <v>63</v>
      </c>
      <c r="AC213">
        <v>0</v>
      </c>
      <c r="AD213" t="s">
        <v>127</v>
      </c>
      <c r="AE213" t="s">
        <v>75</v>
      </c>
      <c r="AF213">
        <v>200</v>
      </c>
      <c r="AG213" s="8">
        <v>315</v>
      </c>
      <c r="AH213">
        <v>14</v>
      </c>
      <c r="AI213">
        <v>21</v>
      </c>
      <c r="AJ213">
        <v>15</v>
      </c>
      <c r="AK213">
        <v>4.4444444444444446E-2</v>
      </c>
      <c r="AL213">
        <v>0.78881063774661542</v>
      </c>
      <c r="AM213">
        <v>-8</v>
      </c>
      <c r="AN213">
        <v>1</v>
      </c>
      <c r="AO213">
        <v>0.28000000000000003</v>
      </c>
      <c r="AP213">
        <v>0.32558139534883723</v>
      </c>
      <c r="AQ213">
        <v>0.11627906976744186</v>
      </c>
      <c r="AR213">
        <v>0.27906976744186046</v>
      </c>
      <c r="AS213">
        <v>0.46511627906976744</v>
      </c>
      <c r="AT213">
        <v>0.13953488372093023</v>
      </c>
      <c r="AU213">
        <v>66464.437608049979</v>
      </c>
      <c r="AV213">
        <v>10</v>
      </c>
      <c r="AW213">
        <f t="shared" si="22"/>
        <v>1</v>
      </c>
      <c r="AX213">
        <v>0</v>
      </c>
      <c r="AY213">
        <f t="shared" si="23"/>
        <v>0</v>
      </c>
      <c r="AZ213">
        <v>0</v>
      </c>
      <c r="BA213">
        <v>2</v>
      </c>
      <c r="BB213">
        <v>2019</v>
      </c>
      <c r="BC213">
        <v>8</v>
      </c>
      <c r="BD213">
        <v>2019</v>
      </c>
      <c r="BE213">
        <v>1</v>
      </c>
      <c r="BF213">
        <v>2019</v>
      </c>
    </row>
    <row r="214" spans="1:58" x14ac:dyDescent="0.2">
      <c r="A214" s="7">
        <v>6</v>
      </c>
      <c r="B214" s="7">
        <v>3</v>
      </c>
      <c r="C214" s="7">
        <v>0</v>
      </c>
      <c r="D214" s="7">
        <v>0</v>
      </c>
      <c r="E214" s="7">
        <f t="shared" si="18"/>
        <v>9</v>
      </c>
      <c r="F214" s="11" t="e">
        <v>#N/A</v>
      </c>
      <c r="G214">
        <v>6</v>
      </c>
      <c r="H214">
        <v>3</v>
      </c>
      <c r="I214">
        <v>0</v>
      </c>
      <c r="J214">
        <v>0</v>
      </c>
      <c r="K214">
        <f t="shared" si="19"/>
        <v>9</v>
      </c>
      <c r="L214" t="e">
        <v>#N/A</v>
      </c>
      <c r="M214">
        <v>30131.921574430002</v>
      </c>
      <c r="N214" s="7">
        <v>0</v>
      </c>
      <c r="O214" s="7">
        <v>0</v>
      </c>
      <c r="P214" s="7">
        <v>0</v>
      </c>
      <c r="Q214" s="7">
        <v>0</v>
      </c>
      <c r="R214" s="7">
        <f t="shared" si="20"/>
        <v>0</v>
      </c>
      <c r="S214" t="e">
        <v>#N/A</v>
      </c>
      <c r="T214" s="7">
        <v>0</v>
      </c>
      <c r="U214" s="7">
        <v>0</v>
      </c>
      <c r="V214" s="7">
        <v>0</v>
      </c>
      <c r="W214" s="7">
        <v>0</v>
      </c>
      <c r="X214" s="7">
        <f t="shared" si="21"/>
        <v>0</v>
      </c>
      <c r="Y214" t="e">
        <v>#N/A</v>
      </c>
      <c r="AA214" t="s">
        <v>186</v>
      </c>
      <c r="AB214">
        <v>64</v>
      </c>
      <c r="AC214">
        <v>0</v>
      </c>
      <c r="AD214" t="s">
        <v>187</v>
      </c>
      <c r="AE214" t="s">
        <v>75</v>
      </c>
      <c r="AF214">
        <v>243</v>
      </c>
      <c r="AG214" s="8"/>
      <c r="AH214">
        <v>0</v>
      </c>
      <c r="AI214">
        <v>-9</v>
      </c>
      <c r="AJ214">
        <v>0</v>
      </c>
      <c r="AK214" t="e">
        <v>#N/A</v>
      </c>
      <c r="AL214" t="e">
        <v>#N/A</v>
      </c>
      <c r="AM214">
        <v>-9</v>
      </c>
      <c r="AN214">
        <v>1</v>
      </c>
      <c r="AO214" t="e">
        <v>#N/A</v>
      </c>
      <c r="AP214">
        <v>0</v>
      </c>
      <c r="AQ214">
        <v>0</v>
      </c>
      <c r="AR214">
        <v>0.66666666666666663</v>
      </c>
      <c r="AS214">
        <v>0.33333333333333331</v>
      </c>
      <c r="AT214">
        <v>0</v>
      </c>
      <c r="AU214">
        <v>30131.921574430002</v>
      </c>
      <c r="AV214">
        <v>8</v>
      </c>
      <c r="AW214">
        <f t="shared" si="22"/>
        <v>0</v>
      </c>
      <c r="AX214">
        <v>0</v>
      </c>
      <c r="AY214">
        <f t="shared" si="23"/>
        <v>0</v>
      </c>
      <c r="AZ214">
        <v>0</v>
      </c>
      <c r="BA214">
        <v>1</v>
      </c>
      <c r="BB214">
        <v>2020</v>
      </c>
      <c r="BC214">
        <v>9</v>
      </c>
      <c r="BD214">
        <v>2020</v>
      </c>
      <c r="BE214" t="e">
        <v>#N/A</v>
      </c>
      <c r="BF214" t="e">
        <v>#N/A</v>
      </c>
    </row>
    <row r="215" spans="1:58" x14ac:dyDescent="0.2">
      <c r="A215" s="7">
        <v>0</v>
      </c>
      <c r="B215" s="7">
        <v>15</v>
      </c>
      <c r="C215" s="7">
        <v>0</v>
      </c>
      <c r="D215" s="7">
        <v>0</v>
      </c>
      <c r="E215" s="7">
        <f t="shared" si="18"/>
        <v>15</v>
      </c>
      <c r="F215" s="11" t="s">
        <v>36</v>
      </c>
      <c r="G215">
        <v>0</v>
      </c>
      <c r="H215">
        <v>15</v>
      </c>
      <c r="I215">
        <v>0</v>
      </c>
      <c r="J215">
        <v>0</v>
      </c>
      <c r="K215">
        <f t="shared" si="19"/>
        <v>15</v>
      </c>
      <c r="L215" t="s">
        <v>36</v>
      </c>
      <c r="M215">
        <v>17358.517218730001</v>
      </c>
      <c r="N215" s="7">
        <v>0</v>
      </c>
      <c r="O215" s="7">
        <v>15</v>
      </c>
      <c r="P215" s="7">
        <v>0</v>
      </c>
      <c r="Q215" s="7">
        <v>0</v>
      </c>
      <c r="R215" s="7">
        <f t="shared" si="20"/>
        <v>15</v>
      </c>
      <c r="S215" t="s">
        <v>36</v>
      </c>
      <c r="T215" s="7">
        <v>0</v>
      </c>
      <c r="U215" s="7">
        <v>15</v>
      </c>
      <c r="V215" s="7">
        <v>0</v>
      </c>
      <c r="W215" s="7">
        <v>0</v>
      </c>
      <c r="X215" s="7">
        <f t="shared" si="21"/>
        <v>15</v>
      </c>
      <c r="Y215" t="s">
        <v>36</v>
      </c>
      <c r="Z215">
        <v>13556.75606066</v>
      </c>
      <c r="AA215" t="s">
        <v>649</v>
      </c>
      <c r="AB215">
        <v>77</v>
      </c>
      <c r="AC215">
        <v>0</v>
      </c>
      <c r="AD215" t="s">
        <v>99</v>
      </c>
      <c r="AE215" t="s">
        <v>41</v>
      </c>
      <c r="AF215" t="e">
        <v>#N/A</v>
      </c>
      <c r="AG215" s="8">
        <v>0</v>
      </c>
      <c r="AH215">
        <v>0</v>
      </c>
      <c r="AI215">
        <v>0</v>
      </c>
      <c r="AJ215">
        <v>0</v>
      </c>
      <c r="AK215" t="e">
        <v>#N/A</v>
      </c>
      <c r="AL215" t="e">
        <v>#N/A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30915.27327939</v>
      </c>
      <c r="AV215">
        <v>10</v>
      </c>
      <c r="AW215">
        <f t="shared" si="22"/>
        <v>1</v>
      </c>
      <c r="AX215">
        <v>0</v>
      </c>
      <c r="AY215">
        <f t="shared" si="23"/>
        <v>0</v>
      </c>
      <c r="AZ215" t="e">
        <v>#N/A</v>
      </c>
      <c r="BA215">
        <v>10</v>
      </c>
      <c r="BB215">
        <v>2019</v>
      </c>
      <c r="BC215">
        <v>10</v>
      </c>
      <c r="BD215">
        <v>2019</v>
      </c>
      <c r="BE215">
        <v>4</v>
      </c>
      <c r="BF215">
        <v>2019</v>
      </c>
    </row>
    <row r="216" spans="1:58" x14ac:dyDescent="0.2">
      <c r="A216" s="7">
        <v>0</v>
      </c>
      <c r="B216" s="7">
        <v>15</v>
      </c>
      <c r="C216" s="7">
        <v>0</v>
      </c>
      <c r="D216" s="7">
        <v>3</v>
      </c>
      <c r="E216" s="7">
        <f t="shared" si="18"/>
        <v>18</v>
      </c>
      <c r="F216" s="11" t="s">
        <v>36</v>
      </c>
      <c r="G216">
        <v>0</v>
      </c>
      <c r="H216">
        <v>15</v>
      </c>
      <c r="I216">
        <v>0</v>
      </c>
      <c r="J216">
        <v>3</v>
      </c>
      <c r="K216">
        <f t="shared" si="19"/>
        <v>18</v>
      </c>
      <c r="L216" t="s">
        <v>36</v>
      </c>
      <c r="M216">
        <v>19172.356197059999</v>
      </c>
      <c r="N216" s="7">
        <v>0</v>
      </c>
      <c r="O216" s="7">
        <v>15</v>
      </c>
      <c r="P216" s="7">
        <v>0</v>
      </c>
      <c r="Q216" s="7">
        <v>3</v>
      </c>
      <c r="R216" s="7">
        <f t="shared" si="20"/>
        <v>18</v>
      </c>
      <c r="S216" t="s">
        <v>83</v>
      </c>
      <c r="T216" s="7">
        <v>0</v>
      </c>
      <c r="U216" s="7">
        <v>15</v>
      </c>
      <c r="V216" s="7">
        <v>0</v>
      </c>
      <c r="W216" s="7">
        <v>3</v>
      </c>
      <c r="X216" s="7">
        <f t="shared" si="21"/>
        <v>18</v>
      </c>
      <c r="Y216" t="s">
        <v>83</v>
      </c>
      <c r="Z216">
        <v>8417.4752113400009</v>
      </c>
      <c r="AA216" t="s">
        <v>649</v>
      </c>
      <c r="AB216">
        <v>78</v>
      </c>
      <c r="AC216">
        <v>0</v>
      </c>
      <c r="AD216" t="s">
        <v>99</v>
      </c>
      <c r="AE216" t="s">
        <v>41</v>
      </c>
      <c r="AF216" t="e">
        <v>#N/A</v>
      </c>
      <c r="AG216" s="8">
        <v>0</v>
      </c>
      <c r="AH216">
        <v>0</v>
      </c>
      <c r="AI216">
        <v>0</v>
      </c>
      <c r="AJ216">
        <v>0</v>
      </c>
      <c r="AK216" t="e">
        <v>#N/A</v>
      </c>
      <c r="AL216" t="e">
        <v>#N/A</v>
      </c>
      <c r="AM216">
        <v>0</v>
      </c>
      <c r="AN216">
        <v>0</v>
      </c>
      <c r="AO216">
        <v>0</v>
      </c>
      <c r="AP216">
        <v>0</v>
      </c>
      <c r="AQ216">
        <v>0.16666666666666666</v>
      </c>
      <c r="AR216">
        <v>0</v>
      </c>
      <c r="AS216">
        <v>0.83333333333333337</v>
      </c>
      <c r="AT216">
        <v>0</v>
      </c>
      <c r="AU216">
        <v>27589.831408400001</v>
      </c>
      <c r="AV216">
        <v>5</v>
      </c>
      <c r="AW216">
        <f t="shared" si="22"/>
        <v>0</v>
      </c>
      <c r="AX216">
        <v>0</v>
      </c>
      <c r="AY216">
        <f t="shared" si="23"/>
        <v>0</v>
      </c>
      <c r="AZ216" t="e">
        <v>#N/A</v>
      </c>
      <c r="BA216">
        <v>11</v>
      </c>
      <c r="BB216">
        <v>2019</v>
      </c>
      <c r="BC216">
        <v>11</v>
      </c>
      <c r="BD216">
        <v>2019</v>
      </c>
      <c r="BE216">
        <v>1</v>
      </c>
      <c r="BF216">
        <v>2019</v>
      </c>
    </row>
    <row r="217" spans="1:58" x14ac:dyDescent="0.2">
      <c r="A217" s="7">
        <v>4</v>
      </c>
      <c r="B217" s="7">
        <v>17</v>
      </c>
      <c r="C217" s="7">
        <v>4</v>
      </c>
      <c r="D217" s="7">
        <v>5</v>
      </c>
      <c r="E217" s="7">
        <f t="shared" si="18"/>
        <v>30</v>
      </c>
      <c r="F217" s="11" t="s">
        <v>36</v>
      </c>
      <c r="G217">
        <v>6</v>
      </c>
      <c r="H217">
        <v>11</v>
      </c>
      <c r="I217">
        <v>4</v>
      </c>
      <c r="J217">
        <v>5</v>
      </c>
      <c r="K217">
        <f t="shared" si="19"/>
        <v>26</v>
      </c>
      <c r="L217" t="s">
        <v>36</v>
      </c>
      <c r="M217">
        <v>20856.63682752</v>
      </c>
      <c r="N217" s="7">
        <v>7</v>
      </c>
      <c r="O217" s="7">
        <v>10</v>
      </c>
      <c r="P217" s="7">
        <v>4</v>
      </c>
      <c r="Q217" s="7">
        <v>5</v>
      </c>
      <c r="R217" s="7">
        <f t="shared" si="20"/>
        <v>26</v>
      </c>
      <c r="S217" t="s">
        <v>36</v>
      </c>
      <c r="T217" s="7">
        <v>6</v>
      </c>
      <c r="U217" s="7">
        <v>11</v>
      </c>
      <c r="V217" s="7">
        <v>4</v>
      </c>
      <c r="W217" s="7">
        <v>5</v>
      </c>
      <c r="X217" s="7">
        <f t="shared" si="21"/>
        <v>26</v>
      </c>
      <c r="Y217" t="s">
        <v>36</v>
      </c>
      <c r="Z217">
        <v>15482.09143264</v>
      </c>
      <c r="AA217" t="s">
        <v>650</v>
      </c>
      <c r="AB217" t="e">
        <v>#N/A</v>
      </c>
      <c r="AF217">
        <v>15</v>
      </c>
      <c r="AG217" s="8">
        <v>222</v>
      </c>
      <c r="AH217">
        <v>0</v>
      </c>
      <c r="AI217">
        <v>-4</v>
      </c>
      <c r="AJ217">
        <v>-4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0.16666666666666666</v>
      </c>
      <c r="AR217">
        <v>0.13333333333333333</v>
      </c>
      <c r="AS217">
        <v>0.56666666666666665</v>
      </c>
      <c r="AT217">
        <v>0.13333333333333333</v>
      </c>
      <c r="AU217">
        <v>36338.728260160002</v>
      </c>
      <c r="AV217" t="s">
        <v>489</v>
      </c>
      <c r="AW217" t="str">
        <f t="shared" si="22"/>
        <v>n/a</v>
      </c>
      <c r="AY217" t="e">
        <f t="shared" si="23"/>
        <v>#N/A</v>
      </c>
      <c r="AZ217" t="e">
        <v>#N/A</v>
      </c>
      <c r="BA217">
        <v>8</v>
      </c>
      <c r="BB217">
        <v>2018</v>
      </c>
      <c r="BC217">
        <v>9</v>
      </c>
      <c r="BD217">
        <v>2018</v>
      </c>
      <c r="BE217">
        <v>2</v>
      </c>
      <c r="BF217">
        <v>2018</v>
      </c>
    </row>
    <row r="218" spans="1:58" x14ac:dyDescent="0.2">
      <c r="A218" s="7">
        <v>2</v>
      </c>
      <c r="B218" s="7">
        <v>0</v>
      </c>
      <c r="C218" s="7">
        <v>2</v>
      </c>
      <c r="D218" s="7">
        <v>0</v>
      </c>
      <c r="E218" s="7">
        <f t="shared" si="18"/>
        <v>4</v>
      </c>
      <c r="F218" s="11" t="e">
        <v>#N/A</v>
      </c>
      <c r="G218">
        <v>2</v>
      </c>
      <c r="H218">
        <v>0</v>
      </c>
      <c r="I218">
        <v>2</v>
      </c>
      <c r="J218">
        <v>0</v>
      </c>
      <c r="K218">
        <f t="shared" si="19"/>
        <v>4</v>
      </c>
      <c r="L218" t="e">
        <v>#N/A</v>
      </c>
      <c r="M218">
        <v>41848.451507470003</v>
      </c>
      <c r="N218" s="7">
        <v>15</v>
      </c>
      <c r="O218" s="7">
        <v>30</v>
      </c>
      <c r="P218" s="7">
        <v>7</v>
      </c>
      <c r="Q218" s="7">
        <v>6</v>
      </c>
      <c r="R218" s="7">
        <f t="shared" si="20"/>
        <v>58</v>
      </c>
      <c r="S218" t="e">
        <v>#N/A</v>
      </c>
      <c r="T218" s="7">
        <v>20</v>
      </c>
      <c r="U218" s="7">
        <v>36</v>
      </c>
      <c r="V218" s="7">
        <v>9</v>
      </c>
      <c r="W218" s="7">
        <v>26</v>
      </c>
      <c r="X218" s="7">
        <f t="shared" si="21"/>
        <v>91</v>
      </c>
      <c r="Y218" t="e">
        <v>#N/A</v>
      </c>
      <c r="Z218">
        <v>40607.108585550013</v>
      </c>
      <c r="AA218" t="s">
        <v>188</v>
      </c>
      <c r="AB218">
        <v>61</v>
      </c>
      <c r="AC218">
        <v>557</v>
      </c>
      <c r="AD218" t="s">
        <v>72</v>
      </c>
      <c r="AE218" t="s">
        <v>41</v>
      </c>
      <c r="AF218" t="e">
        <v>#N/A</v>
      </c>
      <c r="AG218" s="8">
        <v>176</v>
      </c>
      <c r="AH218">
        <v>33</v>
      </c>
      <c r="AI218">
        <v>87</v>
      </c>
      <c r="AJ218">
        <v>0</v>
      </c>
      <c r="AK218">
        <v>0.1875</v>
      </c>
      <c r="AL218">
        <v>2.4874685927665499</v>
      </c>
      <c r="AM218">
        <v>54</v>
      </c>
      <c r="AN218">
        <v>0</v>
      </c>
      <c r="AO218">
        <v>0.56896551724137934</v>
      </c>
      <c r="AP218">
        <v>8.25</v>
      </c>
      <c r="AQ218">
        <v>0</v>
      </c>
      <c r="AR218">
        <v>0.5</v>
      </c>
      <c r="AS218">
        <v>0</v>
      </c>
      <c r="AT218">
        <v>0.5</v>
      </c>
      <c r="AU218">
        <v>82455.560093020016</v>
      </c>
      <c r="AV218">
        <v>17</v>
      </c>
      <c r="AW218">
        <f t="shared" si="22"/>
        <v>1</v>
      </c>
      <c r="AX218">
        <v>557</v>
      </c>
      <c r="AY218">
        <f t="shared" si="23"/>
        <v>1</v>
      </c>
      <c r="AZ218" t="e">
        <v>#N/A</v>
      </c>
      <c r="BA218">
        <v>1</v>
      </c>
      <c r="BB218">
        <v>2020</v>
      </c>
      <c r="BC218">
        <v>1</v>
      </c>
      <c r="BD218">
        <v>2020</v>
      </c>
      <c r="BE218">
        <v>1</v>
      </c>
      <c r="BF218">
        <v>2020</v>
      </c>
    </row>
    <row r="219" spans="1:58" x14ac:dyDescent="0.2">
      <c r="A219" s="7">
        <v>1</v>
      </c>
      <c r="B219" s="7">
        <v>10</v>
      </c>
      <c r="C219" s="7">
        <v>0</v>
      </c>
      <c r="D219" s="7">
        <v>0</v>
      </c>
      <c r="E219" s="7">
        <f t="shared" si="18"/>
        <v>11</v>
      </c>
      <c r="F219" s="11" t="s">
        <v>36</v>
      </c>
      <c r="G219">
        <v>1</v>
      </c>
      <c r="H219">
        <v>10</v>
      </c>
      <c r="I219">
        <v>0</v>
      </c>
      <c r="J219">
        <v>0</v>
      </c>
      <c r="K219">
        <f t="shared" si="19"/>
        <v>11</v>
      </c>
      <c r="L219" t="s">
        <v>36</v>
      </c>
      <c r="M219">
        <v>16041.047783010001</v>
      </c>
      <c r="N219" s="7">
        <v>3</v>
      </c>
      <c r="O219" s="7">
        <v>10</v>
      </c>
      <c r="P219" s="7">
        <v>0</v>
      </c>
      <c r="Q219" s="7">
        <v>0</v>
      </c>
      <c r="R219" s="7">
        <f t="shared" si="20"/>
        <v>13</v>
      </c>
      <c r="S219" t="s">
        <v>54</v>
      </c>
      <c r="T219" s="7">
        <v>3</v>
      </c>
      <c r="U219" s="7">
        <v>10</v>
      </c>
      <c r="V219" s="7">
        <v>0</v>
      </c>
      <c r="W219" s="7">
        <v>6</v>
      </c>
      <c r="X219" s="7">
        <f t="shared" si="21"/>
        <v>19</v>
      </c>
      <c r="Y219" t="s">
        <v>54</v>
      </c>
      <c r="Z219">
        <v>12619.865889660001</v>
      </c>
      <c r="AA219" t="s">
        <v>651</v>
      </c>
      <c r="AB219">
        <v>57</v>
      </c>
      <c r="AC219">
        <v>0</v>
      </c>
      <c r="AD219" t="s">
        <v>99</v>
      </c>
      <c r="AE219" t="s">
        <v>41</v>
      </c>
      <c r="AF219" t="e">
        <v>#N/A</v>
      </c>
      <c r="AG219" s="8">
        <v>186</v>
      </c>
      <c r="AH219">
        <v>6</v>
      </c>
      <c r="AI219">
        <v>8</v>
      </c>
      <c r="AJ219">
        <v>0</v>
      </c>
      <c r="AK219">
        <v>3.2258064516129031E-2</v>
      </c>
      <c r="AL219">
        <v>0.43994134506405991</v>
      </c>
      <c r="AM219">
        <v>2</v>
      </c>
      <c r="AN219">
        <v>0</v>
      </c>
      <c r="AO219">
        <v>0.46153846153846156</v>
      </c>
      <c r="AP219">
        <v>0.54545454545454541</v>
      </c>
      <c r="AQ219">
        <v>0</v>
      </c>
      <c r="AR219">
        <v>9.0909090909090912E-2</v>
      </c>
      <c r="AS219">
        <v>0.90909090909090906</v>
      </c>
      <c r="AT219">
        <v>0</v>
      </c>
      <c r="AU219">
        <v>28660.913672670002</v>
      </c>
      <c r="AV219">
        <v>8</v>
      </c>
      <c r="AW219">
        <f t="shared" si="22"/>
        <v>0</v>
      </c>
      <c r="AX219">
        <v>0</v>
      </c>
      <c r="AY219">
        <f t="shared" si="23"/>
        <v>0</v>
      </c>
      <c r="AZ219" t="e">
        <v>#N/A</v>
      </c>
      <c r="BA219">
        <v>7</v>
      </c>
      <c r="BB219">
        <v>2019</v>
      </c>
      <c r="BC219">
        <v>7</v>
      </c>
      <c r="BD219">
        <v>2019</v>
      </c>
      <c r="BE219">
        <v>2</v>
      </c>
      <c r="BF219">
        <v>2019</v>
      </c>
    </row>
    <row r="220" spans="1:58" x14ac:dyDescent="0.2">
      <c r="A220" s="7">
        <v>5</v>
      </c>
      <c r="B220" s="7">
        <v>21</v>
      </c>
      <c r="C220" s="7">
        <v>0</v>
      </c>
      <c r="D220" s="7">
        <v>3</v>
      </c>
      <c r="E220" s="7">
        <f t="shared" si="18"/>
        <v>29</v>
      </c>
      <c r="F220" s="11" t="s">
        <v>36</v>
      </c>
      <c r="G220">
        <v>0</v>
      </c>
      <c r="H220">
        <v>18</v>
      </c>
      <c r="I220">
        <v>0</v>
      </c>
      <c r="J220">
        <v>3</v>
      </c>
      <c r="K220">
        <f t="shared" si="19"/>
        <v>21</v>
      </c>
      <c r="L220" t="s">
        <v>36</v>
      </c>
      <c r="M220">
        <v>23231.993462580002</v>
      </c>
      <c r="N220" s="7">
        <v>5</v>
      </c>
      <c r="O220" s="7">
        <v>21</v>
      </c>
      <c r="P220" s="7">
        <v>0</v>
      </c>
      <c r="Q220" s="7">
        <v>3</v>
      </c>
      <c r="R220" s="7">
        <f t="shared" si="20"/>
        <v>29</v>
      </c>
      <c r="S220" t="s">
        <v>36</v>
      </c>
      <c r="T220" s="7">
        <v>2</v>
      </c>
      <c r="U220" s="7">
        <v>21</v>
      </c>
      <c r="V220" s="7">
        <v>3</v>
      </c>
      <c r="W220" s="7">
        <v>3</v>
      </c>
      <c r="X220" s="7">
        <f t="shared" si="21"/>
        <v>29</v>
      </c>
      <c r="Y220" t="s">
        <v>36</v>
      </c>
      <c r="Z220">
        <v>44931.3579684</v>
      </c>
      <c r="AA220" t="s">
        <v>652</v>
      </c>
      <c r="AB220" t="e">
        <v>#N/A</v>
      </c>
      <c r="AF220">
        <v>242</v>
      </c>
      <c r="AG220" s="8">
        <v>135</v>
      </c>
      <c r="AH220">
        <v>0</v>
      </c>
      <c r="AI220">
        <v>0</v>
      </c>
      <c r="AJ220">
        <v>-8</v>
      </c>
      <c r="AK220">
        <v>0</v>
      </c>
      <c r="AL220">
        <v>0</v>
      </c>
      <c r="AM220">
        <v>8</v>
      </c>
      <c r="AN220">
        <v>0</v>
      </c>
      <c r="AO220">
        <v>0</v>
      </c>
      <c r="AP220">
        <v>0</v>
      </c>
      <c r="AQ220">
        <v>0.10344827586206896</v>
      </c>
      <c r="AR220">
        <v>0.17241379310344829</v>
      </c>
      <c r="AS220">
        <v>0.72413793103448276</v>
      </c>
      <c r="AT220">
        <v>0</v>
      </c>
      <c r="AU220">
        <v>68163.351430979994</v>
      </c>
      <c r="AV220" t="s">
        <v>489</v>
      </c>
      <c r="AW220" t="str">
        <f t="shared" si="22"/>
        <v>n/a</v>
      </c>
      <c r="AY220" t="e">
        <f t="shared" si="23"/>
        <v>#N/A</v>
      </c>
      <c r="AZ220" t="e">
        <v>#N/A</v>
      </c>
      <c r="BA220">
        <v>1</v>
      </c>
      <c r="BB220">
        <v>2018</v>
      </c>
      <c r="BC220">
        <v>9</v>
      </c>
      <c r="BD220">
        <v>2018</v>
      </c>
      <c r="BE220">
        <v>6</v>
      </c>
      <c r="BF220">
        <v>2018</v>
      </c>
    </row>
    <row r="221" spans="1:58" x14ac:dyDescent="0.2">
      <c r="A221" s="7">
        <v>0</v>
      </c>
      <c r="B221" s="7">
        <v>11</v>
      </c>
      <c r="C221" s="7">
        <v>0</v>
      </c>
      <c r="D221" s="7">
        <v>0</v>
      </c>
      <c r="E221" s="7">
        <f t="shared" si="18"/>
        <v>11</v>
      </c>
      <c r="F221" s="11" t="s">
        <v>68</v>
      </c>
      <c r="G221">
        <v>0</v>
      </c>
      <c r="H221">
        <v>11</v>
      </c>
      <c r="I221">
        <v>0</v>
      </c>
      <c r="J221">
        <v>0</v>
      </c>
      <c r="K221">
        <f t="shared" si="19"/>
        <v>11</v>
      </c>
      <c r="L221" t="s">
        <v>68</v>
      </c>
      <c r="M221">
        <v>39102.146735140013</v>
      </c>
      <c r="N221" s="7">
        <v>0</v>
      </c>
      <c r="O221" s="7">
        <v>11</v>
      </c>
      <c r="P221" s="7">
        <v>0</v>
      </c>
      <c r="Q221" s="7">
        <v>0</v>
      </c>
      <c r="R221" s="7">
        <f t="shared" si="20"/>
        <v>11</v>
      </c>
      <c r="S221" t="s">
        <v>68</v>
      </c>
      <c r="T221" s="7">
        <v>0</v>
      </c>
      <c r="U221" s="7">
        <v>13</v>
      </c>
      <c r="V221" s="7">
        <v>0</v>
      </c>
      <c r="W221" s="7">
        <v>2</v>
      </c>
      <c r="X221" s="7">
        <f t="shared" si="21"/>
        <v>15</v>
      </c>
      <c r="Y221" t="s">
        <v>36</v>
      </c>
      <c r="Z221">
        <v>40335.700425890012</v>
      </c>
      <c r="AA221" t="s">
        <v>653</v>
      </c>
      <c r="AB221" t="e">
        <v>#N/A</v>
      </c>
      <c r="AF221">
        <v>151</v>
      </c>
      <c r="AG221" s="8">
        <v>41</v>
      </c>
      <c r="AH221">
        <v>4</v>
      </c>
      <c r="AI221">
        <v>4</v>
      </c>
      <c r="AJ221">
        <v>0</v>
      </c>
      <c r="AK221">
        <v>9.7560975609756101E-2</v>
      </c>
      <c r="AL221">
        <v>0.62469504755442429</v>
      </c>
      <c r="AM221">
        <v>0</v>
      </c>
      <c r="AN221">
        <v>0</v>
      </c>
      <c r="AO221">
        <v>0.36363636363636365</v>
      </c>
      <c r="AP221">
        <v>0.36363636363636365</v>
      </c>
      <c r="AQ221">
        <v>0</v>
      </c>
      <c r="AR221">
        <v>0</v>
      </c>
      <c r="AS221">
        <v>1</v>
      </c>
      <c r="AT221">
        <v>0</v>
      </c>
      <c r="AU221">
        <v>79437.847161030018</v>
      </c>
      <c r="AV221" t="s">
        <v>489</v>
      </c>
      <c r="AW221" t="str">
        <f t="shared" si="22"/>
        <v>n/a</v>
      </c>
      <c r="AY221" t="e">
        <f t="shared" si="23"/>
        <v>#N/A</v>
      </c>
      <c r="AZ221" t="e">
        <v>#N/A</v>
      </c>
      <c r="BA221">
        <v>2</v>
      </c>
      <c r="BB221">
        <v>2018</v>
      </c>
      <c r="BC221">
        <v>7</v>
      </c>
      <c r="BD221">
        <v>2018</v>
      </c>
      <c r="BE221">
        <v>3</v>
      </c>
      <c r="BF221">
        <v>2018</v>
      </c>
    </row>
    <row r="222" spans="1:58" x14ac:dyDescent="0.2">
      <c r="A222" s="7">
        <v>0</v>
      </c>
      <c r="B222" s="7">
        <v>15</v>
      </c>
      <c r="C222" s="7">
        <v>0</v>
      </c>
      <c r="D222" s="7">
        <v>0</v>
      </c>
      <c r="E222" s="7">
        <f t="shared" si="18"/>
        <v>15</v>
      </c>
      <c r="F222" s="11" t="e">
        <v>#N/A</v>
      </c>
      <c r="G222">
        <v>0</v>
      </c>
      <c r="H222">
        <v>15</v>
      </c>
      <c r="I222">
        <v>0</v>
      </c>
      <c r="J222">
        <v>1</v>
      </c>
      <c r="K222">
        <f t="shared" si="19"/>
        <v>16</v>
      </c>
      <c r="L222" t="e">
        <v>#N/A</v>
      </c>
      <c r="M222">
        <v>39687.843533519997</v>
      </c>
      <c r="N222" s="7">
        <v>0</v>
      </c>
      <c r="O222" s="7">
        <v>15</v>
      </c>
      <c r="P222" s="7">
        <v>0</v>
      </c>
      <c r="Q222" s="7">
        <v>0</v>
      </c>
      <c r="R222" s="7">
        <f t="shared" si="20"/>
        <v>15</v>
      </c>
      <c r="S222" t="e">
        <v>#N/A</v>
      </c>
      <c r="T222" s="7">
        <v>0</v>
      </c>
      <c r="U222" s="7">
        <v>15</v>
      </c>
      <c r="V222" s="7">
        <v>0</v>
      </c>
      <c r="W222" s="7">
        <v>0</v>
      </c>
      <c r="X222" s="7">
        <f t="shared" si="21"/>
        <v>15</v>
      </c>
      <c r="Y222" t="e">
        <v>#N/A</v>
      </c>
      <c r="Z222">
        <v>13372.249576149999</v>
      </c>
      <c r="AA222" t="s">
        <v>189</v>
      </c>
      <c r="AB222">
        <v>55</v>
      </c>
      <c r="AC222">
        <v>0</v>
      </c>
      <c r="AD222" t="s">
        <v>99</v>
      </c>
      <c r="AE222" t="s">
        <v>41</v>
      </c>
      <c r="AF222">
        <v>59</v>
      </c>
      <c r="AG222" s="8">
        <v>0</v>
      </c>
      <c r="AH222">
        <v>0</v>
      </c>
      <c r="AI222">
        <v>0</v>
      </c>
      <c r="AJ222">
        <v>1</v>
      </c>
      <c r="AK222" t="e">
        <v>#N/A</v>
      </c>
      <c r="AL222" t="e">
        <v>#N/A</v>
      </c>
      <c r="AM222">
        <v>-1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53060.093109669993</v>
      </c>
      <c r="AV222">
        <v>16</v>
      </c>
      <c r="AW222">
        <f t="shared" si="22"/>
        <v>1</v>
      </c>
      <c r="AX222">
        <v>0</v>
      </c>
      <c r="AY222">
        <f t="shared" si="23"/>
        <v>0</v>
      </c>
      <c r="AZ222">
        <v>0</v>
      </c>
      <c r="BA222">
        <v>1</v>
      </c>
      <c r="BB222">
        <v>2020</v>
      </c>
      <c r="BC222">
        <v>3</v>
      </c>
      <c r="BD222">
        <v>2020</v>
      </c>
      <c r="BE222">
        <v>10</v>
      </c>
      <c r="BF222">
        <v>2020</v>
      </c>
    </row>
    <row r="223" spans="1:58" x14ac:dyDescent="0.2">
      <c r="A223" s="7">
        <v>12</v>
      </c>
      <c r="B223" s="7">
        <v>27</v>
      </c>
      <c r="C223" s="7">
        <v>3</v>
      </c>
      <c r="D223" s="7">
        <v>0</v>
      </c>
      <c r="E223" s="7">
        <f t="shared" si="18"/>
        <v>42</v>
      </c>
      <c r="F223" s="11" t="s">
        <v>83</v>
      </c>
      <c r="G223">
        <v>12</v>
      </c>
      <c r="H223">
        <v>27</v>
      </c>
      <c r="I223">
        <v>3</v>
      </c>
      <c r="J223">
        <v>0</v>
      </c>
      <c r="K223">
        <f t="shared" si="19"/>
        <v>42</v>
      </c>
      <c r="L223" t="s">
        <v>83</v>
      </c>
      <c r="M223">
        <v>8161.3185665400006</v>
      </c>
      <c r="N223" s="7">
        <v>11</v>
      </c>
      <c r="O223" s="7">
        <v>26</v>
      </c>
      <c r="P223" s="7">
        <v>4</v>
      </c>
      <c r="Q223" s="7">
        <v>3</v>
      </c>
      <c r="R223" s="7">
        <f t="shared" si="20"/>
        <v>44</v>
      </c>
      <c r="S223" t="s">
        <v>66</v>
      </c>
      <c r="T223" s="7">
        <v>10</v>
      </c>
      <c r="U223" s="7">
        <v>26</v>
      </c>
      <c r="V223" s="7">
        <v>0</v>
      </c>
      <c r="W223" s="7">
        <v>0</v>
      </c>
      <c r="X223" s="7">
        <f t="shared" si="21"/>
        <v>36</v>
      </c>
      <c r="Y223" t="s">
        <v>66</v>
      </c>
      <c r="Z223">
        <v>15134.245756800001</v>
      </c>
      <c r="AA223" t="s">
        <v>654</v>
      </c>
      <c r="AB223">
        <v>63</v>
      </c>
      <c r="AC223">
        <v>0</v>
      </c>
      <c r="AD223" t="s">
        <v>190</v>
      </c>
      <c r="AE223" t="s">
        <v>75</v>
      </c>
      <c r="AF223" t="e">
        <v>#N/A</v>
      </c>
      <c r="AG223" s="8">
        <v>5</v>
      </c>
      <c r="AH223">
        <v>-8</v>
      </c>
      <c r="AI223">
        <v>-6</v>
      </c>
      <c r="AJ223">
        <v>0</v>
      </c>
      <c r="AK223">
        <v>-1.6</v>
      </c>
      <c r="AL223">
        <v>-3.5777087639996634</v>
      </c>
      <c r="AM223">
        <v>2</v>
      </c>
      <c r="AN223">
        <v>0</v>
      </c>
      <c r="AO223">
        <v>-0.18181818181818182</v>
      </c>
      <c r="AP223">
        <v>-0.19047619047619047</v>
      </c>
      <c r="AQ223">
        <v>0</v>
      </c>
      <c r="AR223">
        <v>0.2857142857142857</v>
      </c>
      <c r="AS223">
        <v>0.6428571428571429</v>
      </c>
      <c r="AT223">
        <v>7.1428571428571425E-2</v>
      </c>
      <c r="AU223">
        <v>23295.564323340001</v>
      </c>
      <c r="AV223">
        <v>7</v>
      </c>
      <c r="AW223">
        <f t="shared" si="22"/>
        <v>0</v>
      </c>
      <c r="AX223">
        <v>0</v>
      </c>
      <c r="AY223">
        <f t="shared" si="23"/>
        <v>0</v>
      </c>
      <c r="AZ223" t="e">
        <v>#N/A</v>
      </c>
      <c r="BA223">
        <v>4</v>
      </c>
      <c r="BB223">
        <v>2019</v>
      </c>
      <c r="BC223">
        <v>4</v>
      </c>
      <c r="BD223">
        <v>2019</v>
      </c>
      <c r="BE223">
        <v>10</v>
      </c>
      <c r="BF223">
        <v>2019</v>
      </c>
    </row>
    <row r="224" spans="1:58" x14ac:dyDescent="0.2">
      <c r="A224" s="7">
        <v>6</v>
      </c>
      <c r="B224" s="7">
        <v>15</v>
      </c>
      <c r="C224" s="7">
        <v>0</v>
      </c>
      <c r="D224" s="7">
        <v>3</v>
      </c>
      <c r="E224" s="7">
        <f t="shared" si="18"/>
        <v>24</v>
      </c>
      <c r="F224" s="11" t="s">
        <v>36</v>
      </c>
      <c r="G224">
        <v>6</v>
      </c>
      <c r="H224">
        <v>15</v>
      </c>
      <c r="I224">
        <v>0</v>
      </c>
      <c r="J224">
        <v>3</v>
      </c>
      <c r="K224">
        <f t="shared" si="19"/>
        <v>24</v>
      </c>
      <c r="L224" t="s">
        <v>36</v>
      </c>
      <c r="M224">
        <v>10114.464830000001</v>
      </c>
      <c r="N224" s="7">
        <v>4</v>
      </c>
      <c r="O224" s="7">
        <v>15</v>
      </c>
      <c r="P224" s="7">
        <v>0</v>
      </c>
      <c r="Q224" s="7">
        <v>3</v>
      </c>
      <c r="R224" s="7">
        <f t="shared" si="20"/>
        <v>22</v>
      </c>
      <c r="S224" t="e">
        <v>#N/A</v>
      </c>
      <c r="T224" s="7">
        <v>3</v>
      </c>
      <c r="U224" s="7">
        <v>15</v>
      </c>
      <c r="V224" s="7">
        <v>0</v>
      </c>
      <c r="W224" s="7">
        <v>3</v>
      </c>
      <c r="X224" s="7">
        <f t="shared" si="21"/>
        <v>21</v>
      </c>
      <c r="Y224" t="e">
        <v>#N/A</v>
      </c>
      <c r="Z224">
        <v>36624.864888900003</v>
      </c>
      <c r="AA224" t="s">
        <v>191</v>
      </c>
      <c r="AB224">
        <v>43</v>
      </c>
      <c r="AC224">
        <v>0</v>
      </c>
      <c r="AD224" t="s">
        <v>99</v>
      </c>
      <c r="AE224" t="s">
        <v>41</v>
      </c>
      <c r="AF224" t="e">
        <v>#N/A</v>
      </c>
      <c r="AG224" s="8">
        <v>122</v>
      </c>
      <c r="AH224">
        <v>-1</v>
      </c>
      <c r="AI224">
        <v>-3</v>
      </c>
      <c r="AJ224">
        <v>0</v>
      </c>
      <c r="AK224">
        <v>-8.1967213114754103E-3</v>
      </c>
      <c r="AL224">
        <v>-9.0535746042518531E-2</v>
      </c>
      <c r="AM224">
        <v>-2</v>
      </c>
      <c r="AN224">
        <v>1</v>
      </c>
      <c r="AO224">
        <v>-4.5454545454545456E-2</v>
      </c>
      <c r="AP224">
        <v>-4.1666666666666664E-2</v>
      </c>
      <c r="AQ224">
        <v>0.125</v>
      </c>
      <c r="AR224">
        <v>0.25</v>
      </c>
      <c r="AS224">
        <v>0.625</v>
      </c>
      <c r="AT224">
        <v>0</v>
      </c>
      <c r="AU224">
        <v>46739.3297189</v>
      </c>
      <c r="AV224">
        <v>6</v>
      </c>
      <c r="AW224">
        <f t="shared" si="22"/>
        <v>0</v>
      </c>
      <c r="AX224">
        <v>0</v>
      </c>
      <c r="AY224">
        <f t="shared" si="23"/>
        <v>0</v>
      </c>
      <c r="AZ224" t="e">
        <v>#N/A</v>
      </c>
      <c r="BA224">
        <v>1</v>
      </c>
      <c r="BB224">
        <v>2020</v>
      </c>
      <c r="BC224">
        <v>1</v>
      </c>
      <c r="BD224">
        <v>2020</v>
      </c>
      <c r="BE224">
        <v>1</v>
      </c>
      <c r="BF224">
        <v>2020</v>
      </c>
    </row>
    <row r="225" spans="1:58" x14ac:dyDescent="0.2">
      <c r="A225" s="7">
        <v>2</v>
      </c>
      <c r="B225" s="7">
        <v>15</v>
      </c>
      <c r="C225" s="7">
        <v>0</v>
      </c>
      <c r="D225" s="7">
        <v>5</v>
      </c>
      <c r="E225" s="7">
        <f t="shared" si="18"/>
        <v>22</v>
      </c>
      <c r="F225" s="11" t="e">
        <v>#N/A</v>
      </c>
      <c r="G225">
        <v>2</v>
      </c>
      <c r="H225">
        <v>15</v>
      </c>
      <c r="I225">
        <v>0</v>
      </c>
      <c r="J225">
        <v>5</v>
      </c>
      <c r="K225">
        <f t="shared" si="19"/>
        <v>22</v>
      </c>
      <c r="L225" t="e">
        <v>#N/A</v>
      </c>
      <c r="M225">
        <v>18119.425859999999</v>
      </c>
      <c r="N225" s="7">
        <v>2</v>
      </c>
      <c r="O225" s="7">
        <v>15</v>
      </c>
      <c r="P225" s="7">
        <v>0</v>
      </c>
      <c r="Q225" s="7">
        <v>0</v>
      </c>
      <c r="R225" s="7">
        <f t="shared" si="20"/>
        <v>17</v>
      </c>
      <c r="S225" t="e">
        <v>#N/A</v>
      </c>
      <c r="T225" s="7">
        <v>2</v>
      </c>
      <c r="U225" s="7">
        <v>15</v>
      </c>
      <c r="V225" s="7">
        <v>0</v>
      </c>
      <c r="W225" s="7">
        <v>0</v>
      </c>
      <c r="X225" s="7">
        <f t="shared" si="21"/>
        <v>17</v>
      </c>
      <c r="Y225" t="e">
        <v>#N/A</v>
      </c>
      <c r="Z225">
        <v>20334.588183790001</v>
      </c>
      <c r="AA225" t="s">
        <v>191</v>
      </c>
      <c r="AB225">
        <v>44</v>
      </c>
      <c r="AC225">
        <v>0</v>
      </c>
      <c r="AD225" t="s">
        <v>134</v>
      </c>
      <c r="AE225" t="s">
        <v>41</v>
      </c>
      <c r="AF225" t="e">
        <v>#N/A</v>
      </c>
      <c r="AG225" s="8">
        <v>0</v>
      </c>
      <c r="AH225">
        <v>0</v>
      </c>
      <c r="AI225">
        <v>-5</v>
      </c>
      <c r="AJ225">
        <v>0</v>
      </c>
      <c r="AK225" t="e">
        <v>#N/A</v>
      </c>
      <c r="AL225" t="e">
        <v>#N/A</v>
      </c>
      <c r="AM225">
        <v>-5</v>
      </c>
      <c r="AN225">
        <v>1</v>
      </c>
      <c r="AO225">
        <v>0</v>
      </c>
      <c r="AP225">
        <v>0</v>
      </c>
      <c r="AQ225">
        <v>0.22727272727272727</v>
      </c>
      <c r="AR225">
        <v>9.0909090909090912E-2</v>
      </c>
      <c r="AS225">
        <v>0.68181818181818177</v>
      </c>
      <c r="AT225">
        <v>0</v>
      </c>
      <c r="AU225">
        <v>38454.014043789997</v>
      </c>
      <c r="AV225">
        <v>7</v>
      </c>
      <c r="AW225">
        <f t="shared" si="22"/>
        <v>0</v>
      </c>
      <c r="AX225">
        <v>0</v>
      </c>
      <c r="AY225">
        <f t="shared" si="23"/>
        <v>0</v>
      </c>
      <c r="AZ225" t="e">
        <v>#N/A</v>
      </c>
      <c r="BA225">
        <v>3</v>
      </c>
      <c r="BB225">
        <v>2020</v>
      </c>
      <c r="BC225">
        <v>3</v>
      </c>
      <c r="BD225">
        <v>2020</v>
      </c>
      <c r="BE225">
        <v>10</v>
      </c>
      <c r="BF225">
        <v>2020</v>
      </c>
    </row>
    <row r="226" spans="1:58" x14ac:dyDescent="0.2">
      <c r="A226" s="7">
        <v>0</v>
      </c>
      <c r="B226" s="7">
        <v>0</v>
      </c>
      <c r="C226" s="7">
        <v>0</v>
      </c>
      <c r="D226" s="7">
        <v>0</v>
      </c>
      <c r="E226" s="7">
        <f t="shared" si="18"/>
        <v>0</v>
      </c>
      <c r="F226" s="11" t="e">
        <v>#N/A</v>
      </c>
      <c r="G226">
        <v>0</v>
      </c>
      <c r="H226">
        <v>0</v>
      </c>
      <c r="I226">
        <v>0</v>
      </c>
      <c r="J226">
        <v>0</v>
      </c>
      <c r="K226">
        <f t="shared" si="19"/>
        <v>0</v>
      </c>
      <c r="L226" t="e">
        <v>#N/A</v>
      </c>
      <c r="N226" s="7">
        <v>15</v>
      </c>
      <c r="O226" s="7">
        <v>22</v>
      </c>
      <c r="P226" s="7">
        <v>9</v>
      </c>
      <c r="Q226" s="7">
        <v>12</v>
      </c>
      <c r="R226" s="7">
        <f t="shared" si="20"/>
        <v>58</v>
      </c>
      <c r="S226" t="e">
        <v>#N/A</v>
      </c>
      <c r="T226" s="7">
        <v>15</v>
      </c>
      <c r="U226" s="7">
        <v>37</v>
      </c>
      <c r="V226" s="7">
        <v>9</v>
      </c>
      <c r="W226" s="7">
        <v>10</v>
      </c>
      <c r="X226" s="7">
        <f t="shared" si="21"/>
        <v>71</v>
      </c>
      <c r="Y226" t="s">
        <v>36</v>
      </c>
      <c r="Z226">
        <v>18917.71420798</v>
      </c>
      <c r="AA226" t="s">
        <v>655</v>
      </c>
      <c r="AB226" t="e">
        <v>#N/A</v>
      </c>
      <c r="AF226" t="e">
        <v>#N/A</v>
      </c>
      <c r="AG226" s="8">
        <v>258</v>
      </c>
      <c r="AH226">
        <v>13</v>
      </c>
      <c r="AI226">
        <v>71</v>
      </c>
      <c r="AJ226">
        <v>0</v>
      </c>
      <c r="AK226">
        <v>5.0387596899224806E-2</v>
      </c>
      <c r="AL226">
        <v>0.80934464827409747</v>
      </c>
      <c r="AM226">
        <v>58</v>
      </c>
      <c r="AN226">
        <v>0</v>
      </c>
      <c r="AO226">
        <v>0.22413793103448276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>
        <v>18917.71420798</v>
      </c>
      <c r="AV226" t="s">
        <v>489</v>
      </c>
      <c r="AW226" t="str">
        <f t="shared" si="22"/>
        <v>n/a</v>
      </c>
      <c r="AY226" t="e">
        <f t="shared" si="23"/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>
        <v>1</v>
      </c>
      <c r="BF226">
        <v>2018</v>
      </c>
    </row>
    <row r="227" spans="1:58" x14ac:dyDescent="0.2">
      <c r="A227" s="7">
        <v>18</v>
      </c>
      <c r="B227" s="7">
        <v>35</v>
      </c>
      <c r="C227" s="7">
        <v>9</v>
      </c>
      <c r="D227" s="7">
        <v>9</v>
      </c>
      <c r="E227" s="7">
        <f t="shared" si="18"/>
        <v>71</v>
      </c>
      <c r="F227" s="11" t="s">
        <v>36</v>
      </c>
      <c r="G227">
        <v>18</v>
      </c>
      <c r="H227">
        <v>35</v>
      </c>
      <c r="I227">
        <v>9</v>
      </c>
      <c r="J227">
        <v>9</v>
      </c>
      <c r="K227">
        <f t="shared" si="19"/>
        <v>71</v>
      </c>
      <c r="L227" t="s">
        <v>36</v>
      </c>
      <c r="M227">
        <v>6663.0583411999996</v>
      </c>
      <c r="N227" s="7">
        <v>18</v>
      </c>
      <c r="O227" s="7">
        <v>31</v>
      </c>
      <c r="P227" s="7">
        <v>9</v>
      </c>
      <c r="Q227" s="7">
        <v>9</v>
      </c>
      <c r="R227" s="7">
        <f t="shared" si="20"/>
        <v>67</v>
      </c>
      <c r="S227" t="s">
        <v>36</v>
      </c>
      <c r="T227" s="7">
        <v>18</v>
      </c>
      <c r="U227" s="7">
        <v>31</v>
      </c>
      <c r="V227" s="7">
        <v>9</v>
      </c>
      <c r="W227" s="7">
        <v>9</v>
      </c>
      <c r="X227" s="7">
        <f t="shared" si="21"/>
        <v>67</v>
      </c>
      <c r="Y227" t="s">
        <v>36</v>
      </c>
      <c r="Z227">
        <v>5607.4980405400001</v>
      </c>
      <c r="AA227" t="s">
        <v>656</v>
      </c>
      <c r="AB227">
        <v>29</v>
      </c>
      <c r="AC227">
        <v>0</v>
      </c>
      <c r="AD227" t="s">
        <v>192</v>
      </c>
      <c r="AE227" t="s">
        <v>41</v>
      </c>
      <c r="AF227" t="e">
        <v>#N/A</v>
      </c>
      <c r="AG227" s="8">
        <v>0</v>
      </c>
      <c r="AH227">
        <v>0</v>
      </c>
      <c r="AI227">
        <v>-4</v>
      </c>
      <c r="AJ227">
        <v>0</v>
      </c>
      <c r="AK227" t="e">
        <v>#N/A</v>
      </c>
      <c r="AL227" t="e">
        <v>#N/A</v>
      </c>
      <c r="AM227">
        <v>-4</v>
      </c>
      <c r="AN227">
        <v>1</v>
      </c>
      <c r="AO227">
        <v>0</v>
      </c>
      <c r="AP227">
        <v>0</v>
      </c>
      <c r="AQ227">
        <v>0.12676056338028169</v>
      </c>
      <c r="AR227">
        <v>0.25352112676056338</v>
      </c>
      <c r="AS227">
        <v>0.49295774647887325</v>
      </c>
      <c r="AT227">
        <v>0.12676056338028169</v>
      </c>
      <c r="AU227">
        <v>12270.55638174</v>
      </c>
      <c r="AV227">
        <v>3</v>
      </c>
      <c r="AW227">
        <f t="shared" si="22"/>
        <v>0</v>
      </c>
      <c r="AX227">
        <v>0</v>
      </c>
      <c r="AY227">
        <f t="shared" si="23"/>
        <v>0</v>
      </c>
      <c r="AZ227" t="e">
        <v>#N/A</v>
      </c>
      <c r="BA227">
        <v>11</v>
      </c>
      <c r="BB227">
        <v>2019</v>
      </c>
      <c r="BC227">
        <v>11</v>
      </c>
      <c r="BD227">
        <v>2019</v>
      </c>
      <c r="BE227">
        <v>11</v>
      </c>
      <c r="BF227">
        <v>2019</v>
      </c>
    </row>
    <row r="228" spans="1:58" x14ac:dyDescent="0.2">
      <c r="A228" s="7">
        <v>10</v>
      </c>
      <c r="B228" s="7">
        <v>39</v>
      </c>
      <c r="C228" s="7">
        <v>9</v>
      </c>
      <c r="D228" s="7">
        <v>8</v>
      </c>
      <c r="E228" s="7">
        <f t="shared" si="18"/>
        <v>66</v>
      </c>
      <c r="F228" s="11" t="e">
        <v>#N/A</v>
      </c>
      <c r="G228">
        <v>15</v>
      </c>
      <c r="H228">
        <v>39</v>
      </c>
      <c r="I228">
        <v>9</v>
      </c>
      <c r="J228">
        <v>7</v>
      </c>
      <c r="K228">
        <f t="shared" si="19"/>
        <v>70</v>
      </c>
      <c r="L228" t="e">
        <v>#N/A</v>
      </c>
      <c r="M228">
        <v>16683.3344927</v>
      </c>
      <c r="N228" s="7">
        <v>11</v>
      </c>
      <c r="O228" s="7">
        <v>39</v>
      </c>
      <c r="P228" s="7">
        <v>9</v>
      </c>
      <c r="Q228" s="7">
        <v>8</v>
      </c>
      <c r="R228" s="7">
        <f t="shared" si="20"/>
        <v>67</v>
      </c>
      <c r="S228" t="e">
        <v>#N/A</v>
      </c>
      <c r="T228" s="7">
        <v>11</v>
      </c>
      <c r="U228" s="7">
        <v>39</v>
      </c>
      <c r="V228" s="7">
        <v>8</v>
      </c>
      <c r="W228" s="7">
        <v>17</v>
      </c>
      <c r="X228" s="7">
        <f t="shared" si="21"/>
        <v>75</v>
      </c>
      <c r="Y228" t="e">
        <v>#N/A</v>
      </c>
      <c r="Z228">
        <v>16984.41743283</v>
      </c>
      <c r="AA228" t="s">
        <v>193</v>
      </c>
      <c r="AB228">
        <v>79</v>
      </c>
      <c r="AC228">
        <v>0</v>
      </c>
      <c r="AD228" t="s">
        <v>99</v>
      </c>
      <c r="AE228" t="s">
        <v>41</v>
      </c>
      <c r="AF228">
        <v>222</v>
      </c>
      <c r="AG228" s="8">
        <v>277</v>
      </c>
      <c r="AH228">
        <v>8</v>
      </c>
      <c r="AI228">
        <v>9</v>
      </c>
      <c r="AJ228">
        <v>4</v>
      </c>
      <c r="AK228">
        <v>2.8880866425992781E-2</v>
      </c>
      <c r="AL228">
        <v>0.48067341450088774</v>
      </c>
      <c r="AM228">
        <v>-3</v>
      </c>
      <c r="AN228">
        <v>1</v>
      </c>
      <c r="AO228">
        <v>0.11940298507462686</v>
      </c>
      <c r="AP228">
        <v>0.12121212121212122</v>
      </c>
      <c r="AQ228">
        <v>0.12121212121212122</v>
      </c>
      <c r="AR228">
        <v>0.15151515151515152</v>
      </c>
      <c r="AS228">
        <v>0.59090909090909094</v>
      </c>
      <c r="AT228">
        <v>0.13636363636363635</v>
      </c>
      <c r="AU228">
        <v>33667.751925529999</v>
      </c>
      <c r="AV228">
        <v>9</v>
      </c>
      <c r="AW228">
        <f t="shared" si="22"/>
        <v>0</v>
      </c>
      <c r="AX228">
        <v>0</v>
      </c>
      <c r="AY228">
        <f t="shared" si="23"/>
        <v>0</v>
      </c>
      <c r="AZ228">
        <v>0</v>
      </c>
      <c r="BA228">
        <v>1</v>
      </c>
      <c r="BB228">
        <v>2020</v>
      </c>
      <c r="BC228">
        <v>8</v>
      </c>
      <c r="BD228">
        <v>2020</v>
      </c>
      <c r="BE228">
        <v>1</v>
      </c>
      <c r="BF228">
        <v>2020</v>
      </c>
    </row>
    <row r="229" spans="1:58" x14ac:dyDescent="0.2">
      <c r="A229" s="7">
        <v>0</v>
      </c>
      <c r="B229" s="7">
        <v>13</v>
      </c>
      <c r="C229" s="7">
        <v>0</v>
      </c>
      <c r="D229" s="7">
        <v>0</v>
      </c>
      <c r="E229" s="7">
        <f t="shared" si="18"/>
        <v>13</v>
      </c>
      <c r="F229" s="11" t="s">
        <v>36</v>
      </c>
      <c r="G229">
        <v>0</v>
      </c>
      <c r="H229">
        <v>13</v>
      </c>
      <c r="I229">
        <v>0</v>
      </c>
      <c r="J229">
        <v>0</v>
      </c>
      <c r="K229">
        <f t="shared" si="19"/>
        <v>13</v>
      </c>
      <c r="L229" t="s">
        <v>36</v>
      </c>
      <c r="M229">
        <v>11375.049950750001</v>
      </c>
      <c r="N229" s="7">
        <v>0</v>
      </c>
      <c r="O229" s="7">
        <v>13</v>
      </c>
      <c r="P229" s="7">
        <v>0</v>
      </c>
      <c r="Q229" s="7">
        <v>0</v>
      </c>
      <c r="R229" s="7">
        <f t="shared" si="20"/>
        <v>13</v>
      </c>
      <c r="S229" t="s">
        <v>36</v>
      </c>
      <c r="T229" s="7">
        <v>0</v>
      </c>
      <c r="U229" s="7">
        <v>13</v>
      </c>
      <c r="V229" s="7">
        <v>0</v>
      </c>
      <c r="W229" s="7">
        <v>0</v>
      </c>
      <c r="X229" s="7">
        <f t="shared" si="21"/>
        <v>13</v>
      </c>
      <c r="Y229" t="s">
        <v>36</v>
      </c>
      <c r="Z229">
        <v>4838.1791300000004</v>
      </c>
      <c r="AA229" t="s">
        <v>657</v>
      </c>
      <c r="AB229" t="e">
        <v>#N/A</v>
      </c>
      <c r="AF229" t="e">
        <v>#N/A</v>
      </c>
      <c r="AG229" s="8">
        <v>68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16213.229080750001</v>
      </c>
      <c r="AV229" t="s">
        <v>489</v>
      </c>
      <c r="AW229" t="str">
        <f t="shared" si="22"/>
        <v>n/a</v>
      </c>
      <c r="AY229" t="e">
        <f t="shared" si="23"/>
        <v>#N/A</v>
      </c>
      <c r="AZ229" t="e">
        <v>#N/A</v>
      </c>
      <c r="BA229">
        <v>1</v>
      </c>
      <c r="BB229">
        <v>2018</v>
      </c>
      <c r="BC229">
        <v>1</v>
      </c>
      <c r="BD229">
        <v>2018</v>
      </c>
      <c r="BE229">
        <v>8</v>
      </c>
      <c r="BF229">
        <v>2018</v>
      </c>
    </row>
    <row r="230" spans="1:58" x14ac:dyDescent="0.2">
      <c r="A230" s="7">
        <v>18</v>
      </c>
      <c r="B230" s="7">
        <v>39</v>
      </c>
      <c r="C230" s="7">
        <v>9</v>
      </c>
      <c r="D230" s="7">
        <v>9</v>
      </c>
      <c r="E230" s="7">
        <f t="shared" si="18"/>
        <v>75</v>
      </c>
      <c r="F230" s="11" t="s">
        <v>36</v>
      </c>
      <c r="G230">
        <v>18</v>
      </c>
      <c r="H230">
        <v>39</v>
      </c>
      <c r="I230">
        <v>9</v>
      </c>
      <c r="J230">
        <v>12</v>
      </c>
      <c r="K230">
        <f t="shared" si="19"/>
        <v>78</v>
      </c>
      <c r="L230" t="s">
        <v>36</v>
      </c>
      <c r="M230">
        <v>15136.220697479999</v>
      </c>
      <c r="N230" s="7">
        <v>18</v>
      </c>
      <c r="O230" s="7">
        <v>39</v>
      </c>
      <c r="P230" s="7">
        <v>9</v>
      </c>
      <c r="Q230" s="7">
        <v>17</v>
      </c>
      <c r="R230" s="7">
        <f t="shared" si="20"/>
        <v>83</v>
      </c>
      <c r="S230" t="s">
        <v>36</v>
      </c>
      <c r="T230" s="7">
        <v>20</v>
      </c>
      <c r="U230" s="7">
        <v>40</v>
      </c>
      <c r="V230" s="7">
        <v>9</v>
      </c>
      <c r="W230" s="7">
        <v>23</v>
      </c>
      <c r="X230" s="7">
        <f t="shared" si="21"/>
        <v>92</v>
      </c>
      <c r="Y230" t="s">
        <v>36</v>
      </c>
      <c r="Z230">
        <v>19137.572834710001</v>
      </c>
      <c r="AA230" t="s">
        <v>658</v>
      </c>
      <c r="AB230" t="e">
        <v>#N/A</v>
      </c>
      <c r="AF230">
        <v>258</v>
      </c>
      <c r="AG230" s="8">
        <v>35</v>
      </c>
      <c r="AH230">
        <v>9</v>
      </c>
      <c r="AI230">
        <v>17</v>
      </c>
      <c r="AJ230">
        <v>3</v>
      </c>
      <c r="AK230">
        <v>0.25714285714285712</v>
      </c>
      <c r="AL230">
        <v>1.5212776585113299</v>
      </c>
      <c r="AM230">
        <v>5</v>
      </c>
      <c r="AN230">
        <v>0</v>
      </c>
      <c r="AO230">
        <v>0.10843373493975904</v>
      </c>
      <c r="AP230">
        <v>0.12</v>
      </c>
      <c r="AQ230">
        <v>0.12</v>
      </c>
      <c r="AR230">
        <v>0.24</v>
      </c>
      <c r="AS230">
        <v>0.52</v>
      </c>
      <c r="AT230">
        <v>0.12</v>
      </c>
      <c r="AU230">
        <v>34273.79353219</v>
      </c>
      <c r="AV230" t="s">
        <v>489</v>
      </c>
      <c r="AW230" t="str">
        <f t="shared" si="22"/>
        <v>n/a</v>
      </c>
      <c r="AY230" t="e">
        <f t="shared" si="23"/>
        <v>#N/A</v>
      </c>
      <c r="AZ230" t="e">
        <v>#N/A</v>
      </c>
      <c r="BA230">
        <v>1</v>
      </c>
      <c r="BB230">
        <v>2018</v>
      </c>
      <c r="BC230">
        <v>9</v>
      </c>
      <c r="BD230">
        <v>2018</v>
      </c>
      <c r="BE230">
        <v>10</v>
      </c>
      <c r="BF230">
        <v>2018</v>
      </c>
    </row>
    <row r="231" spans="1:58" x14ac:dyDescent="0.2">
      <c r="A231" s="7">
        <v>6</v>
      </c>
      <c r="B231" s="7">
        <v>6</v>
      </c>
      <c r="C231" s="7">
        <v>1</v>
      </c>
      <c r="D231" s="7">
        <v>3</v>
      </c>
      <c r="E231" s="7">
        <f t="shared" si="18"/>
        <v>16</v>
      </c>
      <c r="F231" s="11" t="s">
        <v>54</v>
      </c>
      <c r="G231">
        <v>6</v>
      </c>
      <c r="H231">
        <v>6</v>
      </c>
      <c r="I231">
        <v>1</v>
      </c>
      <c r="J231">
        <v>3</v>
      </c>
      <c r="K231">
        <f t="shared" si="19"/>
        <v>16</v>
      </c>
      <c r="L231" t="s">
        <v>54</v>
      </c>
      <c r="M231">
        <v>17129.447074669999</v>
      </c>
      <c r="N231" s="7">
        <v>6</v>
      </c>
      <c r="O231" s="7">
        <v>6</v>
      </c>
      <c r="P231" s="7">
        <v>0</v>
      </c>
      <c r="Q231" s="7">
        <v>0</v>
      </c>
      <c r="R231" s="7">
        <f t="shared" si="20"/>
        <v>12</v>
      </c>
      <c r="S231" t="e">
        <v>#N/A</v>
      </c>
      <c r="T231" s="7">
        <v>6</v>
      </c>
      <c r="U231" s="7">
        <v>6</v>
      </c>
      <c r="V231" s="7">
        <v>0</v>
      </c>
      <c r="W231" s="7">
        <v>0</v>
      </c>
      <c r="X231" s="7">
        <f t="shared" si="21"/>
        <v>12</v>
      </c>
      <c r="Y231" t="e">
        <v>#N/A</v>
      </c>
      <c r="Z231">
        <v>4541.9085599999999</v>
      </c>
      <c r="AA231" t="s">
        <v>194</v>
      </c>
      <c r="AB231">
        <v>38</v>
      </c>
      <c r="AC231">
        <v>0</v>
      </c>
      <c r="AD231" t="s">
        <v>195</v>
      </c>
      <c r="AE231" t="s">
        <v>41</v>
      </c>
      <c r="AF231" t="e">
        <v>#N/A</v>
      </c>
      <c r="AG231" s="8">
        <v>0</v>
      </c>
      <c r="AH231">
        <v>0</v>
      </c>
      <c r="AI231">
        <v>-4</v>
      </c>
      <c r="AJ231">
        <v>0</v>
      </c>
      <c r="AK231" t="e">
        <v>#N/A</v>
      </c>
      <c r="AL231" t="e">
        <v>#N/A</v>
      </c>
      <c r="AM231">
        <v>-4</v>
      </c>
      <c r="AN231">
        <v>1</v>
      </c>
      <c r="AO231">
        <v>0</v>
      </c>
      <c r="AP231">
        <v>0</v>
      </c>
      <c r="AQ231">
        <v>0.1875</v>
      </c>
      <c r="AR231">
        <v>0.375</v>
      </c>
      <c r="AS231">
        <v>0.375</v>
      </c>
      <c r="AT231">
        <v>6.25E-2</v>
      </c>
      <c r="AU231">
        <v>21671.355634669999</v>
      </c>
      <c r="AV231">
        <v>16</v>
      </c>
      <c r="AW231">
        <f t="shared" si="22"/>
        <v>1</v>
      </c>
      <c r="AX231">
        <v>0</v>
      </c>
      <c r="AY231">
        <f t="shared" si="23"/>
        <v>0</v>
      </c>
      <c r="AZ231" t="e">
        <v>#N/A</v>
      </c>
      <c r="BA231">
        <v>1</v>
      </c>
      <c r="BB231">
        <v>2020</v>
      </c>
      <c r="BC231">
        <v>1</v>
      </c>
      <c r="BD231">
        <v>2020</v>
      </c>
      <c r="BE231">
        <v>1</v>
      </c>
      <c r="BF231">
        <v>2020</v>
      </c>
    </row>
    <row r="232" spans="1:58" x14ac:dyDescent="0.2">
      <c r="A232" s="7">
        <v>8</v>
      </c>
      <c r="B232" s="7">
        <v>7</v>
      </c>
      <c r="C232" s="7">
        <v>3</v>
      </c>
      <c r="D232" s="7">
        <v>3</v>
      </c>
      <c r="E232" s="7">
        <f t="shared" si="18"/>
        <v>21</v>
      </c>
      <c r="F232" s="11" t="s">
        <v>36</v>
      </c>
      <c r="G232">
        <v>8</v>
      </c>
      <c r="H232">
        <v>7</v>
      </c>
      <c r="I232">
        <v>3</v>
      </c>
      <c r="J232">
        <v>3</v>
      </c>
      <c r="K232">
        <f t="shared" si="19"/>
        <v>21</v>
      </c>
      <c r="L232" t="s">
        <v>36</v>
      </c>
      <c r="M232">
        <v>14311.987587760001</v>
      </c>
      <c r="N232" s="7">
        <v>14</v>
      </c>
      <c r="O232" s="7">
        <v>6</v>
      </c>
      <c r="P232" s="7">
        <v>1</v>
      </c>
      <c r="Q232" s="7">
        <v>3</v>
      </c>
      <c r="R232" s="7">
        <f t="shared" si="20"/>
        <v>24</v>
      </c>
      <c r="S232" t="s">
        <v>36</v>
      </c>
      <c r="T232" s="7">
        <v>14</v>
      </c>
      <c r="U232" s="7">
        <v>6</v>
      </c>
      <c r="V232" s="7">
        <v>1</v>
      </c>
      <c r="W232" s="7">
        <v>3</v>
      </c>
      <c r="X232" s="7">
        <f t="shared" si="21"/>
        <v>24</v>
      </c>
      <c r="Y232" t="s">
        <v>36</v>
      </c>
      <c r="Z232">
        <v>12358.79950159</v>
      </c>
      <c r="AA232" t="s">
        <v>659</v>
      </c>
      <c r="AB232" t="e">
        <v>#N/A</v>
      </c>
      <c r="AF232" t="e">
        <v>#N/A</v>
      </c>
      <c r="AG232" s="8">
        <v>90</v>
      </c>
      <c r="AH232">
        <v>0</v>
      </c>
      <c r="AI232">
        <v>3</v>
      </c>
      <c r="AJ232">
        <v>0</v>
      </c>
      <c r="AK232">
        <v>0</v>
      </c>
      <c r="AL232">
        <v>0</v>
      </c>
      <c r="AM232">
        <v>3</v>
      </c>
      <c r="AN232">
        <v>0</v>
      </c>
      <c r="AO232">
        <v>0</v>
      </c>
      <c r="AP232">
        <v>0</v>
      </c>
      <c r="AQ232">
        <v>0.14285714285714285</v>
      </c>
      <c r="AR232">
        <v>0.38095238095238093</v>
      </c>
      <c r="AS232">
        <v>0.33333333333333331</v>
      </c>
      <c r="AT232">
        <v>0.14285714285714285</v>
      </c>
      <c r="AU232">
        <v>26670.78708935</v>
      </c>
      <c r="AV232" t="s">
        <v>489</v>
      </c>
      <c r="AW232" t="str">
        <f t="shared" si="22"/>
        <v>n/a</v>
      </c>
      <c r="AY232" t="e">
        <f t="shared" si="23"/>
        <v>#N/A</v>
      </c>
      <c r="AZ232" t="e">
        <v>#N/A</v>
      </c>
      <c r="BA232">
        <v>3</v>
      </c>
      <c r="BB232">
        <v>2018</v>
      </c>
      <c r="BC232">
        <v>3</v>
      </c>
      <c r="BD232">
        <v>2018</v>
      </c>
      <c r="BE232">
        <v>1</v>
      </c>
      <c r="BF232">
        <v>2018</v>
      </c>
    </row>
    <row r="233" spans="1:58" x14ac:dyDescent="0.2">
      <c r="A233" s="7">
        <v>17</v>
      </c>
      <c r="B233" s="7">
        <v>31</v>
      </c>
      <c r="C233" s="7">
        <v>4</v>
      </c>
      <c r="D233" s="7">
        <v>0</v>
      </c>
      <c r="E233" s="7">
        <f t="shared" si="18"/>
        <v>52</v>
      </c>
      <c r="F233" s="11" t="e">
        <v>#N/A</v>
      </c>
      <c r="G233">
        <v>17</v>
      </c>
      <c r="H233">
        <v>31</v>
      </c>
      <c r="I233">
        <v>4</v>
      </c>
      <c r="J233">
        <v>0</v>
      </c>
      <c r="K233">
        <f t="shared" si="19"/>
        <v>52</v>
      </c>
      <c r="L233" t="e">
        <v>#N/A</v>
      </c>
      <c r="M233">
        <v>19912.934128780002</v>
      </c>
      <c r="N233" s="7">
        <v>20</v>
      </c>
      <c r="O233" s="7">
        <v>36</v>
      </c>
      <c r="P233" s="7">
        <v>9</v>
      </c>
      <c r="Q233" s="7">
        <v>6</v>
      </c>
      <c r="R233" s="7">
        <f t="shared" si="20"/>
        <v>71</v>
      </c>
      <c r="S233" t="e">
        <v>#N/A</v>
      </c>
      <c r="T233" s="7">
        <v>20</v>
      </c>
      <c r="U233" s="7">
        <v>36</v>
      </c>
      <c r="V233" s="7">
        <v>9</v>
      </c>
      <c r="W233" s="7">
        <v>6</v>
      </c>
      <c r="X233" s="7">
        <f t="shared" si="21"/>
        <v>71</v>
      </c>
      <c r="Y233" t="e">
        <v>#N/A</v>
      </c>
      <c r="Z233">
        <v>11652.264018469999</v>
      </c>
      <c r="AA233" t="s">
        <v>196</v>
      </c>
      <c r="AB233">
        <v>52</v>
      </c>
      <c r="AC233">
        <v>18</v>
      </c>
      <c r="AD233" t="s">
        <v>172</v>
      </c>
      <c r="AE233" t="s">
        <v>41</v>
      </c>
      <c r="AF233" t="e">
        <v>#N/A</v>
      </c>
      <c r="AG233" s="8">
        <v>80</v>
      </c>
      <c r="AH233">
        <v>0</v>
      </c>
      <c r="AI233">
        <v>19</v>
      </c>
      <c r="AJ233">
        <v>0</v>
      </c>
      <c r="AK233">
        <v>0</v>
      </c>
      <c r="AL233">
        <v>0</v>
      </c>
      <c r="AM233">
        <v>19</v>
      </c>
      <c r="AN233">
        <v>0</v>
      </c>
      <c r="AO233">
        <v>0</v>
      </c>
      <c r="AP233">
        <v>0</v>
      </c>
      <c r="AQ233">
        <v>0</v>
      </c>
      <c r="AR233">
        <v>0.32692307692307693</v>
      </c>
      <c r="AS233">
        <v>0.59615384615384615</v>
      </c>
      <c r="AT233">
        <v>7.6923076923076927E-2</v>
      </c>
      <c r="AU233">
        <v>31565.198147250001</v>
      </c>
      <c r="AV233">
        <v>4</v>
      </c>
      <c r="AW233">
        <f t="shared" si="22"/>
        <v>0</v>
      </c>
      <c r="AX233">
        <v>18</v>
      </c>
      <c r="AY233">
        <f t="shared" si="23"/>
        <v>1</v>
      </c>
      <c r="AZ233" t="e">
        <v>#N/A</v>
      </c>
      <c r="BA233">
        <v>2</v>
      </c>
      <c r="BB233">
        <v>2020</v>
      </c>
      <c r="BC233">
        <v>2</v>
      </c>
      <c r="BD233">
        <v>2020</v>
      </c>
      <c r="BE233">
        <v>1</v>
      </c>
      <c r="BF233">
        <v>2020</v>
      </c>
    </row>
    <row r="234" spans="1:58" x14ac:dyDescent="0.2">
      <c r="A234" s="7">
        <v>0</v>
      </c>
      <c r="B234" s="7">
        <v>0</v>
      </c>
      <c r="C234" s="7">
        <v>0</v>
      </c>
      <c r="D234" s="7">
        <v>0</v>
      </c>
      <c r="E234" s="7">
        <f t="shared" si="18"/>
        <v>0</v>
      </c>
      <c r="F234" s="11" t="e">
        <v>#N/A</v>
      </c>
      <c r="G234">
        <v>0</v>
      </c>
      <c r="H234">
        <v>0</v>
      </c>
      <c r="I234">
        <v>0</v>
      </c>
      <c r="J234">
        <v>0</v>
      </c>
      <c r="K234">
        <f t="shared" si="19"/>
        <v>0</v>
      </c>
      <c r="L234" t="e">
        <v>#N/A</v>
      </c>
      <c r="N234" s="7">
        <v>8</v>
      </c>
      <c r="O234" s="7">
        <v>17</v>
      </c>
      <c r="P234" s="7">
        <v>2</v>
      </c>
      <c r="Q234" s="7">
        <v>0</v>
      </c>
      <c r="R234" s="7">
        <f t="shared" si="20"/>
        <v>27</v>
      </c>
      <c r="S234" t="s">
        <v>36</v>
      </c>
      <c r="T234" s="7">
        <v>8</v>
      </c>
      <c r="U234" s="7">
        <v>24</v>
      </c>
      <c r="V234" s="7">
        <v>4</v>
      </c>
      <c r="W234" s="7">
        <v>4</v>
      </c>
      <c r="X234" s="7">
        <f t="shared" si="21"/>
        <v>40</v>
      </c>
      <c r="Y234" t="s">
        <v>36</v>
      </c>
      <c r="Z234">
        <v>17553.29815739</v>
      </c>
      <c r="AA234" t="s">
        <v>660</v>
      </c>
      <c r="AB234">
        <v>72</v>
      </c>
      <c r="AC234">
        <v>0</v>
      </c>
      <c r="AD234" t="s">
        <v>197</v>
      </c>
      <c r="AE234" t="s">
        <v>41</v>
      </c>
      <c r="AF234" t="e">
        <v>#N/A</v>
      </c>
      <c r="AG234" s="8">
        <v>192</v>
      </c>
      <c r="AH234">
        <v>13</v>
      </c>
      <c r="AI234">
        <v>40</v>
      </c>
      <c r="AJ234">
        <v>0</v>
      </c>
      <c r="AK234">
        <v>6.7708333333333329E-2</v>
      </c>
      <c r="AL234">
        <v>0.93819418743314187</v>
      </c>
      <c r="AM234">
        <v>27</v>
      </c>
      <c r="AN234">
        <v>0</v>
      </c>
      <c r="AO234">
        <v>0.48148148148148145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>
        <v>17553.29815739</v>
      </c>
      <c r="AV234">
        <v>5</v>
      </c>
      <c r="AW234">
        <f t="shared" si="22"/>
        <v>0</v>
      </c>
      <c r="AX234">
        <v>0</v>
      </c>
      <c r="AY234">
        <f t="shared" si="23"/>
        <v>0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>
        <v>5</v>
      </c>
      <c r="BF234">
        <v>2019</v>
      </c>
    </row>
    <row r="235" spans="1:58" x14ac:dyDescent="0.2">
      <c r="A235" s="7">
        <v>20</v>
      </c>
      <c r="B235" s="7">
        <v>40</v>
      </c>
      <c r="C235" s="7">
        <v>8</v>
      </c>
      <c r="D235" s="7">
        <v>2</v>
      </c>
      <c r="E235" s="7">
        <f t="shared" si="18"/>
        <v>70</v>
      </c>
      <c r="F235" s="11" t="s">
        <v>36</v>
      </c>
      <c r="G235">
        <v>20</v>
      </c>
      <c r="H235">
        <v>40</v>
      </c>
      <c r="I235">
        <v>8</v>
      </c>
      <c r="J235">
        <v>2</v>
      </c>
      <c r="K235">
        <f t="shared" si="19"/>
        <v>70</v>
      </c>
      <c r="L235" t="s">
        <v>36</v>
      </c>
      <c r="M235">
        <v>8452.3293200000007</v>
      </c>
      <c r="N235" s="7">
        <v>19</v>
      </c>
      <c r="O235" s="7">
        <v>38</v>
      </c>
      <c r="P235" s="7">
        <v>7</v>
      </c>
      <c r="Q235" s="7">
        <v>6</v>
      </c>
      <c r="R235" s="7">
        <f t="shared" si="20"/>
        <v>70</v>
      </c>
      <c r="S235" t="s">
        <v>36</v>
      </c>
      <c r="T235" s="7">
        <v>19</v>
      </c>
      <c r="U235" s="7">
        <v>38</v>
      </c>
      <c r="V235" s="7">
        <v>7</v>
      </c>
      <c r="W235" s="7">
        <v>6</v>
      </c>
      <c r="X235" s="7">
        <f t="shared" si="21"/>
        <v>70</v>
      </c>
      <c r="Y235" t="s">
        <v>36</v>
      </c>
      <c r="Z235">
        <v>12223.387845110001</v>
      </c>
      <c r="AA235" t="s">
        <v>661</v>
      </c>
      <c r="AB235">
        <v>56</v>
      </c>
      <c r="AC235">
        <v>0</v>
      </c>
      <c r="AD235" t="s">
        <v>64</v>
      </c>
      <c r="AE235" t="s">
        <v>41</v>
      </c>
      <c r="AF235" t="e">
        <v>#N/A</v>
      </c>
      <c r="AG235" s="8">
        <v>0</v>
      </c>
      <c r="AH235">
        <v>0</v>
      </c>
      <c r="AI235">
        <v>0</v>
      </c>
      <c r="AJ235">
        <v>0</v>
      </c>
      <c r="AK235" t="e">
        <v>#N/A</v>
      </c>
      <c r="AL235" t="e">
        <v>#N/A</v>
      </c>
      <c r="AM235">
        <v>0</v>
      </c>
      <c r="AN235">
        <v>0</v>
      </c>
      <c r="AO235">
        <v>0</v>
      </c>
      <c r="AP235">
        <v>0</v>
      </c>
      <c r="AQ235">
        <v>2.8571428571428571E-2</v>
      </c>
      <c r="AR235">
        <v>0.2857142857142857</v>
      </c>
      <c r="AS235">
        <v>0.5714285714285714</v>
      </c>
      <c r="AT235">
        <v>0.11428571428571428</v>
      </c>
      <c r="AU235">
        <v>20675.71716511</v>
      </c>
      <c r="AV235">
        <v>7</v>
      </c>
      <c r="AW235">
        <f t="shared" si="22"/>
        <v>0</v>
      </c>
      <c r="AX235">
        <v>0</v>
      </c>
      <c r="AY235">
        <f t="shared" si="23"/>
        <v>0</v>
      </c>
      <c r="AZ235" t="e">
        <v>#N/A</v>
      </c>
      <c r="BA235">
        <v>7</v>
      </c>
      <c r="BB235">
        <v>2019</v>
      </c>
      <c r="BC235">
        <v>7</v>
      </c>
      <c r="BD235">
        <v>2019</v>
      </c>
      <c r="BE235">
        <v>7</v>
      </c>
      <c r="BF235">
        <v>2019</v>
      </c>
    </row>
    <row r="236" spans="1:58" x14ac:dyDescent="0.2">
      <c r="A236" s="7">
        <v>3</v>
      </c>
      <c r="B236" s="7">
        <v>15</v>
      </c>
      <c r="C236" s="7">
        <v>1</v>
      </c>
      <c r="D236" s="7">
        <v>3</v>
      </c>
      <c r="E236" s="7">
        <f t="shared" si="18"/>
        <v>22</v>
      </c>
      <c r="F236" s="11" t="s">
        <v>36</v>
      </c>
      <c r="G236">
        <v>3</v>
      </c>
      <c r="H236">
        <v>15</v>
      </c>
      <c r="I236">
        <v>1</v>
      </c>
      <c r="J236">
        <v>3</v>
      </c>
      <c r="K236">
        <f t="shared" si="19"/>
        <v>22</v>
      </c>
      <c r="L236" t="s">
        <v>36</v>
      </c>
      <c r="M236">
        <v>4432.9468199999992</v>
      </c>
      <c r="N236" s="7">
        <v>4</v>
      </c>
      <c r="O236" s="7">
        <v>15</v>
      </c>
      <c r="P236" s="7">
        <v>1</v>
      </c>
      <c r="Q236" s="7">
        <v>3</v>
      </c>
      <c r="R236" s="7">
        <f t="shared" si="20"/>
        <v>23</v>
      </c>
      <c r="S236" t="s">
        <v>36</v>
      </c>
      <c r="T236" s="7">
        <v>6</v>
      </c>
      <c r="U236" s="7">
        <v>15</v>
      </c>
      <c r="V236" s="7">
        <v>1</v>
      </c>
      <c r="W236" s="7">
        <v>3</v>
      </c>
      <c r="X236" s="7">
        <f t="shared" si="21"/>
        <v>25</v>
      </c>
      <c r="Y236" t="s">
        <v>36</v>
      </c>
      <c r="Z236">
        <v>19716.37238271</v>
      </c>
      <c r="AA236" t="s">
        <v>662</v>
      </c>
      <c r="AB236" t="e">
        <v>#N/A</v>
      </c>
      <c r="AF236">
        <v>8</v>
      </c>
      <c r="AG236" s="8">
        <v>49</v>
      </c>
      <c r="AH236">
        <v>2</v>
      </c>
      <c r="AI236">
        <v>3</v>
      </c>
      <c r="AJ236">
        <v>0</v>
      </c>
      <c r="AK236">
        <v>4.0816326530612242E-2</v>
      </c>
      <c r="AL236">
        <v>0.2857142857142857</v>
      </c>
      <c r="AM236">
        <v>1</v>
      </c>
      <c r="AN236">
        <v>0</v>
      </c>
      <c r="AO236">
        <v>8.6956521739130432E-2</v>
      </c>
      <c r="AP236">
        <v>9.0909090909090912E-2</v>
      </c>
      <c r="AQ236">
        <v>0.13636363636363635</v>
      </c>
      <c r="AR236">
        <v>0.13636363636363635</v>
      </c>
      <c r="AS236">
        <v>0.68181818181818177</v>
      </c>
      <c r="AT236">
        <v>4.5454545454545456E-2</v>
      </c>
      <c r="AU236">
        <v>24149.319202710001</v>
      </c>
      <c r="AV236" t="s">
        <v>489</v>
      </c>
      <c r="AW236" t="str">
        <f t="shared" si="22"/>
        <v>n/a</v>
      </c>
      <c r="AY236" t="e">
        <f t="shared" si="23"/>
        <v>#N/A</v>
      </c>
      <c r="AZ236" t="e">
        <v>#N/A</v>
      </c>
      <c r="BA236">
        <v>1</v>
      </c>
      <c r="BB236">
        <v>2018</v>
      </c>
      <c r="BC236">
        <v>1</v>
      </c>
      <c r="BD236">
        <v>2018</v>
      </c>
      <c r="BE236">
        <v>1</v>
      </c>
      <c r="BF236">
        <v>2018</v>
      </c>
    </row>
    <row r="237" spans="1:58" x14ac:dyDescent="0.2">
      <c r="A237" s="7">
        <v>0</v>
      </c>
      <c r="B237" s="7">
        <v>0</v>
      </c>
      <c r="C237" s="7">
        <v>0</v>
      </c>
      <c r="D237" s="7">
        <v>0</v>
      </c>
      <c r="E237" s="7">
        <f t="shared" si="18"/>
        <v>0</v>
      </c>
      <c r="F237" s="11" t="e">
        <v>#N/A</v>
      </c>
      <c r="G237">
        <v>0</v>
      </c>
      <c r="H237">
        <v>0</v>
      </c>
      <c r="I237">
        <v>0</v>
      </c>
      <c r="J237">
        <v>0</v>
      </c>
      <c r="K237">
        <f t="shared" si="19"/>
        <v>0</v>
      </c>
      <c r="L237" t="e">
        <v>#N/A</v>
      </c>
      <c r="N237" s="7">
        <v>7</v>
      </c>
      <c r="O237" s="7">
        <v>15</v>
      </c>
      <c r="P237" s="7">
        <v>4</v>
      </c>
      <c r="Q237" s="7">
        <v>4</v>
      </c>
      <c r="R237" s="7">
        <f t="shared" si="20"/>
        <v>30</v>
      </c>
      <c r="S237" t="s">
        <v>36</v>
      </c>
      <c r="T237" s="7">
        <v>7</v>
      </c>
      <c r="U237" s="7">
        <v>15</v>
      </c>
      <c r="V237" s="7">
        <v>4</v>
      </c>
      <c r="W237" s="7">
        <v>4</v>
      </c>
      <c r="X237" s="7">
        <f t="shared" si="21"/>
        <v>30</v>
      </c>
      <c r="Y237" t="s">
        <v>36</v>
      </c>
      <c r="Z237">
        <v>3362.1307299999999</v>
      </c>
      <c r="AA237" t="s">
        <v>663</v>
      </c>
      <c r="AB237" t="e">
        <v>#N/A</v>
      </c>
      <c r="AF237" t="e">
        <v>#N/A</v>
      </c>
      <c r="AG237" s="8">
        <v>0</v>
      </c>
      <c r="AH237">
        <v>0</v>
      </c>
      <c r="AI237">
        <v>30</v>
      </c>
      <c r="AJ237">
        <v>0</v>
      </c>
      <c r="AK237" t="e">
        <v>#N/A</v>
      </c>
      <c r="AL237" t="e">
        <v>#N/A</v>
      </c>
      <c r="AM237">
        <v>30</v>
      </c>
      <c r="AN237">
        <v>0</v>
      </c>
      <c r="AO237">
        <v>0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>
        <v>3362.1307299999999</v>
      </c>
      <c r="AV237" t="s">
        <v>489</v>
      </c>
      <c r="AW237" t="str">
        <f t="shared" si="22"/>
        <v>n/a</v>
      </c>
      <c r="AY237" t="e">
        <f t="shared" si="23"/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>
        <v>7</v>
      </c>
      <c r="BF237">
        <v>2018</v>
      </c>
    </row>
    <row r="238" spans="1:58" x14ac:dyDescent="0.2">
      <c r="A238" s="7">
        <v>10</v>
      </c>
      <c r="B238" s="7">
        <v>34</v>
      </c>
      <c r="C238" s="7">
        <v>5</v>
      </c>
      <c r="D238" s="7">
        <v>5</v>
      </c>
      <c r="E238" s="7">
        <f t="shared" si="18"/>
        <v>54</v>
      </c>
      <c r="F238" s="11" t="s">
        <v>36</v>
      </c>
      <c r="G238">
        <v>10</v>
      </c>
      <c r="H238">
        <v>31</v>
      </c>
      <c r="I238">
        <v>5</v>
      </c>
      <c r="J238">
        <v>5</v>
      </c>
      <c r="K238">
        <f t="shared" si="19"/>
        <v>51</v>
      </c>
      <c r="L238" t="s">
        <v>36</v>
      </c>
      <c r="M238">
        <v>7112.2838200000006</v>
      </c>
      <c r="N238" s="7">
        <v>15</v>
      </c>
      <c r="O238" s="7">
        <v>31</v>
      </c>
      <c r="P238" s="7">
        <v>5</v>
      </c>
      <c r="Q238" s="7">
        <v>5</v>
      </c>
      <c r="R238" s="7">
        <f t="shared" si="20"/>
        <v>56</v>
      </c>
      <c r="S238" t="s">
        <v>36</v>
      </c>
      <c r="T238" s="7">
        <v>15</v>
      </c>
      <c r="U238" s="7">
        <v>31</v>
      </c>
      <c r="V238" s="7">
        <v>5</v>
      </c>
      <c r="W238" s="7">
        <v>5</v>
      </c>
      <c r="X238" s="7">
        <f t="shared" si="21"/>
        <v>56</v>
      </c>
      <c r="Y238" t="s">
        <v>36</v>
      </c>
      <c r="Z238">
        <v>2940.6345500000002</v>
      </c>
      <c r="AA238" t="s">
        <v>664</v>
      </c>
      <c r="AB238" t="e">
        <v>#N/A</v>
      </c>
      <c r="AF238">
        <v>162</v>
      </c>
      <c r="AG238" s="8">
        <v>0</v>
      </c>
      <c r="AH238">
        <v>0</v>
      </c>
      <c r="AI238">
        <v>2</v>
      </c>
      <c r="AJ238">
        <v>-3</v>
      </c>
      <c r="AK238" t="e">
        <v>#N/A</v>
      </c>
      <c r="AL238" t="e">
        <v>#N/A</v>
      </c>
      <c r="AM238">
        <v>5</v>
      </c>
      <c r="AN238">
        <v>0</v>
      </c>
      <c r="AO238">
        <v>0</v>
      </c>
      <c r="AP238">
        <v>0</v>
      </c>
      <c r="AQ238">
        <v>9.2592592592592587E-2</v>
      </c>
      <c r="AR238">
        <v>0.18518518518518517</v>
      </c>
      <c r="AS238">
        <v>0.62962962962962965</v>
      </c>
      <c r="AT238">
        <v>9.2592592592592587E-2</v>
      </c>
      <c r="AU238">
        <v>10052.918370000001</v>
      </c>
      <c r="AV238" t="s">
        <v>489</v>
      </c>
      <c r="AW238" t="str">
        <f t="shared" si="22"/>
        <v>n/a</v>
      </c>
      <c r="AY238" t="e">
        <f t="shared" si="23"/>
        <v>#N/A</v>
      </c>
      <c r="AZ238" t="e">
        <v>#N/A</v>
      </c>
      <c r="BA238">
        <v>1</v>
      </c>
      <c r="BB238">
        <v>2018</v>
      </c>
      <c r="BC238">
        <v>6</v>
      </c>
      <c r="BD238">
        <v>2018</v>
      </c>
      <c r="BE238">
        <v>4</v>
      </c>
      <c r="BF238">
        <v>2018</v>
      </c>
    </row>
    <row r="239" spans="1:58" x14ac:dyDescent="0.2">
      <c r="A239" s="7">
        <v>1</v>
      </c>
      <c r="B239" s="7">
        <v>16</v>
      </c>
      <c r="C239" s="7">
        <v>0</v>
      </c>
      <c r="D239" s="7">
        <v>0</v>
      </c>
      <c r="E239" s="7">
        <f t="shared" si="18"/>
        <v>17</v>
      </c>
      <c r="F239" s="11" t="s">
        <v>36</v>
      </c>
      <c r="G239">
        <v>1</v>
      </c>
      <c r="H239">
        <v>16</v>
      </c>
      <c r="I239">
        <v>0</v>
      </c>
      <c r="J239">
        <v>0</v>
      </c>
      <c r="K239">
        <f t="shared" si="19"/>
        <v>17</v>
      </c>
      <c r="L239" t="s">
        <v>36</v>
      </c>
      <c r="M239">
        <v>19276.806145120001</v>
      </c>
      <c r="N239" s="7">
        <v>0</v>
      </c>
      <c r="O239" s="7">
        <v>21</v>
      </c>
      <c r="P239" s="7">
        <v>0</v>
      </c>
      <c r="Q239" s="7">
        <v>5</v>
      </c>
      <c r="R239" s="7">
        <f t="shared" si="20"/>
        <v>26</v>
      </c>
      <c r="S239" t="s">
        <v>36</v>
      </c>
      <c r="T239" s="7">
        <v>0</v>
      </c>
      <c r="U239" s="7">
        <v>21</v>
      </c>
      <c r="V239" s="7">
        <v>0</v>
      </c>
      <c r="W239" s="7">
        <v>5</v>
      </c>
      <c r="X239" s="7">
        <f t="shared" si="21"/>
        <v>26</v>
      </c>
      <c r="Y239" t="s">
        <v>36</v>
      </c>
      <c r="Z239">
        <v>47334.819662590002</v>
      </c>
      <c r="AA239" t="s">
        <v>665</v>
      </c>
      <c r="AB239" t="e">
        <v>#N/A</v>
      </c>
      <c r="AF239">
        <v>17</v>
      </c>
      <c r="AG239" s="8">
        <v>321</v>
      </c>
      <c r="AH239">
        <v>0</v>
      </c>
      <c r="AI239">
        <v>9</v>
      </c>
      <c r="AJ239">
        <v>0</v>
      </c>
      <c r="AK239">
        <v>0</v>
      </c>
      <c r="AL239">
        <v>0</v>
      </c>
      <c r="AM239">
        <v>9</v>
      </c>
      <c r="AN239">
        <v>0</v>
      </c>
      <c r="AO239">
        <v>0</v>
      </c>
      <c r="AP239">
        <v>0</v>
      </c>
      <c r="AQ239">
        <v>0</v>
      </c>
      <c r="AR239">
        <v>5.8823529411764705E-2</v>
      </c>
      <c r="AS239">
        <v>0.94117647058823528</v>
      </c>
      <c r="AT239">
        <v>0</v>
      </c>
      <c r="AU239">
        <v>66611.625807710006</v>
      </c>
      <c r="AV239" t="s">
        <v>489</v>
      </c>
      <c r="AW239" t="str">
        <f t="shared" si="22"/>
        <v>n/a</v>
      </c>
      <c r="AY239" t="e">
        <f t="shared" si="23"/>
        <v>#N/A</v>
      </c>
      <c r="AZ239" t="e">
        <v>#N/A</v>
      </c>
      <c r="BA239">
        <v>9</v>
      </c>
      <c r="BB239">
        <v>2018</v>
      </c>
      <c r="BC239">
        <v>9</v>
      </c>
      <c r="BD239">
        <v>2018</v>
      </c>
      <c r="BE239">
        <v>1</v>
      </c>
      <c r="BF239">
        <v>2018</v>
      </c>
    </row>
    <row r="240" spans="1:58" x14ac:dyDescent="0.2">
      <c r="A240" s="7">
        <v>5</v>
      </c>
      <c r="B240" s="7">
        <v>16</v>
      </c>
      <c r="C240" s="7">
        <v>2</v>
      </c>
      <c r="D240" s="7">
        <v>4</v>
      </c>
      <c r="E240" s="7">
        <f t="shared" si="18"/>
        <v>27</v>
      </c>
      <c r="F240" s="11" t="e">
        <v>#N/A</v>
      </c>
      <c r="G240">
        <v>5</v>
      </c>
      <c r="H240">
        <v>19</v>
      </c>
      <c r="I240">
        <v>4</v>
      </c>
      <c r="J240">
        <v>4</v>
      </c>
      <c r="K240">
        <f t="shared" si="19"/>
        <v>32</v>
      </c>
      <c r="L240" t="e">
        <v>#N/A</v>
      </c>
      <c r="M240">
        <v>13791.25938064</v>
      </c>
      <c r="N240" s="7">
        <v>8</v>
      </c>
      <c r="O240" s="7">
        <v>19</v>
      </c>
      <c r="P240" s="7">
        <v>6</v>
      </c>
      <c r="Q240" s="7">
        <v>4</v>
      </c>
      <c r="R240" s="7">
        <f t="shared" si="20"/>
        <v>37</v>
      </c>
      <c r="S240" t="e">
        <v>#N/A</v>
      </c>
      <c r="T240" s="7">
        <v>14</v>
      </c>
      <c r="U240" s="7">
        <v>27</v>
      </c>
      <c r="V240" s="7">
        <v>7</v>
      </c>
      <c r="W240" s="7">
        <v>5</v>
      </c>
      <c r="X240" s="7">
        <f t="shared" si="21"/>
        <v>53</v>
      </c>
      <c r="Y240" t="e">
        <v>#N/A</v>
      </c>
      <c r="Z240">
        <v>55168.578345690003</v>
      </c>
      <c r="AA240" t="s">
        <v>198</v>
      </c>
      <c r="AB240">
        <v>33</v>
      </c>
      <c r="AC240">
        <v>0</v>
      </c>
      <c r="AD240" t="s">
        <v>199</v>
      </c>
      <c r="AE240" t="s">
        <v>75</v>
      </c>
      <c r="AF240">
        <v>188</v>
      </c>
      <c r="AG240" s="8">
        <v>85</v>
      </c>
      <c r="AH240">
        <v>16</v>
      </c>
      <c r="AI240">
        <v>26</v>
      </c>
      <c r="AJ240">
        <v>5</v>
      </c>
      <c r="AK240">
        <v>0.18823529411764706</v>
      </c>
      <c r="AL240">
        <v>1.7354436625492493</v>
      </c>
      <c r="AM240">
        <v>5</v>
      </c>
      <c r="AN240">
        <v>0</v>
      </c>
      <c r="AO240">
        <v>0.43243243243243246</v>
      </c>
      <c r="AP240">
        <v>0.59259259259259256</v>
      </c>
      <c r="AQ240">
        <v>0.14814814814814814</v>
      </c>
      <c r="AR240">
        <v>0.18518518518518517</v>
      </c>
      <c r="AS240">
        <v>0.59259259259259256</v>
      </c>
      <c r="AT240">
        <v>7.407407407407407E-2</v>
      </c>
      <c r="AU240">
        <v>68959.837726330006</v>
      </c>
      <c r="AV240">
        <v>9</v>
      </c>
      <c r="AW240">
        <f t="shared" si="22"/>
        <v>0</v>
      </c>
      <c r="AX240">
        <v>0</v>
      </c>
      <c r="AY240">
        <f t="shared" si="23"/>
        <v>0</v>
      </c>
      <c r="AZ240">
        <v>0</v>
      </c>
      <c r="BA240">
        <v>12</v>
      </c>
      <c r="BB240">
        <v>2019</v>
      </c>
      <c r="BC240">
        <v>7</v>
      </c>
      <c r="BD240">
        <v>2020</v>
      </c>
      <c r="BE240">
        <v>1</v>
      </c>
      <c r="BF240">
        <v>2020</v>
      </c>
    </row>
    <row r="241" spans="1:58" x14ac:dyDescent="0.2">
      <c r="A241" s="7">
        <v>8</v>
      </c>
      <c r="B241" s="7">
        <v>33</v>
      </c>
      <c r="C241" s="7">
        <v>0</v>
      </c>
      <c r="D241" s="7">
        <v>2</v>
      </c>
      <c r="E241" s="7">
        <f t="shared" si="18"/>
        <v>43</v>
      </c>
      <c r="F241" s="11" t="s">
        <v>36</v>
      </c>
      <c r="G241">
        <v>12</v>
      </c>
      <c r="H241">
        <v>33</v>
      </c>
      <c r="I241">
        <v>0</v>
      </c>
      <c r="J241">
        <v>3</v>
      </c>
      <c r="K241">
        <f t="shared" si="19"/>
        <v>48</v>
      </c>
      <c r="L241" t="s">
        <v>36</v>
      </c>
      <c r="M241">
        <v>25264.013640000001</v>
      </c>
      <c r="N241" s="7">
        <v>12</v>
      </c>
      <c r="O241" s="7">
        <v>33</v>
      </c>
      <c r="P241" s="7">
        <v>0</v>
      </c>
      <c r="Q241" s="7">
        <v>3</v>
      </c>
      <c r="R241" s="7">
        <f t="shared" si="20"/>
        <v>48</v>
      </c>
      <c r="S241" t="s">
        <v>36</v>
      </c>
      <c r="T241" s="7">
        <v>18</v>
      </c>
      <c r="U241" s="7">
        <v>33</v>
      </c>
      <c r="V241" s="7">
        <v>4</v>
      </c>
      <c r="W241" s="7">
        <v>7</v>
      </c>
      <c r="X241" s="7">
        <f t="shared" si="21"/>
        <v>62</v>
      </c>
      <c r="Y241" t="s">
        <v>36</v>
      </c>
      <c r="Z241">
        <v>61837.015664889987</v>
      </c>
      <c r="AA241" t="s">
        <v>666</v>
      </c>
      <c r="AB241" t="e">
        <v>#N/A</v>
      </c>
      <c r="AF241">
        <v>28</v>
      </c>
      <c r="AG241" s="8">
        <v>112</v>
      </c>
      <c r="AH241">
        <v>14</v>
      </c>
      <c r="AI241">
        <v>19</v>
      </c>
      <c r="AJ241">
        <v>5</v>
      </c>
      <c r="AK241">
        <v>0.125</v>
      </c>
      <c r="AL241">
        <v>1.3228756555322951</v>
      </c>
      <c r="AM241">
        <v>0</v>
      </c>
      <c r="AN241">
        <v>0</v>
      </c>
      <c r="AO241">
        <v>0.29166666666666669</v>
      </c>
      <c r="AP241">
        <v>0.32558139534883723</v>
      </c>
      <c r="AQ241">
        <v>4.6511627906976744E-2</v>
      </c>
      <c r="AR241">
        <v>0.18604651162790697</v>
      </c>
      <c r="AS241">
        <v>0.76744186046511631</v>
      </c>
      <c r="AT241">
        <v>0</v>
      </c>
      <c r="AU241">
        <v>87101.029304889991</v>
      </c>
      <c r="AV241" t="s">
        <v>489</v>
      </c>
      <c r="AW241" t="str">
        <f t="shared" si="22"/>
        <v>n/a</v>
      </c>
      <c r="AY241" t="e">
        <f t="shared" si="23"/>
        <v>#N/A</v>
      </c>
      <c r="AZ241" t="e">
        <v>#N/A</v>
      </c>
      <c r="BA241">
        <v>5</v>
      </c>
      <c r="BB241">
        <v>2018</v>
      </c>
      <c r="BC241">
        <v>6</v>
      </c>
      <c r="BD241">
        <v>2018</v>
      </c>
      <c r="BE241">
        <v>6</v>
      </c>
      <c r="BF241">
        <v>2018</v>
      </c>
    </row>
    <row r="242" spans="1:58" x14ac:dyDescent="0.2">
      <c r="A242" s="7">
        <v>15</v>
      </c>
      <c r="B242" s="7">
        <v>20</v>
      </c>
      <c r="C242" s="7">
        <v>7</v>
      </c>
      <c r="D242" s="7">
        <v>8</v>
      </c>
      <c r="E242" s="7">
        <f t="shared" si="18"/>
        <v>50</v>
      </c>
      <c r="F242" s="11" t="s">
        <v>36</v>
      </c>
      <c r="G242">
        <v>15</v>
      </c>
      <c r="H242">
        <v>20</v>
      </c>
      <c r="I242">
        <v>7</v>
      </c>
      <c r="J242">
        <v>8</v>
      </c>
      <c r="K242">
        <f t="shared" si="19"/>
        <v>50</v>
      </c>
      <c r="L242" t="s">
        <v>36</v>
      </c>
      <c r="M242">
        <v>10999.1836616</v>
      </c>
      <c r="N242" s="7">
        <v>6</v>
      </c>
      <c r="O242" s="7">
        <v>18</v>
      </c>
      <c r="P242" s="7">
        <v>0</v>
      </c>
      <c r="Q242" s="7">
        <v>3</v>
      </c>
      <c r="R242" s="7">
        <f t="shared" si="20"/>
        <v>27</v>
      </c>
      <c r="S242" t="s">
        <v>36</v>
      </c>
      <c r="T242" s="7">
        <v>20</v>
      </c>
      <c r="U242" s="7">
        <v>23</v>
      </c>
      <c r="V242" s="7">
        <v>9</v>
      </c>
      <c r="W242" s="7">
        <v>6</v>
      </c>
      <c r="X242" s="7">
        <f t="shared" si="21"/>
        <v>58</v>
      </c>
      <c r="Y242" t="s">
        <v>36</v>
      </c>
      <c r="Z242">
        <v>38677.764260000004</v>
      </c>
      <c r="AA242" t="s">
        <v>667</v>
      </c>
      <c r="AB242" t="e">
        <v>#N/A</v>
      </c>
      <c r="AF242" t="e">
        <v>#N/A</v>
      </c>
      <c r="AG242" s="8">
        <v>58</v>
      </c>
      <c r="AH242">
        <v>31</v>
      </c>
      <c r="AI242">
        <v>8</v>
      </c>
      <c r="AJ242">
        <v>0</v>
      </c>
      <c r="AK242">
        <v>0.53448275862068961</v>
      </c>
      <c r="AL242">
        <v>4.0704994186513987</v>
      </c>
      <c r="AM242">
        <v>-23</v>
      </c>
      <c r="AN242">
        <v>1</v>
      </c>
      <c r="AO242">
        <v>1.1481481481481481</v>
      </c>
      <c r="AP242">
        <v>0.62</v>
      </c>
      <c r="AQ242">
        <v>0.16</v>
      </c>
      <c r="AR242">
        <v>0.3</v>
      </c>
      <c r="AS242">
        <v>0.4</v>
      </c>
      <c r="AT242">
        <v>0.14000000000000001</v>
      </c>
      <c r="AU242">
        <v>49676.947921600004</v>
      </c>
      <c r="AV242" t="s">
        <v>489</v>
      </c>
      <c r="AW242" t="str">
        <f t="shared" si="22"/>
        <v>n/a</v>
      </c>
      <c r="AY242" t="e">
        <f t="shared" si="23"/>
        <v>#N/A</v>
      </c>
      <c r="AZ242" t="e">
        <v>#N/A</v>
      </c>
      <c r="BA242">
        <v>1</v>
      </c>
      <c r="BB242">
        <v>2018</v>
      </c>
      <c r="BC242">
        <v>1</v>
      </c>
      <c r="BD242">
        <v>2018</v>
      </c>
      <c r="BE242">
        <v>1</v>
      </c>
      <c r="BF242">
        <v>2018</v>
      </c>
    </row>
    <row r="243" spans="1:58" x14ac:dyDescent="0.2">
      <c r="A243" s="7">
        <v>6</v>
      </c>
      <c r="B243" s="7">
        <v>10</v>
      </c>
      <c r="C243" s="7">
        <v>0</v>
      </c>
      <c r="D243" s="7">
        <v>0</v>
      </c>
      <c r="E243" s="7">
        <f t="shared" si="18"/>
        <v>16</v>
      </c>
      <c r="F243" s="11" t="s">
        <v>36</v>
      </c>
      <c r="G243">
        <v>6</v>
      </c>
      <c r="H243">
        <v>10</v>
      </c>
      <c r="I243">
        <v>0</v>
      </c>
      <c r="J243">
        <v>0</v>
      </c>
      <c r="K243">
        <f t="shared" si="19"/>
        <v>16</v>
      </c>
      <c r="L243" t="s">
        <v>36</v>
      </c>
      <c r="M243">
        <v>18447.479723159999</v>
      </c>
      <c r="N243" s="7">
        <v>6</v>
      </c>
      <c r="O243" s="7">
        <v>11</v>
      </c>
      <c r="P243" s="7">
        <v>0</v>
      </c>
      <c r="Q243" s="7">
        <v>0</v>
      </c>
      <c r="R243" s="7">
        <f t="shared" si="20"/>
        <v>17</v>
      </c>
      <c r="S243" t="s">
        <v>36</v>
      </c>
      <c r="T243" s="7">
        <v>6</v>
      </c>
      <c r="U243" s="7">
        <v>11</v>
      </c>
      <c r="V243" s="7">
        <v>0</v>
      </c>
      <c r="W243" s="7">
        <v>5</v>
      </c>
      <c r="X243" s="7">
        <f t="shared" si="21"/>
        <v>22</v>
      </c>
      <c r="Y243" t="s">
        <v>36</v>
      </c>
      <c r="Z243">
        <v>46364.160753239987</v>
      </c>
      <c r="AA243" t="s">
        <v>668</v>
      </c>
      <c r="AB243">
        <v>90</v>
      </c>
      <c r="AC243">
        <v>0</v>
      </c>
      <c r="AD243" t="s">
        <v>200</v>
      </c>
      <c r="AE243" t="s">
        <v>75</v>
      </c>
      <c r="AF243" t="e">
        <v>#N/A</v>
      </c>
      <c r="AG243" s="8">
        <v>50</v>
      </c>
      <c r="AH243">
        <v>5</v>
      </c>
      <c r="AI243">
        <v>6</v>
      </c>
      <c r="AJ243">
        <v>0</v>
      </c>
      <c r="AK243">
        <v>0.1</v>
      </c>
      <c r="AL243">
        <v>0.70710678118654746</v>
      </c>
      <c r="AM243">
        <v>1</v>
      </c>
      <c r="AN243">
        <v>0</v>
      </c>
      <c r="AO243">
        <v>0.29411764705882354</v>
      </c>
      <c r="AP243">
        <v>0.3125</v>
      </c>
      <c r="AQ243">
        <v>0</v>
      </c>
      <c r="AR243">
        <v>0.375</v>
      </c>
      <c r="AS243">
        <v>0.625</v>
      </c>
      <c r="AT243">
        <v>0</v>
      </c>
      <c r="AU243">
        <v>64811.640476399989</v>
      </c>
      <c r="AV243">
        <v>13</v>
      </c>
      <c r="AW243">
        <f t="shared" si="22"/>
        <v>1</v>
      </c>
      <c r="AX243">
        <v>0</v>
      </c>
      <c r="AY243">
        <f t="shared" si="23"/>
        <v>0</v>
      </c>
      <c r="AZ243" t="e">
        <v>#N/A</v>
      </c>
      <c r="BA243">
        <v>3</v>
      </c>
      <c r="BB243">
        <v>2019</v>
      </c>
      <c r="BC243">
        <v>3</v>
      </c>
      <c r="BD243">
        <v>2019</v>
      </c>
      <c r="BE243">
        <v>4</v>
      </c>
      <c r="BF243">
        <v>2019</v>
      </c>
    </row>
    <row r="244" spans="1:58" x14ac:dyDescent="0.2">
      <c r="A244" s="7">
        <v>0</v>
      </c>
      <c r="B244" s="7">
        <v>11</v>
      </c>
      <c r="C244" s="7">
        <v>0</v>
      </c>
      <c r="D244" s="7">
        <v>3</v>
      </c>
      <c r="E244" s="7">
        <f t="shared" si="18"/>
        <v>14</v>
      </c>
      <c r="F244" s="11" t="s">
        <v>42</v>
      </c>
      <c r="G244">
        <v>0</v>
      </c>
      <c r="H244">
        <v>11</v>
      </c>
      <c r="I244">
        <v>0</v>
      </c>
      <c r="J244">
        <v>3</v>
      </c>
      <c r="K244">
        <f t="shared" si="19"/>
        <v>14</v>
      </c>
      <c r="L244" t="s">
        <v>42</v>
      </c>
      <c r="M244">
        <v>18395.596881630001</v>
      </c>
      <c r="N244" s="7">
        <v>0</v>
      </c>
      <c r="O244" s="7">
        <v>11</v>
      </c>
      <c r="P244" s="7">
        <v>0</v>
      </c>
      <c r="Q244" s="7">
        <v>0</v>
      </c>
      <c r="R244" s="7">
        <f t="shared" si="20"/>
        <v>11</v>
      </c>
      <c r="S244" t="e">
        <v>#N/A</v>
      </c>
      <c r="T244" s="7">
        <v>0</v>
      </c>
      <c r="U244" s="7">
        <v>11</v>
      </c>
      <c r="V244" s="7">
        <v>0</v>
      </c>
      <c r="W244" s="7">
        <v>0</v>
      </c>
      <c r="X244" s="7">
        <f t="shared" si="21"/>
        <v>11</v>
      </c>
      <c r="Y244" t="e">
        <v>#N/A</v>
      </c>
      <c r="Z244">
        <v>11169.308357420001</v>
      </c>
      <c r="AA244" t="s">
        <v>669</v>
      </c>
      <c r="AB244">
        <v>38</v>
      </c>
      <c r="AC244">
        <v>0</v>
      </c>
      <c r="AD244" t="s">
        <v>156</v>
      </c>
      <c r="AE244" t="s">
        <v>41</v>
      </c>
      <c r="AF244" t="e">
        <v>#N/A</v>
      </c>
      <c r="AG244" s="8">
        <v>0</v>
      </c>
      <c r="AH244">
        <v>0</v>
      </c>
      <c r="AI244">
        <v>-3</v>
      </c>
      <c r="AJ244">
        <v>0</v>
      </c>
      <c r="AK244" t="e">
        <v>#N/A</v>
      </c>
      <c r="AL244" t="e">
        <v>#N/A</v>
      </c>
      <c r="AM244">
        <v>-3</v>
      </c>
      <c r="AN244">
        <v>1</v>
      </c>
      <c r="AO244">
        <v>0</v>
      </c>
      <c r="AP244">
        <v>0</v>
      </c>
      <c r="AQ244">
        <v>0.21428571428571427</v>
      </c>
      <c r="AR244">
        <v>0</v>
      </c>
      <c r="AS244">
        <v>0.7857142857142857</v>
      </c>
      <c r="AT244">
        <v>0</v>
      </c>
      <c r="AU244">
        <v>29564.90523905</v>
      </c>
      <c r="AV244">
        <v>6</v>
      </c>
      <c r="AW244">
        <f t="shared" si="22"/>
        <v>0</v>
      </c>
      <c r="AX244">
        <v>0</v>
      </c>
      <c r="AY244">
        <f t="shared" si="23"/>
        <v>0</v>
      </c>
      <c r="AZ244" t="e">
        <v>#N/A</v>
      </c>
      <c r="BA244">
        <v>1</v>
      </c>
      <c r="BB244">
        <v>2019</v>
      </c>
      <c r="BC244">
        <v>1</v>
      </c>
      <c r="BD244">
        <v>2019</v>
      </c>
      <c r="BE244">
        <v>5</v>
      </c>
      <c r="BF244">
        <v>2019</v>
      </c>
    </row>
    <row r="245" spans="1:58" x14ac:dyDescent="0.2">
      <c r="A245" s="7">
        <v>0</v>
      </c>
      <c r="B245" s="7">
        <v>0</v>
      </c>
      <c r="C245" s="7">
        <v>0</v>
      </c>
      <c r="D245" s="7">
        <v>0</v>
      </c>
      <c r="E245" s="7">
        <f t="shared" si="18"/>
        <v>0</v>
      </c>
      <c r="F245" s="11" t="e">
        <v>#N/A</v>
      </c>
      <c r="G245">
        <v>0</v>
      </c>
      <c r="H245">
        <v>0</v>
      </c>
      <c r="I245">
        <v>0</v>
      </c>
      <c r="J245">
        <v>0</v>
      </c>
      <c r="K245">
        <f t="shared" si="19"/>
        <v>0</v>
      </c>
      <c r="L245" t="e">
        <v>#N/A</v>
      </c>
      <c r="N245" s="7">
        <v>17</v>
      </c>
      <c r="O245" s="7">
        <v>35</v>
      </c>
      <c r="P245" s="7">
        <v>6</v>
      </c>
      <c r="Q245" s="7">
        <v>15</v>
      </c>
      <c r="R245" s="7">
        <f t="shared" si="20"/>
        <v>73</v>
      </c>
      <c r="S245" t="s">
        <v>39</v>
      </c>
      <c r="T245" s="7">
        <v>15</v>
      </c>
      <c r="U245" s="7">
        <v>30</v>
      </c>
      <c r="V245" s="7">
        <v>3</v>
      </c>
      <c r="W245" s="7">
        <v>3</v>
      </c>
      <c r="X245" s="7">
        <f t="shared" si="21"/>
        <v>51</v>
      </c>
      <c r="Y245" t="s">
        <v>42</v>
      </c>
      <c r="Z245">
        <v>87323.59493288002</v>
      </c>
      <c r="AA245" t="s">
        <v>670</v>
      </c>
      <c r="AB245">
        <v>77</v>
      </c>
      <c r="AC245">
        <v>90</v>
      </c>
      <c r="AD245" t="s">
        <v>126</v>
      </c>
      <c r="AE245" t="s">
        <v>75</v>
      </c>
      <c r="AF245" t="e">
        <v>#N/A</v>
      </c>
      <c r="AG245" s="8">
        <v>194</v>
      </c>
      <c r="AH245">
        <v>-22</v>
      </c>
      <c r="AI245">
        <v>51</v>
      </c>
      <c r="AJ245">
        <v>0</v>
      </c>
      <c r="AK245">
        <v>-0.1134020618556701</v>
      </c>
      <c r="AL245">
        <v>-1.5795079489590238</v>
      </c>
      <c r="AM245">
        <v>73</v>
      </c>
      <c r="AN245">
        <v>0</v>
      </c>
      <c r="AO245">
        <v>-0.30136986301369861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>
        <v>87323.59493288002</v>
      </c>
      <c r="AV245">
        <v>13</v>
      </c>
      <c r="AW245">
        <f t="shared" si="22"/>
        <v>1</v>
      </c>
      <c r="AX245">
        <v>90</v>
      </c>
      <c r="AY245">
        <f t="shared" si="23"/>
        <v>1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>
        <v>1</v>
      </c>
      <c r="BF245">
        <v>2019</v>
      </c>
    </row>
    <row r="246" spans="1:58" x14ac:dyDescent="0.2">
      <c r="A246" s="7">
        <v>8</v>
      </c>
      <c r="B246" s="7">
        <v>8</v>
      </c>
      <c r="C246" s="7">
        <v>0</v>
      </c>
      <c r="D246" s="7">
        <v>0</v>
      </c>
      <c r="E246" s="7">
        <f t="shared" si="18"/>
        <v>16</v>
      </c>
      <c r="F246" s="11" t="s">
        <v>36</v>
      </c>
      <c r="G246">
        <v>5</v>
      </c>
      <c r="H246">
        <v>6</v>
      </c>
      <c r="I246">
        <v>0</v>
      </c>
      <c r="J246">
        <v>0</v>
      </c>
      <c r="K246">
        <f t="shared" si="19"/>
        <v>11</v>
      </c>
      <c r="L246" t="s">
        <v>36</v>
      </c>
      <c r="M246">
        <v>11683.37705284</v>
      </c>
      <c r="N246" s="7">
        <v>5</v>
      </c>
      <c r="O246" s="7">
        <v>6</v>
      </c>
      <c r="P246" s="7">
        <v>0</v>
      </c>
      <c r="Q246" s="7">
        <v>0</v>
      </c>
      <c r="R246" s="7">
        <f t="shared" si="20"/>
        <v>11</v>
      </c>
      <c r="S246" t="s">
        <v>36</v>
      </c>
      <c r="T246" s="7">
        <v>5</v>
      </c>
      <c r="U246" s="7">
        <v>6</v>
      </c>
      <c r="V246" s="7">
        <v>0</v>
      </c>
      <c r="W246" s="7">
        <v>0</v>
      </c>
      <c r="X246" s="7">
        <f t="shared" si="21"/>
        <v>11</v>
      </c>
      <c r="Y246" t="s">
        <v>36</v>
      </c>
      <c r="Z246">
        <v>26914.634320540001</v>
      </c>
      <c r="AA246" t="s">
        <v>671</v>
      </c>
      <c r="AB246" t="e">
        <v>#N/A</v>
      </c>
      <c r="AF246">
        <v>153</v>
      </c>
      <c r="AG246" s="8">
        <v>15</v>
      </c>
      <c r="AH246">
        <v>0</v>
      </c>
      <c r="AI246">
        <v>-5</v>
      </c>
      <c r="AJ246">
        <v>-5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0.5</v>
      </c>
      <c r="AS246">
        <v>0.5</v>
      </c>
      <c r="AT246">
        <v>0</v>
      </c>
      <c r="AU246">
        <v>38598.011373380003</v>
      </c>
      <c r="AV246" t="s">
        <v>489</v>
      </c>
      <c r="AW246" t="str">
        <f t="shared" si="22"/>
        <v>n/a</v>
      </c>
      <c r="AY246" t="e">
        <f t="shared" si="23"/>
        <v>#N/A</v>
      </c>
      <c r="AZ246" t="e">
        <v>#N/A</v>
      </c>
      <c r="BA246">
        <v>1</v>
      </c>
      <c r="BB246">
        <v>2018</v>
      </c>
      <c r="BC246">
        <v>7</v>
      </c>
      <c r="BD246">
        <v>2018</v>
      </c>
      <c r="BE246">
        <v>2</v>
      </c>
      <c r="BF246">
        <v>2018</v>
      </c>
    </row>
    <row r="247" spans="1:58" x14ac:dyDescent="0.2">
      <c r="A247" s="7">
        <v>18</v>
      </c>
      <c r="B247" s="7">
        <v>28</v>
      </c>
      <c r="C247" s="7">
        <v>9</v>
      </c>
      <c r="D247" s="7">
        <v>7</v>
      </c>
      <c r="E247" s="7">
        <f t="shared" si="18"/>
        <v>62</v>
      </c>
      <c r="F247" s="11" t="s">
        <v>36</v>
      </c>
      <c r="G247">
        <v>18</v>
      </c>
      <c r="H247">
        <v>28</v>
      </c>
      <c r="I247">
        <v>9</v>
      </c>
      <c r="J247">
        <v>7</v>
      </c>
      <c r="K247">
        <f t="shared" si="19"/>
        <v>62</v>
      </c>
      <c r="L247" t="s">
        <v>36</v>
      </c>
      <c r="M247">
        <v>5853.8865100000003</v>
      </c>
      <c r="N247" s="7">
        <v>18</v>
      </c>
      <c r="O247" s="7">
        <v>28</v>
      </c>
      <c r="P247" s="7">
        <v>9</v>
      </c>
      <c r="Q247" s="7">
        <v>7</v>
      </c>
      <c r="R247" s="7">
        <f t="shared" si="20"/>
        <v>62</v>
      </c>
      <c r="S247" t="s">
        <v>36</v>
      </c>
      <c r="T247" s="7">
        <v>18</v>
      </c>
      <c r="U247" s="7">
        <v>28</v>
      </c>
      <c r="V247" s="7">
        <v>9</v>
      </c>
      <c r="W247" s="7">
        <v>7</v>
      </c>
      <c r="X247" s="7">
        <f t="shared" si="21"/>
        <v>62</v>
      </c>
      <c r="Y247" t="s">
        <v>36</v>
      </c>
      <c r="Z247">
        <v>4432.6630728399996</v>
      </c>
      <c r="AA247" t="s">
        <v>672</v>
      </c>
      <c r="AB247" t="e">
        <v>#N/A</v>
      </c>
      <c r="AF247" t="e">
        <v>#N/A</v>
      </c>
      <c r="AG247" s="8">
        <v>7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0.11290322580645161</v>
      </c>
      <c r="AR247">
        <v>0.29032258064516131</v>
      </c>
      <c r="AS247">
        <v>0.45161290322580644</v>
      </c>
      <c r="AT247">
        <v>0.14516129032258066</v>
      </c>
      <c r="AU247">
        <v>10286.54958284</v>
      </c>
      <c r="AV247" t="s">
        <v>489</v>
      </c>
      <c r="AW247" t="str">
        <f t="shared" si="22"/>
        <v>n/a</v>
      </c>
      <c r="AY247" t="e">
        <f t="shared" si="23"/>
        <v>#N/A</v>
      </c>
      <c r="AZ247" t="e">
        <v>#N/A</v>
      </c>
      <c r="BA247">
        <v>11</v>
      </c>
      <c r="BB247">
        <v>2018</v>
      </c>
      <c r="BC247">
        <v>11</v>
      </c>
      <c r="BD247">
        <v>2018</v>
      </c>
      <c r="BE247">
        <v>4</v>
      </c>
      <c r="BF247">
        <v>2018</v>
      </c>
    </row>
    <row r="248" spans="1:58" x14ac:dyDescent="0.2">
      <c r="A248" s="7">
        <v>5</v>
      </c>
      <c r="B248" s="7">
        <v>10</v>
      </c>
      <c r="C248" s="7">
        <v>2</v>
      </c>
      <c r="D248" s="7">
        <v>4</v>
      </c>
      <c r="E248" s="7">
        <f t="shared" si="18"/>
        <v>21</v>
      </c>
      <c r="F248" s="11" t="s">
        <v>36</v>
      </c>
      <c r="G248">
        <v>5</v>
      </c>
      <c r="H248">
        <v>10</v>
      </c>
      <c r="I248">
        <v>2</v>
      </c>
      <c r="J248">
        <v>4</v>
      </c>
      <c r="K248">
        <f t="shared" si="19"/>
        <v>21</v>
      </c>
      <c r="L248" t="s">
        <v>36</v>
      </c>
      <c r="M248">
        <v>10767.646625920001</v>
      </c>
      <c r="N248" s="7">
        <v>5</v>
      </c>
      <c r="O248" s="7">
        <v>10</v>
      </c>
      <c r="P248" s="7">
        <v>2</v>
      </c>
      <c r="Q248" s="7">
        <v>4</v>
      </c>
      <c r="R248" s="7">
        <f t="shared" si="20"/>
        <v>21</v>
      </c>
      <c r="S248" t="s">
        <v>36</v>
      </c>
      <c r="T248" s="7">
        <v>5</v>
      </c>
      <c r="U248" s="7">
        <v>10</v>
      </c>
      <c r="V248" s="7">
        <v>2</v>
      </c>
      <c r="W248" s="7">
        <v>4</v>
      </c>
      <c r="X248" s="7">
        <f t="shared" si="21"/>
        <v>21</v>
      </c>
      <c r="Y248" t="s">
        <v>36</v>
      </c>
      <c r="Z248">
        <v>42415.123738260001</v>
      </c>
      <c r="AA248" t="s">
        <v>673</v>
      </c>
      <c r="AB248" t="e">
        <v>#N/A</v>
      </c>
      <c r="AF248" t="e">
        <v>#N/A</v>
      </c>
      <c r="AG248" s="8">
        <v>27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0.19047619047619047</v>
      </c>
      <c r="AR248">
        <v>0.23809523809523808</v>
      </c>
      <c r="AS248">
        <v>0.47619047619047616</v>
      </c>
      <c r="AT248">
        <v>9.5238095238095233E-2</v>
      </c>
      <c r="AU248">
        <v>53182.770364180004</v>
      </c>
      <c r="AV248" t="s">
        <v>489</v>
      </c>
      <c r="AW248" t="str">
        <f t="shared" si="22"/>
        <v>n/a</v>
      </c>
      <c r="AY248" t="e">
        <f t="shared" si="23"/>
        <v>#N/A</v>
      </c>
      <c r="AZ248" t="e">
        <v>#N/A</v>
      </c>
      <c r="BA248">
        <v>4</v>
      </c>
      <c r="BB248">
        <v>2018</v>
      </c>
      <c r="BC248">
        <v>4</v>
      </c>
      <c r="BD248">
        <v>2018</v>
      </c>
      <c r="BE248">
        <v>5</v>
      </c>
      <c r="BF248">
        <v>2018</v>
      </c>
    </row>
    <row r="249" spans="1:58" x14ac:dyDescent="0.2">
      <c r="A249" s="7">
        <v>11</v>
      </c>
      <c r="B249" s="7">
        <v>19</v>
      </c>
      <c r="C249" s="7">
        <v>3</v>
      </c>
      <c r="D249" s="7">
        <v>7</v>
      </c>
      <c r="E249" s="7">
        <f t="shared" si="18"/>
        <v>40</v>
      </c>
      <c r="F249" s="11" t="s">
        <v>36</v>
      </c>
      <c r="G249">
        <v>20</v>
      </c>
      <c r="H249">
        <v>31</v>
      </c>
      <c r="I249">
        <v>6</v>
      </c>
      <c r="J249">
        <v>0</v>
      </c>
      <c r="K249">
        <f t="shared" si="19"/>
        <v>57</v>
      </c>
      <c r="L249" t="s">
        <v>36</v>
      </c>
      <c r="M249">
        <v>9971.5907299999999</v>
      </c>
      <c r="N249" s="7">
        <v>11</v>
      </c>
      <c r="O249" s="7">
        <v>19</v>
      </c>
      <c r="P249" s="7">
        <v>3</v>
      </c>
      <c r="Q249" s="7">
        <v>7</v>
      </c>
      <c r="R249" s="7">
        <f t="shared" si="20"/>
        <v>40</v>
      </c>
      <c r="S249" t="s">
        <v>36</v>
      </c>
      <c r="T249" s="7">
        <v>18</v>
      </c>
      <c r="U249" s="7">
        <v>25</v>
      </c>
      <c r="V249" s="7">
        <v>9</v>
      </c>
      <c r="W249" s="7">
        <v>9</v>
      </c>
      <c r="X249" s="7">
        <f t="shared" si="21"/>
        <v>61</v>
      </c>
      <c r="Y249" t="s">
        <v>36</v>
      </c>
      <c r="Z249">
        <v>10651.92363379</v>
      </c>
      <c r="AA249" t="s">
        <v>674</v>
      </c>
      <c r="AB249" t="e">
        <v>#N/A</v>
      </c>
      <c r="AF249">
        <v>225</v>
      </c>
      <c r="AG249" s="8">
        <v>129</v>
      </c>
      <c r="AH249">
        <v>21</v>
      </c>
      <c r="AI249">
        <v>21</v>
      </c>
      <c r="AJ249">
        <v>17</v>
      </c>
      <c r="AK249">
        <v>0.16279069767441862</v>
      </c>
      <c r="AL249">
        <v>1.84894690328381</v>
      </c>
      <c r="AM249">
        <v>-17</v>
      </c>
      <c r="AN249">
        <v>1</v>
      </c>
      <c r="AO249">
        <v>0.52500000000000002</v>
      </c>
      <c r="AP249">
        <v>0.52500000000000002</v>
      </c>
      <c r="AQ249">
        <v>0.17499999999999999</v>
      </c>
      <c r="AR249">
        <v>0.27500000000000002</v>
      </c>
      <c r="AS249">
        <v>0.47499999999999998</v>
      </c>
      <c r="AT249">
        <v>7.4999999999999997E-2</v>
      </c>
      <c r="AU249">
        <v>20623.51436379</v>
      </c>
      <c r="AV249" t="s">
        <v>489</v>
      </c>
      <c r="AW249" t="str">
        <f t="shared" si="22"/>
        <v>n/a</v>
      </c>
      <c r="AY249" t="e">
        <f t="shared" si="23"/>
        <v>#N/A</v>
      </c>
      <c r="AZ249" t="e">
        <v>#N/A</v>
      </c>
      <c r="BA249">
        <v>1</v>
      </c>
      <c r="BB249">
        <v>2018</v>
      </c>
      <c r="BC249">
        <v>8</v>
      </c>
      <c r="BD249">
        <v>2018</v>
      </c>
      <c r="BE249">
        <v>5</v>
      </c>
      <c r="BF249">
        <v>2018</v>
      </c>
    </row>
    <row r="250" spans="1:58" x14ac:dyDescent="0.2">
      <c r="A250" s="7">
        <v>3</v>
      </c>
      <c r="B250" s="7">
        <v>15</v>
      </c>
      <c r="C250" s="7">
        <v>0</v>
      </c>
      <c r="D250" s="7">
        <v>0</v>
      </c>
      <c r="E250" s="7">
        <f t="shared" si="18"/>
        <v>18</v>
      </c>
      <c r="F250" s="11" t="s">
        <v>39</v>
      </c>
      <c r="G250">
        <v>3</v>
      </c>
      <c r="H250">
        <v>15</v>
      </c>
      <c r="I250">
        <v>0</v>
      </c>
      <c r="J250">
        <v>0</v>
      </c>
      <c r="K250">
        <f t="shared" si="19"/>
        <v>18</v>
      </c>
      <c r="L250" t="s">
        <v>39</v>
      </c>
      <c r="M250">
        <v>19534.329142670002</v>
      </c>
      <c r="N250" s="7">
        <v>3</v>
      </c>
      <c r="O250" s="7">
        <v>15</v>
      </c>
      <c r="P250" s="7">
        <v>0</v>
      </c>
      <c r="Q250" s="7">
        <v>3</v>
      </c>
      <c r="R250" s="7">
        <f t="shared" si="20"/>
        <v>21</v>
      </c>
      <c r="S250" t="s">
        <v>36</v>
      </c>
      <c r="T250" s="7">
        <v>3</v>
      </c>
      <c r="U250" s="7">
        <v>15</v>
      </c>
      <c r="V250" s="7">
        <v>0</v>
      </c>
      <c r="W250" s="7">
        <v>3</v>
      </c>
      <c r="X250" s="7">
        <f t="shared" si="21"/>
        <v>21</v>
      </c>
      <c r="Y250" t="s">
        <v>36</v>
      </c>
      <c r="Z250">
        <v>5982.0959444599994</v>
      </c>
      <c r="AA250" t="s">
        <v>675</v>
      </c>
      <c r="AB250" t="e">
        <v>#N/A</v>
      </c>
      <c r="AF250">
        <v>11</v>
      </c>
      <c r="AG250" s="8">
        <v>0</v>
      </c>
      <c r="AH250">
        <v>0</v>
      </c>
      <c r="AI250">
        <v>3</v>
      </c>
      <c r="AJ250">
        <v>0</v>
      </c>
      <c r="AK250" t="e">
        <v>#N/A</v>
      </c>
      <c r="AL250" t="e">
        <v>#N/A</v>
      </c>
      <c r="AM250">
        <v>3</v>
      </c>
      <c r="AN250">
        <v>0</v>
      </c>
      <c r="AO250">
        <v>0</v>
      </c>
      <c r="AP250">
        <v>0</v>
      </c>
      <c r="AQ250">
        <v>0</v>
      </c>
      <c r="AR250">
        <v>0.16666666666666666</v>
      </c>
      <c r="AS250">
        <v>0.83333333333333337</v>
      </c>
      <c r="AT250">
        <v>0</v>
      </c>
      <c r="AU250">
        <v>25516.425087130003</v>
      </c>
      <c r="AV250" t="s">
        <v>489</v>
      </c>
      <c r="AW250" t="str">
        <f t="shared" si="22"/>
        <v>n/a</v>
      </c>
      <c r="AY250" t="e">
        <f t="shared" si="23"/>
        <v>#N/A</v>
      </c>
      <c r="AZ250" t="e">
        <v>#N/A</v>
      </c>
      <c r="BA250">
        <v>6</v>
      </c>
      <c r="BB250">
        <v>2018</v>
      </c>
      <c r="BC250">
        <v>6</v>
      </c>
      <c r="BD250">
        <v>2018</v>
      </c>
      <c r="BE250">
        <v>5</v>
      </c>
      <c r="BF250">
        <v>2018</v>
      </c>
    </row>
    <row r="251" spans="1:58" x14ac:dyDescent="0.2">
      <c r="A251" s="7">
        <v>19</v>
      </c>
      <c r="B251" s="7">
        <v>30</v>
      </c>
      <c r="C251" s="7">
        <v>8</v>
      </c>
      <c r="D251" s="7">
        <v>5</v>
      </c>
      <c r="E251" s="7">
        <f t="shared" si="18"/>
        <v>62</v>
      </c>
      <c r="F251" s="11" t="s">
        <v>36</v>
      </c>
      <c r="G251">
        <v>18</v>
      </c>
      <c r="H251">
        <v>36</v>
      </c>
      <c r="I251">
        <v>6</v>
      </c>
      <c r="J251">
        <v>5</v>
      </c>
      <c r="K251">
        <f t="shared" si="19"/>
        <v>65</v>
      </c>
      <c r="L251" t="s">
        <v>36</v>
      </c>
      <c r="M251">
        <v>8099.2407163200014</v>
      </c>
      <c r="N251" s="7">
        <v>19</v>
      </c>
      <c r="O251" s="7">
        <v>30</v>
      </c>
      <c r="P251" s="7">
        <v>8</v>
      </c>
      <c r="Q251" s="7">
        <v>6</v>
      </c>
      <c r="R251" s="7">
        <f t="shared" si="20"/>
        <v>63</v>
      </c>
      <c r="S251" t="s">
        <v>36</v>
      </c>
      <c r="T251" s="7">
        <v>18</v>
      </c>
      <c r="U251" s="7">
        <v>33</v>
      </c>
      <c r="V251" s="7">
        <v>9</v>
      </c>
      <c r="W251" s="7">
        <v>7</v>
      </c>
      <c r="X251" s="7">
        <f t="shared" si="21"/>
        <v>67</v>
      </c>
      <c r="Y251" t="s">
        <v>36</v>
      </c>
      <c r="Z251">
        <v>15725.8753449</v>
      </c>
      <c r="AA251" t="s">
        <v>676</v>
      </c>
      <c r="AB251" t="e">
        <v>#N/A</v>
      </c>
      <c r="AF251">
        <v>310</v>
      </c>
      <c r="AG251" s="8">
        <v>57</v>
      </c>
      <c r="AH251">
        <v>4</v>
      </c>
      <c r="AI251">
        <v>5</v>
      </c>
      <c r="AJ251">
        <v>3</v>
      </c>
      <c r="AK251">
        <v>7.0175438596491224E-2</v>
      </c>
      <c r="AL251">
        <v>0.52981294282601754</v>
      </c>
      <c r="AM251">
        <v>-2</v>
      </c>
      <c r="AN251">
        <v>1</v>
      </c>
      <c r="AO251">
        <v>6.3492063492063489E-2</v>
      </c>
      <c r="AP251">
        <v>6.4516129032258063E-2</v>
      </c>
      <c r="AQ251">
        <v>8.0645161290322578E-2</v>
      </c>
      <c r="AR251">
        <v>0.30645161290322581</v>
      </c>
      <c r="AS251">
        <v>0.4838709677419355</v>
      </c>
      <c r="AT251">
        <v>0.12903225806451613</v>
      </c>
      <c r="AU251">
        <v>23825.11606122</v>
      </c>
      <c r="AV251" t="s">
        <v>489</v>
      </c>
      <c r="AW251" t="str">
        <f t="shared" si="22"/>
        <v>n/a</v>
      </c>
      <c r="AY251" t="e">
        <f t="shared" si="23"/>
        <v>#N/A</v>
      </c>
      <c r="AZ251" t="e">
        <v>#N/A</v>
      </c>
      <c r="BA251">
        <v>1</v>
      </c>
      <c r="BB251">
        <v>2018</v>
      </c>
      <c r="BC251">
        <v>12</v>
      </c>
      <c r="BD251">
        <v>2018</v>
      </c>
      <c r="BE251">
        <v>1</v>
      </c>
      <c r="BF251">
        <v>2018</v>
      </c>
    </row>
    <row r="252" spans="1:58" x14ac:dyDescent="0.2">
      <c r="A252" s="7">
        <v>17</v>
      </c>
      <c r="B252" s="7">
        <v>35</v>
      </c>
      <c r="C252" s="7">
        <v>8</v>
      </c>
      <c r="D252" s="7">
        <v>9</v>
      </c>
      <c r="E252" s="7">
        <f t="shared" si="18"/>
        <v>69</v>
      </c>
      <c r="F252" s="11" t="s">
        <v>36</v>
      </c>
      <c r="G252">
        <v>17</v>
      </c>
      <c r="H252">
        <v>35</v>
      </c>
      <c r="I252">
        <v>8</v>
      </c>
      <c r="J252">
        <v>9</v>
      </c>
      <c r="K252">
        <f t="shared" si="19"/>
        <v>69</v>
      </c>
      <c r="L252" t="s">
        <v>36</v>
      </c>
      <c r="M252">
        <v>27884.276502119999</v>
      </c>
      <c r="N252" s="7">
        <v>14</v>
      </c>
      <c r="O252" s="7">
        <v>31</v>
      </c>
      <c r="P252" s="7">
        <v>0</v>
      </c>
      <c r="Q252" s="7">
        <v>0</v>
      </c>
      <c r="R252" s="7">
        <f t="shared" si="20"/>
        <v>45</v>
      </c>
      <c r="S252" t="s">
        <v>36</v>
      </c>
      <c r="T252" s="7">
        <v>14</v>
      </c>
      <c r="U252" s="7">
        <v>31</v>
      </c>
      <c r="V252" s="7">
        <v>2</v>
      </c>
      <c r="W252" s="7">
        <v>5</v>
      </c>
      <c r="X252" s="7">
        <f t="shared" si="21"/>
        <v>52</v>
      </c>
      <c r="Y252" t="s">
        <v>36</v>
      </c>
      <c r="Z252">
        <v>51537.38361502999</v>
      </c>
      <c r="AA252" t="s">
        <v>677</v>
      </c>
      <c r="AB252">
        <v>38</v>
      </c>
      <c r="AC252">
        <v>0</v>
      </c>
      <c r="AD252" t="s">
        <v>201</v>
      </c>
      <c r="AE252" t="s">
        <v>41</v>
      </c>
      <c r="AF252">
        <v>108</v>
      </c>
      <c r="AG252" s="8">
        <v>199</v>
      </c>
      <c r="AH252">
        <v>7</v>
      </c>
      <c r="AI252">
        <v>-17</v>
      </c>
      <c r="AJ252">
        <v>0</v>
      </c>
      <c r="AK252">
        <v>3.5175879396984924E-2</v>
      </c>
      <c r="AL252">
        <v>0.49621684350583511</v>
      </c>
      <c r="AM252">
        <v>-24</v>
      </c>
      <c r="AN252">
        <v>1</v>
      </c>
      <c r="AO252">
        <v>0.15555555555555556</v>
      </c>
      <c r="AP252">
        <v>0.10144927536231885</v>
      </c>
      <c r="AQ252">
        <v>0.13043478260869565</v>
      </c>
      <c r="AR252">
        <v>0.24637681159420291</v>
      </c>
      <c r="AS252">
        <v>0.50724637681159424</v>
      </c>
      <c r="AT252">
        <v>0.11594202898550725</v>
      </c>
      <c r="AU252">
        <v>79421.660117149993</v>
      </c>
      <c r="AV252">
        <v>9</v>
      </c>
      <c r="AW252">
        <f t="shared" si="22"/>
        <v>0</v>
      </c>
      <c r="AX252">
        <v>0</v>
      </c>
      <c r="AY252">
        <f t="shared" si="23"/>
        <v>0</v>
      </c>
      <c r="AZ252">
        <v>0</v>
      </c>
      <c r="BA252">
        <v>1</v>
      </c>
      <c r="BB252">
        <v>2019</v>
      </c>
      <c r="BC252">
        <v>4</v>
      </c>
      <c r="BD252">
        <v>2019</v>
      </c>
      <c r="BE252">
        <v>1</v>
      </c>
      <c r="BF252">
        <v>2019</v>
      </c>
    </row>
    <row r="253" spans="1:58" x14ac:dyDescent="0.2">
      <c r="A253" s="7">
        <v>0</v>
      </c>
      <c r="B253" s="7">
        <v>2</v>
      </c>
      <c r="C253" s="7">
        <v>0</v>
      </c>
      <c r="D253" s="7">
        <v>0</v>
      </c>
      <c r="E253" s="7">
        <f t="shared" si="18"/>
        <v>2</v>
      </c>
      <c r="F253" s="11" t="e">
        <v>#N/A</v>
      </c>
      <c r="G253">
        <v>1</v>
      </c>
      <c r="H253">
        <v>6</v>
      </c>
      <c r="I253">
        <v>0</v>
      </c>
      <c r="J253">
        <v>0</v>
      </c>
      <c r="K253">
        <f t="shared" si="19"/>
        <v>7</v>
      </c>
      <c r="L253" t="s">
        <v>37</v>
      </c>
      <c r="M253">
        <v>75402.091511739985</v>
      </c>
      <c r="N253" s="7">
        <v>2</v>
      </c>
      <c r="O253" s="7">
        <v>22</v>
      </c>
      <c r="P253" s="7">
        <v>4</v>
      </c>
      <c r="Q253" s="7">
        <v>0</v>
      </c>
      <c r="R253" s="7">
        <f t="shared" si="20"/>
        <v>28</v>
      </c>
      <c r="S253" t="s">
        <v>47</v>
      </c>
      <c r="T253" s="7">
        <v>3</v>
      </c>
      <c r="U253" s="7">
        <v>27</v>
      </c>
      <c r="V253" s="7">
        <v>6</v>
      </c>
      <c r="W253" s="7">
        <v>5</v>
      </c>
      <c r="X253" s="7">
        <f t="shared" si="21"/>
        <v>41</v>
      </c>
      <c r="Y253" t="s">
        <v>60</v>
      </c>
      <c r="Z253">
        <v>35213.429797570003</v>
      </c>
      <c r="AA253" t="s">
        <v>202</v>
      </c>
      <c r="AB253">
        <v>71</v>
      </c>
      <c r="AC253">
        <v>905</v>
      </c>
      <c r="AD253" t="s">
        <v>72</v>
      </c>
      <c r="AE253" t="s">
        <v>41</v>
      </c>
      <c r="AF253">
        <v>212</v>
      </c>
      <c r="AG253" s="8">
        <v>83</v>
      </c>
      <c r="AH253">
        <v>13</v>
      </c>
      <c r="AI253">
        <v>39</v>
      </c>
      <c r="AJ253">
        <v>5</v>
      </c>
      <c r="AK253">
        <v>0.15662650602409639</v>
      </c>
      <c r="AL253">
        <v>1.4269353798659745</v>
      </c>
      <c r="AM253">
        <v>21</v>
      </c>
      <c r="AN253">
        <v>0</v>
      </c>
      <c r="AO253">
        <v>0.4642857142857143</v>
      </c>
      <c r="AP253">
        <v>6.5</v>
      </c>
      <c r="AQ253">
        <v>0</v>
      </c>
      <c r="AR253">
        <v>0</v>
      </c>
      <c r="AS253">
        <v>1</v>
      </c>
      <c r="AT253">
        <v>0</v>
      </c>
      <c r="AU253">
        <v>110615.52130930999</v>
      </c>
      <c r="AV253">
        <v>9</v>
      </c>
      <c r="AW253">
        <f t="shared" si="22"/>
        <v>0</v>
      </c>
      <c r="AX253">
        <v>905</v>
      </c>
      <c r="AY253">
        <f t="shared" si="23"/>
        <v>1</v>
      </c>
      <c r="AZ253">
        <v>4.2688679245283021</v>
      </c>
      <c r="BA253">
        <v>1</v>
      </c>
      <c r="BB253">
        <v>2020</v>
      </c>
      <c r="BC253">
        <v>8</v>
      </c>
      <c r="BD253">
        <v>2020</v>
      </c>
      <c r="BE253">
        <v>1</v>
      </c>
      <c r="BF253">
        <v>2020</v>
      </c>
    </row>
    <row r="254" spans="1:58" x14ac:dyDescent="0.2">
      <c r="A254" s="7">
        <v>13</v>
      </c>
      <c r="B254" s="7">
        <v>22</v>
      </c>
      <c r="C254" s="7">
        <v>6</v>
      </c>
      <c r="D254" s="7">
        <v>6</v>
      </c>
      <c r="E254" s="7">
        <f t="shared" si="18"/>
        <v>47</v>
      </c>
      <c r="F254" s="11" t="s">
        <v>36</v>
      </c>
      <c r="G254">
        <v>13</v>
      </c>
      <c r="H254">
        <v>22</v>
      </c>
      <c r="I254">
        <v>6</v>
      </c>
      <c r="J254">
        <v>6</v>
      </c>
      <c r="K254">
        <f t="shared" si="19"/>
        <v>47</v>
      </c>
      <c r="L254" t="s">
        <v>36</v>
      </c>
      <c r="M254">
        <v>15326.259762600001</v>
      </c>
      <c r="N254" s="7">
        <v>13</v>
      </c>
      <c r="O254" s="7">
        <v>22</v>
      </c>
      <c r="P254" s="7">
        <v>6</v>
      </c>
      <c r="Q254" s="7">
        <v>6</v>
      </c>
      <c r="R254" s="7">
        <f t="shared" si="20"/>
        <v>47</v>
      </c>
      <c r="S254" t="s">
        <v>36</v>
      </c>
      <c r="T254" s="7">
        <v>14</v>
      </c>
      <c r="U254" s="7">
        <v>25</v>
      </c>
      <c r="V254" s="7">
        <v>6</v>
      </c>
      <c r="W254" s="7">
        <v>6</v>
      </c>
      <c r="X254" s="7">
        <f t="shared" si="21"/>
        <v>51</v>
      </c>
      <c r="Y254" t="s">
        <v>36</v>
      </c>
      <c r="Z254">
        <v>5146.27333</v>
      </c>
      <c r="AA254" t="s">
        <v>678</v>
      </c>
      <c r="AB254" t="e">
        <v>#N/A</v>
      </c>
      <c r="AF254">
        <v>277</v>
      </c>
      <c r="AG254" s="8">
        <v>8</v>
      </c>
      <c r="AH254">
        <v>4</v>
      </c>
      <c r="AI254">
        <v>4</v>
      </c>
      <c r="AJ254">
        <v>0</v>
      </c>
      <c r="AK254">
        <v>0.5</v>
      </c>
      <c r="AL254">
        <v>1.4142135623730949</v>
      </c>
      <c r="AM254">
        <v>0</v>
      </c>
      <c r="AN254">
        <v>0</v>
      </c>
      <c r="AO254">
        <v>8.5106382978723402E-2</v>
      </c>
      <c r="AP254">
        <v>8.5106382978723402E-2</v>
      </c>
      <c r="AQ254">
        <v>0.1276595744680851</v>
      </c>
      <c r="AR254">
        <v>0.27659574468085107</v>
      </c>
      <c r="AS254">
        <v>0.46808510638297873</v>
      </c>
      <c r="AT254">
        <v>0.1276595744680851</v>
      </c>
      <c r="AU254">
        <v>20472.533092600002</v>
      </c>
      <c r="AV254" t="s">
        <v>489</v>
      </c>
      <c r="AW254" t="str">
        <f t="shared" si="22"/>
        <v>n/a</v>
      </c>
      <c r="AY254" t="e">
        <f t="shared" si="23"/>
        <v>#N/A</v>
      </c>
      <c r="AZ254" t="e">
        <v>#N/A</v>
      </c>
      <c r="BA254">
        <v>2</v>
      </c>
      <c r="BB254">
        <v>2018</v>
      </c>
      <c r="BC254">
        <v>11</v>
      </c>
      <c r="BD254">
        <v>2018</v>
      </c>
      <c r="BE254">
        <v>11</v>
      </c>
      <c r="BF254">
        <v>2018</v>
      </c>
    </row>
    <row r="255" spans="1:58" x14ac:dyDescent="0.2">
      <c r="A255" s="7">
        <v>0</v>
      </c>
      <c r="B255" s="7">
        <v>0</v>
      </c>
      <c r="C255" s="7">
        <v>0</v>
      </c>
      <c r="D255" s="7">
        <v>0</v>
      </c>
      <c r="E255" s="7">
        <f t="shared" si="18"/>
        <v>0</v>
      </c>
      <c r="F255" s="11" t="e">
        <v>#N/A</v>
      </c>
      <c r="G255">
        <v>0</v>
      </c>
      <c r="H255">
        <v>0</v>
      </c>
      <c r="I255">
        <v>0</v>
      </c>
      <c r="J255">
        <v>0</v>
      </c>
      <c r="K255">
        <f t="shared" si="19"/>
        <v>0</v>
      </c>
      <c r="L255" t="e">
        <v>#N/A</v>
      </c>
      <c r="N255" s="7">
        <v>7</v>
      </c>
      <c r="O255" s="7">
        <v>37</v>
      </c>
      <c r="P255" s="7">
        <v>8</v>
      </c>
      <c r="Q255" s="7">
        <v>3</v>
      </c>
      <c r="R255" s="7">
        <f t="shared" si="20"/>
        <v>55</v>
      </c>
      <c r="S255" t="s">
        <v>36</v>
      </c>
      <c r="T255" s="7">
        <v>7</v>
      </c>
      <c r="U255" s="7">
        <v>37</v>
      </c>
      <c r="V255" s="7">
        <v>9</v>
      </c>
      <c r="W255" s="7">
        <v>4</v>
      </c>
      <c r="X255" s="7">
        <f t="shared" si="21"/>
        <v>57</v>
      </c>
      <c r="Y255" t="s">
        <v>36</v>
      </c>
      <c r="Z255">
        <v>16226.961454779999</v>
      </c>
      <c r="AA255" t="s">
        <v>679</v>
      </c>
      <c r="AB255" t="e">
        <v>#N/A</v>
      </c>
      <c r="AF255" t="e">
        <v>#N/A</v>
      </c>
      <c r="AG255" s="8">
        <v>52</v>
      </c>
      <c r="AH255">
        <v>2</v>
      </c>
      <c r="AI255">
        <v>57</v>
      </c>
      <c r="AJ255">
        <v>0</v>
      </c>
      <c r="AK255">
        <v>3.8461538461538464E-2</v>
      </c>
      <c r="AL255">
        <v>0.27735009811261457</v>
      </c>
      <c r="AM255">
        <v>55</v>
      </c>
      <c r="AN255">
        <v>0</v>
      </c>
      <c r="AO255">
        <v>3.6363636363636362E-2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>
        <v>16226.961454779999</v>
      </c>
      <c r="AV255" t="s">
        <v>489</v>
      </c>
      <c r="AW255" t="str">
        <f t="shared" si="22"/>
        <v>n/a</v>
      </c>
      <c r="AY255" t="e">
        <f t="shared" si="23"/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>
        <v>3</v>
      </c>
      <c r="BF255">
        <v>2018</v>
      </c>
    </row>
    <row r="256" spans="1:58" x14ac:dyDescent="0.2">
      <c r="A256" s="7">
        <v>11</v>
      </c>
      <c r="B256" s="7">
        <v>13</v>
      </c>
      <c r="C256" s="7">
        <v>0</v>
      </c>
      <c r="D256" s="7">
        <v>0</v>
      </c>
      <c r="E256" s="7">
        <f t="shared" si="18"/>
        <v>24</v>
      </c>
      <c r="F256" s="11" t="e">
        <v>#N/A</v>
      </c>
      <c r="G256">
        <v>13</v>
      </c>
      <c r="H256">
        <v>29</v>
      </c>
      <c r="I256">
        <v>6</v>
      </c>
      <c r="J256">
        <v>5</v>
      </c>
      <c r="K256">
        <f t="shared" si="19"/>
        <v>53</v>
      </c>
      <c r="L256" t="e">
        <v>#N/A</v>
      </c>
      <c r="M256">
        <v>40775.093999560013</v>
      </c>
      <c r="N256" s="7">
        <v>10</v>
      </c>
      <c r="O256" s="7">
        <v>13</v>
      </c>
      <c r="P256" s="7">
        <v>0</v>
      </c>
      <c r="Q256" s="7">
        <v>5</v>
      </c>
      <c r="R256" s="7">
        <f t="shared" si="20"/>
        <v>28</v>
      </c>
      <c r="S256" t="e">
        <v>#N/A</v>
      </c>
      <c r="T256" s="7">
        <v>16</v>
      </c>
      <c r="U256" s="7">
        <v>31</v>
      </c>
      <c r="V256" s="7">
        <v>5</v>
      </c>
      <c r="W256" s="7">
        <v>7</v>
      </c>
      <c r="X256" s="7">
        <f t="shared" si="21"/>
        <v>59</v>
      </c>
      <c r="Y256" t="e">
        <v>#N/A</v>
      </c>
      <c r="Z256">
        <v>88247.22792936</v>
      </c>
      <c r="AA256" t="s">
        <v>203</v>
      </c>
      <c r="AB256">
        <v>23</v>
      </c>
      <c r="AC256">
        <v>0</v>
      </c>
      <c r="AD256" t="s">
        <v>64</v>
      </c>
      <c r="AE256" t="s">
        <v>75</v>
      </c>
      <c r="AF256">
        <v>160</v>
      </c>
      <c r="AG256" s="8">
        <v>292</v>
      </c>
      <c r="AH256">
        <v>31</v>
      </c>
      <c r="AI256">
        <v>35</v>
      </c>
      <c r="AJ256">
        <v>29</v>
      </c>
      <c r="AK256">
        <v>0.10616438356164383</v>
      </c>
      <c r="AL256">
        <v>1.8141377815400239</v>
      </c>
      <c r="AM256">
        <v>-25</v>
      </c>
      <c r="AN256">
        <v>1</v>
      </c>
      <c r="AO256">
        <v>1.1071428571428572</v>
      </c>
      <c r="AP256">
        <v>1.2916666666666667</v>
      </c>
      <c r="AQ256">
        <v>0</v>
      </c>
      <c r="AR256">
        <v>0.45833333333333331</v>
      </c>
      <c r="AS256">
        <v>0.54166666666666663</v>
      </c>
      <c r="AT256">
        <v>0</v>
      </c>
      <c r="AU256">
        <v>129022.32192892002</v>
      </c>
      <c r="AV256">
        <v>11</v>
      </c>
      <c r="AW256">
        <f t="shared" si="22"/>
        <v>1</v>
      </c>
      <c r="AX256">
        <v>0</v>
      </c>
      <c r="AY256">
        <f t="shared" si="23"/>
        <v>0</v>
      </c>
      <c r="AZ256">
        <v>0</v>
      </c>
      <c r="BA256">
        <v>1</v>
      </c>
      <c r="BB256">
        <v>2020</v>
      </c>
      <c r="BC256">
        <v>6</v>
      </c>
      <c r="BD256">
        <v>2020</v>
      </c>
      <c r="BE256">
        <v>1</v>
      </c>
      <c r="BF256">
        <v>2020</v>
      </c>
    </row>
    <row r="257" spans="1:58" x14ac:dyDescent="0.2">
      <c r="A257" s="7">
        <v>6</v>
      </c>
      <c r="B257" s="7">
        <v>16</v>
      </c>
      <c r="C257" s="7">
        <v>5</v>
      </c>
      <c r="D257" s="7">
        <v>8</v>
      </c>
      <c r="E257" s="7">
        <f t="shared" si="18"/>
        <v>35</v>
      </c>
      <c r="F257" s="11" t="s">
        <v>36</v>
      </c>
      <c r="G257">
        <v>6</v>
      </c>
      <c r="H257">
        <v>16</v>
      </c>
      <c r="I257">
        <v>5</v>
      </c>
      <c r="J257">
        <v>8</v>
      </c>
      <c r="K257">
        <f t="shared" si="19"/>
        <v>35</v>
      </c>
      <c r="L257" t="s">
        <v>36</v>
      </c>
      <c r="M257">
        <v>12370.19313184</v>
      </c>
      <c r="N257" s="7">
        <v>6</v>
      </c>
      <c r="O257" s="7">
        <v>16</v>
      </c>
      <c r="P257" s="7">
        <v>4</v>
      </c>
      <c r="Q257" s="7">
        <v>5</v>
      </c>
      <c r="R257" s="7">
        <f t="shared" si="20"/>
        <v>31</v>
      </c>
      <c r="S257" t="s">
        <v>36</v>
      </c>
      <c r="T257" s="7">
        <v>7</v>
      </c>
      <c r="U257" s="7">
        <v>27</v>
      </c>
      <c r="V257" s="7">
        <v>3</v>
      </c>
      <c r="W257" s="7">
        <v>7</v>
      </c>
      <c r="X257" s="7">
        <f t="shared" si="21"/>
        <v>44</v>
      </c>
      <c r="Y257" t="s">
        <v>36</v>
      </c>
      <c r="Z257">
        <v>19769.887976040001</v>
      </c>
      <c r="AA257" t="s">
        <v>680</v>
      </c>
      <c r="AB257" t="e">
        <v>#N/A</v>
      </c>
      <c r="AF257" t="e">
        <v>#N/A</v>
      </c>
      <c r="AG257" s="8">
        <v>36</v>
      </c>
      <c r="AH257">
        <v>13</v>
      </c>
      <c r="AI257">
        <v>9</v>
      </c>
      <c r="AJ257">
        <v>0</v>
      </c>
      <c r="AK257">
        <v>0.3611111111111111</v>
      </c>
      <c r="AL257">
        <v>2.1666666666666665</v>
      </c>
      <c r="AM257">
        <v>-4</v>
      </c>
      <c r="AN257">
        <v>1</v>
      </c>
      <c r="AO257">
        <v>0.41935483870967744</v>
      </c>
      <c r="AP257">
        <v>0.37142857142857144</v>
      </c>
      <c r="AQ257">
        <v>0.22857142857142856</v>
      </c>
      <c r="AR257">
        <v>0.17142857142857143</v>
      </c>
      <c r="AS257">
        <v>0.45714285714285713</v>
      </c>
      <c r="AT257">
        <v>0.14285714285714285</v>
      </c>
      <c r="AU257">
        <v>32140.081107880003</v>
      </c>
      <c r="AV257" t="s">
        <v>489</v>
      </c>
      <c r="AW257" t="str">
        <f t="shared" si="22"/>
        <v>n/a</v>
      </c>
      <c r="AY257" t="e">
        <f t="shared" si="23"/>
        <v>#N/A</v>
      </c>
      <c r="AZ257" t="e">
        <v>#N/A</v>
      </c>
      <c r="BA257">
        <v>10</v>
      </c>
      <c r="BB257">
        <v>2018</v>
      </c>
      <c r="BC257">
        <v>10</v>
      </c>
      <c r="BD257">
        <v>2018</v>
      </c>
      <c r="BE257">
        <v>1</v>
      </c>
      <c r="BF257">
        <v>2018</v>
      </c>
    </row>
    <row r="258" spans="1:58" x14ac:dyDescent="0.2">
      <c r="A258" s="7">
        <v>20</v>
      </c>
      <c r="B258" s="7">
        <v>36</v>
      </c>
      <c r="C258" s="7">
        <v>7</v>
      </c>
      <c r="D258" s="7">
        <v>6</v>
      </c>
      <c r="E258" s="7">
        <f t="shared" ref="E258:E321" si="24">SUM(A258,B258,C258,D258)</f>
        <v>69</v>
      </c>
      <c r="F258" s="11" t="s">
        <v>36</v>
      </c>
      <c r="G258">
        <v>20</v>
      </c>
      <c r="H258">
        <v>36</v>
      </c>
      <c r="I258">
        <v>7</v>
      </c>
      <c r="J258">
        <v>6</v>
      </c>
      <c r="K258">
        <f t="shared" ref="K258:K321" si="25">SUM(G258,H258,I258,J258)</f>
        <v>69</v>
      </c>
      <c r="L258" t="s">
        <v>36</v>
      </c>
      <c r="M258">
        <v>19490.159199090001</v>
      </c>
      <c r="N258" s="7">
        <v>13</v>
      </c>
      <c r="O258" s="7">
        <v>18</v>
      </c>
      <c r="P258" s="7">
        <v>1</v>
      </c>
      <c r="Q258" s="7">
        <v>6</v>
      </c>
      <c r="R258" s="7">
        <f t="shared" ref="R258:R321" si="26">SUM(N258,O258,P258,Q258)</f>
        <v>38</v>
      </c>
      <c r="S258" t="s">
        <v>36</v>
      </c>
      <c r="T258" s="7">
        <v>20</v>
      </c>
      <c r="U258" s="7">
        <v>33</v>
      </c>
      <c r="V258" s="7">
        <v>9</v>
      </c>
      <c r="W258" s="7">
        <v>7</v>
      </c>
      <c r="X258" s="7">
        <f t="shared" ref="X258:X321" si="27">SUM(T258,U258,V258,W258)</f>
        <v>69</v>
      </c>
      <c r="Y258" t="s">
        <v>36</v>
      </c>
      <c r="Z258">
        <v>25297.27785885</v>
      </c>
      <c r="AA258" t="s">
        <v>681</v>
      </c>
      <c r="AB258">
        <v>57</v>
      </c>
      <c r="AC258">
        <v>0</v>
      </c>
      <c r="AD258" t="s">
        <v>61</v>
      </c>
      <c r="AE258" t="s">
        <v>41</v>
      </c>
      <c r="AF258" t="e">
        <v>#N/A</v>
      </c>
      <c r="AG258" s="8">
        <v>76</v>
      </c>
      <c r="AH258">
        <v>31</v>
      </c>
      <c r="AI258">
        <v>0</v>
      </c>
      <c r="AJ258">
        <v>0</v>
      </c>
      <c r="AK258">
        <v>0.40789473684210525</v>
      </c>
      <c r="AL258">
        <v>3.5559438749937069</v>
      </c>
      <c r="AM258">
        <v>-31</v>
      </c>
      <c r="AN258">
        <v>1</v>
      </c>
      <c r="AO258">
        <v>0.81578947368421051</v>
      </c>
      <c r="AP258">
        <v>0.44927536231884058</v>
      </c>
      <c r="AQ258">
        <v>8.6956521739130432E-2</v>
      </c>
      <c r="AR258">
        <v>0.28985507246376813</v>
      </c>
      <c r="AS258">
        <v>0.52173913043478259</v>
      </c>
      <c r="AT258">
        <v>0.10144927536231885</v>
      </c>
      <c r="AU258">
        <v>44787.437057939998</v>
      </c>
      <c r="AV258">
        <v>4</v>
      </c>
      <c r="AW258">
        <f t="shared" si="22"/>
        <v>0</v>
      </c>
      <c r="AX258">
        <v>0</v>
      </c>
      <c r="AY258">
        <f t="shared" si="23"/>
        <v>0</v>
      </c>
      <c r="AZ258" t="e">
        <v>#N/A</v>
      </c>
      <c r="BA258">
        <v>1</v>
      </c>
      <c r="BB258">
        <v>2019</v>
      </c>
      <c r="BC258">
        <v>1</v>
      </c>
      <c r="BD258">
        <v>2019</v>
      </c>
      <c r="BE258">
        <v>1</v>
      </c>
      <c r="BF258">
        <v>2019</v>
      </c>
    </row>
    <row r="259" spans="1:58" x14ac:dyDescent="0.2">
      <c r="A259" s="7">
        <v>14</v>
      </c>
      <c r="B259" s="7">
        <v>33</v>
      </c>
      <c r="C259" s="7">
        <v>4</v>
      </c>
      <c r="D259" s="7">
        <v>0</v>
      </c>
      <c r="E259" s="7">
        <f t="shared" si="24"/>
        <v>51</v>
      </c>
      <c r="F259" s="11" t="s">
        <v>36</v>
      </c>
      <c r="G259">
        <v>14</v>
      </c>
      <c r="H259">
        <v>33</v>
      </c>
      <c r="I259">
        <v>4</v>
      </c>
      <c r="J259">
        <v>0</v>
      </c>
      <c r="K259">
        <f t="shared" si="25"/>
        <v>51</v>
      </c>
      <c r="L259" t="s">
        <v>36</v>
      </c>
      <c r="M259">
        <v>15087.52712939</v>
      </c>
      <c r="N259" s="7">
        <v>14</v>
      </c>
      <c r="O259" s="7">
        <v>28</v>
      </c>
      <c r="P259" s="7">
        <v>0</v>
      </c>
      <c r="Q259" s="7">
        <v>0</v>
      </c>
      <c r="R259" s="7">
        <f t="shared" si="26"/>
        <v>42</v>
      </c>
      <c r="S259" t="s">
        <v>36</v>
      </c>
      <c r="T259" s="7">
        <v>18</v>
      </c>
      <c r="U259" s="7">
        <v>28</v>
      </c>
      <c r="V259" s="7">
        <v>8</v>
      </c>
      <c r="W259" s="7">
        <v>7</v>
      </c>
      <c r="X259" s="7">
        <f t="shared" si="27"/>
        <v>61</v>
      </c>
      <c r="Y259" t="s">
        <v>36</v>
      </c>
      <c r="Z259">
        <v>95396.587598379992</v>
      </c>
      <c r="AA259" t="s">
        <v>681</v>
      </c>
      <c r="AB259">
        <v>58</v>
      </c>
      <c r="AC259">
        <v>0</v>
      </c>
      <c r="AD259" t="s">
        <v>204</v>
      </c>
      <c r="AE259" t="s">
        <v>41</v>
      </c>
      <c r="AF259">
        <v>320</v>
      </c>
      <c r="AG259" s="8">
        <v>86</v>
      </c>
      <c r="AH259">
        <v>19</v>
      </c>
      <c r="AI259">
        <v>10</v>
      </c>
      <c r="AJ259">
        <v>0</v>
      </c>
      <c r="AK259">
        <v>0.22093023255813954</v>
      </c>
      <c r="AL259">
        <v>2.0488226908653298</v>
      </c>
      <c r="AM259">
        <v>-9</v>
      </c>
      <c r="AN259">
        <v>1</v>
      </c>
      <c r="AO259">
        <v>0.45238095238095238</v>
      </c>
      <c r="AP259">
        <v>0.37254901960784315</v>
      </c>
      <c r="AQ259">
        <v>0</v>
      </c>
      <c r="AR259">
        <v>0.27450980392156865</v>
      </c>
      <c r="AS259">
        <v>0.6470588235294118</v>
      </c>
      <c r="AT259">
        <v>7.8431372549019607E-2</v>
      </c>
      <c r="AU259">
        <v>110484.11472776999</v>
      </c>
      <c r="AV259">
        <v>6</v>
      </c>
      <c r="AW259">
        <f t="shared" ref="AW259:AW322" si="28">IF(AV259="n/a","n/a",IF(AV259&gt;=10,1,0))</f>
        <v>0</v>
      </c>
      <c r="AX259">
        <v>0</v>
      </c>
      <c r="AY259">
        <f t="shared" ref="AY259:AY322" si="29">IF(
  ISBLANK(AX259),
  NA(),
  IF(AX259&gt;0, 1, 0)
)</f>
        <v>0</v>
      </c>
      <c r="AZ259">
        <v>0</v>
      </c>
      <c r="BA259">
        <v>1</v>
      </c>
      <c r="BB259">
        <v>2019</v>
      </c>
      <c r="BC259">
        <v>11</v>
      </c>
      <c r="BD259">
        <v>2019</v>
      </c>
      <c r="BE259">
        <v>2</v>
      </c>
      <c r="BF259">
        <v>2020</v>
      </c>
    </row>
    <row r="260" spans="1:58" x14ac:dyDescent="0.2">
      <c r="A260" s="7">
        <v>13</v>
      </c>
      <c r="B260" s="7">
        <v>32</v>
      </c>
      <c r="C260" s="7">
        <v>4</v>
      </c>
      <c r="D260" s="7">
        <v>8</v>
      </c>
      <c r="E260" s="7">
        <f t="shared" si="24"/>
        <v>57</v>
      </c>
      <c r="F260" s="11" t="s">
        <v>36</v>
      </c>
      <c r="G260">
        <v>13</v>
      </c>
      <c r="H260">
        <v>32</v>
      </c>
      <c r="I260">
        <v>4</v>
      </c>
      <c r="J260">
        <v>8</v>
      </c>
      <c r="K260">
        <f t="shared" si="25"/>
        <v>57</v>
      </c>
      <c r="L260" t="s">
        <v>36</v>
      </c>
      <c r="M260">
        <v>9362.2777951600001</v>
      </c>
      <c r="N260" s="7">
        <v>15</v>
      </c>
      <c r="O260" s="7">
        <v>40</v>
      </c>
      <c r="P260" s="7">
        <v>9</v>
      </c>
      <c r="Q260" s="7">
        <v>8</v>
      </c>
      <c r="R260" s="7">
        <f t="shared" si="26"/>
        <v>72</v>
      </c>
      <c r="S260" t="s">
        <v>36</v>
      </c>
      <c r="T260" s="7">
        <v>20</v>
      </c>
      <c r="U260" s="7">
        <v>40</v>
      </c>
      <c r="V260" s="7">
        <v>9</v>
      </c>
      <c r="W260" s="7">
        <v>20</v>
      </c>
      <c r="X260" s="7">
        <f t="shared" si="27"/>
        <v>89</v>
      </c>
      <c r="Y260" t="e">
        <v>#N/A</v>
      </c>
      <c r="Z260">
        <v>47572.906802809986</v>
      </c>
      <c r="AA260" t="s">
        <v>682</v>
      </c>
      <c r="AB260">
        <v>73</v>
      </c>
      <c r="AC260">
        <v>0</v>
      </c>
      <c r="AD260" t="s">
        <v>205</v>
      </c>
      <c r="AE260" t="s">
        <v>41</v>
      </c>
      <c r="AF260" t="e">
        <v>#N/A</v>
      </c>
      <c r="AG260" s="8">
        <v>404</v>
      </c>
      <c r="AH260">
        <v>17</v>
      </c>
      <c r="AI260">
        <v>32</v>
      </c>
      <c r="AJ260">
        <v>0</v>
      </c>
      <c r="AK260">
        <v>4.2079207920792082E-2</v>
      </c>
      <c r="AL260">
        <v>0.84578161167849075</v>
      </c>
      <c r="AM260">
        <v>15</v>
      </c>
      <c r="AN260">
        <v>0</v>
      </c>
      <c r="AO260">
        <v>0.2361111111111111</v>
      </c>
      <c r="AP260">
        <v>0.2982456140350877</v>
      </c>
      <c r="AQ260">
        <v>0.14035087719298245</v>
      </c>
      <c r="AR260">
        <v>0.22807017543859648</v>
      </c>
      <c r="AS260">
        <v>0.56140350877192979</v>
      </c>
      <c r="AT260">
        <v>7.0175438596491224E-2</v>
      </c>
      <c r="AU260">
        <v>56935.184597969986</v>
      </c>
      <c r="AV260">
        <v>4</v>
      </c>
      <c r="AW260">
        <f t="shared" si="28"/>
        <v>0</v>
      </c>
      <c r="AX260">
        <v>0</v>
      </c>
      <c r="AY260">
        <f t="shared" si="29"/>
        <v>0</v>
      </c>
      <c r="AZ260" t="e">
        <v>#N/A</v>
      </c>
      <c r="BA260">
        <v>5</v>
      </c>
      <c r="BB260">
        <v>2019</v>
      </c>
      <c r="BC260">
        <v>5</v>
      </c>
      <c r="BD260">
        <v>2019</v>
      </c>
      <c r="BE260">
        <v>1</v>
      </c>
      <c r="BF260">
        <v>2019</v>
      </c>
    </row>
    <row r="261" spans="1:58" x14ac:dyDescent="0.2">
      <c r="A261" s="7">
        <v>20</v>
      </c>
      <c r="B261" s="7">
        <v>24</v>
      </c>
      <c r="C261" s="7">
        <v>7</v>
      </c>
      <c r="D261" s="7">
        <v>8</v>
      </c>
      <c r="E261" s="7">
        <f t="shared" si="24"/>
        <v>59</v>
      </c>
      <c r="F261" s="11" t="s">
        <v>36</v>
      </c>
      <c r="G261">
        <v>20</v>
      </c>
      <c r="H261">
        <v>24</v>
      </c>
      <c r="I261">
        <v>7</v>
      </c>
      <c r="J261">
        <v>8</v>
      </c>
      <c r="K261">
        <f t="shared" si="25"/>
        <v>59</v>
      </c>
      <c r="L261" t="s">
        <v>36</v>
      </c>
      <c r="M261">
        <v>10901.011002339999</v>
      </c>
      <c r="N261" s="7">
        <v>0</v>
      </c>
      <c r="O261" s="7">
        <v>0</v>
      </c>
      <c r="P261" s="7">
        <v>3</v>
      </c>
      <c r="Q261" s="7">
        <v>8</v>
      </c>
      <c r="R261" s="7">
        <f t="shared" si="26"/>
        <v>11</v>
      </c>
      <c r="S261" t="s">
        <v>36</v>
      </c>
      <c r="T261" s="7">
        <v>0</v>
      </c>
      <c r="U261" s="7">
        <v>0</v>
      </c>
      <c r="V261" s="7">
        <v>3</v>
      </c>
      <c r="W261" s="7">
        <v>8</v>
      </c>
      <c r="X261" s="7">
        <f t="shared" si="27"/>
        <v>11</v>
      </c>
      <c r="Y261" t="s">
        <v>36</v>
      </c>
      <c r="Z261">
        <v>5921.7127230199994</v>
      </c>
      <c r="AA261" t="s">
        <v>683</v>
      </c>
      <c r="AB261">
        <v>48</v>
      </c>
      <c r="AC261">
        <v>0</v>
      </c>
      <c r="AD261" t="s">
        <v>176</v>
      </c>
      <c r="AE261" t="s">
        <v>41</v>
      </c>
      <c r="AF261" t="e">
        <v>#N/A</v>
      </c>
      <c r="AG261" s="8">
        <v>0</v>
      </c>
      <c r="AH261">
        <v>0</v>
      </c>
      <c r="AI261">
        <v>-48</v>
      </c>
      <c r="AJ261">
        <v>0</v>
      </c>
      <c r="AK261" t="e">
        <v>#N/A</v>
      </c>
      <c r="AL261" t="e">
        <v>#N/A</v>
      </c>
      <c r="AM261">
        <v>-48</v>
      </c>
      <c r="AN261">
        <v>1</v>
      </c>
      <c r="AO261">
        <v>0</v>
      </c>
      <c r="AP261">
        <v>0</v>
      </c>
      <c r="AQ261">
        <v>0.13559322033898305</v>
      </c>
      <c r="AR261">
        <v>0.33898305084745761</v>
      </c>
      <c r="AS261">
        <v>0.40677966101694918</v>
      </c>
      <c r="AT261">
        <v>0.11864406779661017</v>
      </c>
      <c r="AU261">
        <v>16822.72372536</v>
      </c>
      <c r="AV261">
        <v>5</v>
      </c>
      <c r="AW261">
        <f t="shared" si="28"/>
        <v>0</v>
      </c>
      <c r="AX261">
        <v>0</v>
      </c>
      <c r="AY261">
        <f t="shared" si="29"/>
        <v>0</v>
      </c>
      <c r="AZ261" t="e">
        <v>#N/A</v>
      </c>
      <c r="BA261">
        <v>6</v>
      </c>
      <c r="BB261">
        <v>2019</v>
      </c>
      <c r="BC261">
        <v>6</v>
      </c>
      <c r="BD261">
        <v>2019</v>
      </c>
      <c r="BE261">
        <v>1</v>
      </c>
      <c r="BF261">
        <v>2019</v>
      </c>
    </row>
    <row r="262" spans="1:58" x14ac:dyDescent="0.2">
      <c r="A262" s="7">
        <v>4</v>
      </c>
      <c r="B262" s="7">
        <v>16</v>
      </c>
      <c r="C262" s="7">
        <v>2</v>
      </c>
      <c r="D262" s="7">
        <v>2</v>
      </c>
      <c r="E262" s="7">
        <f t="shared" si="24"/>
        <v>24</v>
      </c>
      <c r="F262" s="11" t="s">
        <v>36</v>
      </c>
      <c r="G262">
        <v>4</v>
      </c>
      <c r="H262">
        <v>16</v>
      </c>
      <c r="I262">
        <v>2</v>
      </c>
      <c r="J262">
        <v>2</v>
      </c>
      <c r="K262">
        <f t="shared" si="25"/>
        <v>24</v>
      </c>
      <c r="L262" t="s">
        <v>36</v>
      </c>
      <c r="M262">
        <v>6950.2379250499998</v>
      </c>
      <c r="N262" s="7">
        <v>12</v>
      </c>
      <c r="O262" s="7">
        <v>15</v>
      </c>
      <c r="P262" s="7">
        <v>6</v>
      </c>
      <c r="Q262" s="7">
        <v>2</v>
      </c>
      <c r="R262" s="7">
        <f t="shared" si="26"/>
        <v>35</v>
      </c>
      <c r="S262" t="s">
        <v>36</v>
      </c>
      <c r="T262" s="7">
        <v>12</v>
      </c>
      <c r="U262" s="7">
        <v>15</v>
      </c>
      <c r="V262" s="7">
        <v>6</v>
      </c>
      <c r="W262" s="7">
        <v>6</v>
      </c>
      <c r="X262" s="7">
        <f t="shared" si="27"/>
        <v>39</v>
      </c>
      <c r="Y262" t="s">
        <v>36</v>
      </c>
      <c r="Z262">
        <v>21277.714063349998</v>
      </c>
      <c r="AA262" t="s">
        <v>684</v>
      </c>
      <c r="AB262">
        <v>64</v>
      </c>
      <c r="AC262">
        <v>0</v>
      </c>
      <c r="AD262" t="s">
        <v>206</v>
      </c>
      <c r="AE262" t="s">
        <v>41</v>
      </c>
      <c r="AF262" t="e">
        <v>#N/A</v>
      </c>
      <c r="AG262" s="8">
        <v>292</v>
      </c>
      <c r="AH262">
        <v>4</v>
      </c>
      <c r="AI262">
        <v>15</v>
      </c>
      <c r="AJ262">
        <v>0</v>
      </c>
      <c r="AK262">
        <v>1.3698630136986301E-2</v>
      </c>
      <c r="AL262">
        <v>0.23408229439226114</v>
      </c>
      <c r="AM262">
        <v>11</v>
      </c>
      <c r="AN262">
        <v>0</v>
      </c>
      <c r="AO262">
        <v>0.11428571428571428</v>
      </c>
      <c r="AP262">
        <v>0.16666666666666666</v>
      </c>
      <c r="AQ262">
        <v>8.3333333333333329E-2</v>
      </c>
      <c r="AR262">
        <v>0.16666666666666666</v>
      </c>
      <c r="AS262">
        <v>0.66666666666666663</v>
      </c>
      <c r="AT262">
        <v>8.3333333333333329E-2</v>
      </c>
      <c r="AU262">
        <v>28227.951988399996</v>
      </c>
      <c r="AV262">
        <v>7</v>
      </c>
      <c r="AW262">
        <f t="shared" si="28"/>
        <v>0</v>
      </c>
      <c r="AX262">
        <v>0</v>
      </c>
      <c r="AY262">
        <f t="shared" si="29"/>
        <v>0</v>
      </c>
      <c r="AZ262" t="e">
        <v>#N/A</v>
      </c>
      <c r="BA262">
        <v>9</v>
      </c>
      <c r="BB262">
        <v>2019</v>
      </c>
      <c r="BC262">
        <v>9</v>
      </c>
      <c r="BD262">
        <v>2019</v>
      </c>
      <c r="BE262">
        <v>1</v>
      </c>
      <c r="BF262">
        <v>2019</v>
      </c>
    </row>
    <row r="263" spans="1:58" x14ac:dyDescent="0.2">
      <c r="A263" s="7">
        <v>12</v>
      </c>
      <c r="B263" s="7">
        <v>27</v>
      </c>
      <c r="C263" s="7">
        <v>5</v>
      </c>
      <c r="D263" s="7">
        <v>5</v>
      </c>
      <c r="E263" s="7">
        <f t="shared" si="24"/>
        <v>49</v>
      </c>
      <c r="F263" s="11" t="e">
        <v>#N/A</v>
      </c>
      <c r="G263">
        <v>12</v>
      </c>
      <c r="H263">
        <v>27</v>
      </c>
      <c r="I263">
        <v>5</v>
      </c>
      <c r="J263">
        <v>5</v>
      </c>
      <c r="K263">
        <f t="shared" si="25"/>
        <v>49</v>
      </c>
      <c r="L263" t="e">
        <v>#N/A</v>
      </c>
      <c r="M263">
        <v>15930.27942927</v>
      </c>
      <c r="N263" s="7">
        <v>12</v>
      </c>
      <c r="O263" s="7">
        <v>27</v>
      </c>
      <c r="P263" s="7">
        <v>5</v>
      </c>
      <c r="Q263" s="7">
        <v>5</v>
      </c>
      <c r="R263" s="7">
        <f t="shared" si="26"/>
        <v>49</v>
      </c>
      <c r="S263" t="e">
        <v>#N/A</v>
      </c>
      <c r="T263" s="7">
        <v>8</v>
      </c>
      <c r="U263" s="7">
        <v>27</v>
      </c>
      <c r="V263" s="7">
        <v>6</v>
      </c>
      <c r="W263" s="7">
        <v>6</v>
      </c>
      <c r="X263" s="7">
        <f t="shared" si="27"/>
        <v>47</v>
      </c>
      <c r="Y263" t="e">
        <v>#N/A</v>
      </c>
      <c r="Z263">
        <v>40232.563991180003</v>
      </c>
      <c r="AA263" t="s">
        <v>207</v>
      </c>
      <c r="AB263">
        <v>40</v>
      </c>
      <c r="AC263">
        <v>0</v>
      </c>
      <c r="AD263" t="s">
        <v>123</v>
      </c>
      <c r="AE263" t="s">
        <v>41</v>
      </c>
      <c r="AF263" t="e">
        <v>#N/A</v>
      </c>
      <c r="AG263" s="8">
        <v>183</v>
      </c>
      <c r="AH263">
        <v>-2</v>
      </c>
      <c r="AI263">
        <v>-2</v>
      </c>
      <c r="AJ263">
        <v>0</v>
      </c>
      <c r="AK263">
        <v>-1.092896174863388E-2</v>
      </c>
      <c r="AL263">
        <v>-0.14784425419091457</v>
      </c>
      <c r="AM263">
        <v>0</v>
      </c>
      <c r="AN263">
        <v>0</v>
      </c>
      <c r="AO263">
        <v>-4.0816326530612242E-2</v>
      </c>
      <c r="AP263">
        <v>-4.0816326530612242E-2</v>
      </c>
      <c r="AQ263">
        <v>0.10204081632653061</v>
      </c>
      <c r="AR263">
        <v>0.24489795918367346</v>
      </c>
      <c r="AS263">
        <v>0.55102040816326525</v>
      </c>
      <c r="AT263">
        <v>0.10204081632653061</v>
      </c>
      <c r="AU263">
        <v>56162.843420450001</v>
      </c>
      <c r="AV263">
        <v>8</v>
      </c>
      <c r="AW263">
        <f t="shared" si="28"/>
        <v>0</v>
      </c>
      <c r="AX263">
        <v>0</v>
      </c>
      <c r="AY263">
        <f t="shared" si="29"/>
        <v>0</v>
      </c>
      <c r="AZ263" t="e">
        <v>#N/A</v>
      </c>
      <c r="BA263">
        <v>9</v>
      </c>
      <c r="BB263">
        <v>2020</v>
      </c>
      <c r="BC263">
        <v>9</v>
      </c>
      <c r="BD263">
        <v>2020</v>
      </c>
      <c r="BE263">
        <v>1</v>
      </c>
      <c r="BF263">
        <v>2020</v>
      </c>
    </row>
    <row r="264" spans="1:58" x14ac:dyDescent="0.2">
      <c r="A264" s="7">
        <v>12</v>
      </c>
      <c r="B264" s="7">
        <v>27</v>
      </c>
      <c r="C264" s="7">
        <v>4</v>
      </c>
      <c r="D264" s="7">
        <v>7</v>
      </c>
      <c r="E264" s="7">
        <f t="shared" si="24"/>
        <v>50</v>
      </c>
      <c r="F264" s="11" t="e">
        <v>#N/A</v>
      </c>
      <c r="G264">
        <v>11</v>
      </c>
      <c r="H264">
        <v>27</v>
      </c>
      <c r="I264">
        <v>6</v>
      </c>
      <c r="J264">
        <v>7</v>
      </c>
      <c r="K264">
        <f t="shared" si="25"/>
        <v>51</v>
      </c>
      <c r="L264" t="e">
        <v>#N/A</v>
      </c>
      <c r="M264">
        <v>11532.24459133</v>
      </c>
      <c r="N264" s="7">
        <v>14</v>
      </c>
      <c r="O264" s="7">
        <v>25</v>
      </c>
      <c r="P264" s="7">
        <v>6</v>
      </c>
      <c r="Q264" s="7">
        <v>7</v>
      </c>
      <c r="R264" s="7">
        <f t="shared" si="26"/>
        <v>52</v>
      </c>
      <c r="S264" t="e">
        <v>#N/A</v>
      </c>
      <c r="T264" s="7">
        <v>14</v>
      </c>
      <c r="U264" s="7">
        <v>25</v>
      </c>
      <c r="V264" s="7">
        <v>6</v>
      </c>
      <c r="W264" s="7">
        <v>7</v>
      </c>
      <c r="X264" s="7">
        <f t="shared" si="27"/>
        <v>52</v>
      </c>
      <c r="Y264" t="e">
        <v>#N/A</v>
      </c>
      <c r="Z264">
        <v>4803.1301975700007</v>
      </c>
      <c r="AA264" t="s">
        <v>208</v>
      </c>
      <c r="AB264">
        <v>64</v>
      </c>
      <c r="AC264">
        <v>0</v>
      </c>
      <c r="AD264" t="s">
        <v>123</v>
      </c>
      <c r="AE264" t="s">
        <v>41</v>
      </c>
      <c r="AF264">
        <v>11</v>
      </c>
      <c r="AG264" s="8">
        <v>0</v>
      </c>
      <c r="AH264">
        <v>0</v>
      </c>
      <c r="AI264">
        <v>2</v>
      </c>
      <c r="AJ264">
        <v>1</v>
      </c>
      <c r="AK264" t="e">
        <v>#N/A</v>
      </c>
      <c r="AL264" t="e">
        <v>#N/A</v>
      </c>
      <c r="AM264">
        <v>1</v>
      </c>
      <c r="AN264">
        <v>0</v>
      </c>
      <c r="AO264">
        <v>0</v>
      </c>
      <c r="AP264">
        <v>0</v>
      </c>
      <c r="AQ264">
        <v>0.14000000000000001</v>
      </c>
      <c r="AR264">
        <v>0.24</v>
      </c>
      <c r="AS264">
        <v>0.54</v>
      </c>
      <c r="AT264">
        <v>0.08</v>
      </c>
      <c r="AU264">
        <v>16335.374788900001</v>
      </c>
      <c r="AV264">
        <v>16</v>
      </c>
      <c r="AW264">
        <f t="shared" si="28"/>
        <v>1</v>
      </c>
      <c r="AX264">
        <v>0</v>
      </c>
      <c r="AY264">
        <f t="shared" si="29"/>
        <v>0</v>
      </c>
      <c r="AZ264">
        <v>0</v>
      </c>
      <c r="BA264">
        <v>3</v>
      </c>
      <c r="BB264">
        <v>2020</v>
      </c>
      <c r="BC264">
        <v>3</v>
      </c>
      <c r="BD264">
        <v>2020</v>
      </c>
      <c r="BE264">
        <v>12</v>
      </c>
      <c r="BF264">
        <v>2020</v>
      </c>
    </row>
    <row r="265" spans="1:58" x14ac:dyDescent="0.2">
      <c r="A265" s="7">
        <v>0</v>
      </c>
      <c r="B265" s="7">
        <v>8</v>
      </c>
      <c r="C265" s="7">
        <v>0</v>
      </c>
      <c r="D265" s="7">
        <v>0</v>
      </c>
      <c r="E265" s="7">
        <f t="shared" si="24"/>
        <v>8</v>
      </c>
      <c r="F265" s="11" t="s">
        <v>36</v>
      </c>
      <c r="G265">
        <v>0</v>
      </c>
      <c r="H265">
        <v>8</v>
      </c>
      <c r="I265">
        <v>0</v>
      </c>
      <c r="J265">
        <v>0</v>
      </c>
      <c r="K265">
        <f t="shared" si="25"/>
        <v>8</v>
      </c>
      <c r="L265" t="s">
        <v>36</v>
      </c>
      <c r="M265">
        <v>31707.010672470002</v>
      </c>
      <c r="N265" s="7">
        <v>0</v>
      </c>
      <c r="O265" s="7">
        <v>5</v>
      </c>
      <c r="P265" s="7">
        <v>0</v>
      </c>
      <c r="Q265" s="7">
        <v>0</v>
      </c>
      <c r="R265" s="7">
        <f t="shared" si="26"/>
        <v>5</v>
      </c>
      <c r="S265" t="s">
        <v>36</v>
      </c>
      <c r="T265" s="7">
        <v>0</v>
      </c>
      <c r="U265" s="7">
        <v>5</v>
      </c>
      <c r="V265" s="7">
        <v>0</v>
      </c>
      <c r="W265" s="7">
        <v>2</v>
      </c>
      <c r="X265" s="7">
        <f t="shared" si="27"/>
        <v>7</v>
      </c>
      <c r="Y265" t="e">
        <v>#N/A</v>
      </c>
      <c r="Z265">
        <v>36105.754897029998</v>
      </c>
      <c r="AA265" t="s">
        <v>685</v>
      </c>
      <c r="AB265" t="e">
        <v>#N/A</v>
      </c>
      <c r="AF265">
        <v>45</v>
      </c>
      <c r="AG265" s="8">
        <v>335</v>
      </c>
      <c r="AH265">
        <v>2</v>
      </c>
      <c r="AI265">
        <v>-1</v>
      </c>
      <c r="AJ265">
        <v>0</v>
      </c>
      <c r="AK265">
        <v>5.9701492537313433E-3</v>
      </c>
      <c r="AL265">
        <v>0.10927167294163062</v>
      </c>
      <c r="AM265">
        <v>-3</v>
      </c>
      <c r="AN265">
        <v>1</v>
      </c>
      <c r="AO265">
        <v>0.4</v>
      </c>
      <c r="AP265">
        <v>0.25</v>
      </c>
      <c r="AQ265">
        <v>0</v>
      </c>
      <c r="AR265">
        <v>0</v>
      </c>
      <c r="AS265">
        <v>1</v>
      </c>
      <c r="AT265">
        <v>0</v>
      </c>
      <c r="AU265">
        <v>67812.765569499999</v>
      </c>
      <c r="AV265" t="s">
        <v>489</v>
      </c>
      <c r="AW265" t="str">
        <f t="shared" si="28"/>
        <v>n/a</v>
      </c>
      <c r="AY265" t="e">
        <f t="shared" si="29"/>
        <v>#N/A</v>
      </c>
      <c r="AZ265" t="e">
        <v>#N/A</v>
      </c>
      <c r="BA265">
        <v>7</v>
      </c>
      <c r="BB265">
        <v>2018</v>
      </c>
      <c r="BC265">
        <v>8</v>
      </c>
      <c r="BD265">
        <v>2018</v>
      </c>
      <c r="BE265">
        <v>1</v>
      </c>
      <c r="BF265">
        <v>2018</v>
      </c>
    </row>
    <row r="266" spans="1:58" x14ac:dyDescent="0.2">
      <c r="A266" s="7">
        <v>4</v>
      </c>
      <c r="B266" s="7">
        <v>15</v>
      </c>
      <c r="C266" s="7">
        <v>0</v>
      </c>
      <c r="D266" s="7">
        <v>3</v>
      </c>
      <c r="E266" s="7">
        <f t="shared" si="24"/>
        <v>22</v>
      </c>
      <c r="F266" s="11" t="s">
        <v>36</v>
      </c>
      <c r="G266">
        <v>4</v>
      </c>
      <c r="H266">
        <v>15</v>
      </c>
      <c r="I266">
        <v>2</v>
      </c>
      <c r="J266">
        <v>4</v>
      </c>
      <c r="K266">
        <f t="shared" si="25"/>
        <v>25</v>
      </c>
      <c r="L266" t="s">
        <v>36</v>
      </c>
      <c r="M266">
        <v>10091.18335422</v>
      </c>
      <c r="N266" s="7">
        <v>4</v>
      </c>
      <c r="O266" s="7">
        <v>15</v>
      </c>
      <c r="P266" s="7">
        <v>0</v>
      </c>
      <c r="Q266" s="7">
        <v>3</v>
      </c>
      <c r="R266" s="7">
        <f t="shared" si="26"/>
        <v>22</v>
      </c>
      <c r="S266" t="s">
        <v>36</v>
      </c>
      <c r="T266" s="7">
        <v>4</v>
      </c>
      <c r="U266" s="7">
        <v>15</v>
      </c>
      <c r="V266" s="7">
        <v>0</v>
      </c>
      <c r="W266" s="7">
        <v>3</v>
      </c>
      <c r="X266" s="7">
        <f t="shared" si="27"/>
        <v>22</v>
      </c>
      <c r="Y266" t="s">
        <v>36</v>
      </c>
      <c r="Z266">
        <v>28647.206834789999</v>
      </c>
      <c r="AA266" t="s">
        <v>686</v>
      </c>
      <c r="AB266" t="e">
        <v>#N/A</v>
      </c>
      <c r="AF266">
        <v>261</v>
      </c>
      <c r="AG266" s="8">
        <v>35</v>
      </c>
      <c r="AH266">
        <v>0</v>
      </c>
      <c r="AI266">
        <v>0</v>
      </c>
      <c r="AJ266">
        <v>3</v>
      </c>
      <c r="AK266">
        <v>0</v>
      </c>
      <c r="AL266">
        <v>0</v>
      </c>
      <c r="AM266">
        <v>-3</v>
      </c>
      <c r="AN266">
        <v>1</v>
      </c>
      <c r="AO266">
        <v>0</v>
      </c>
      <c r="AP266">
        <v>0</v>
      </c>
      <c r="AQ266">
        <v>0.13636363636363635</v>
      </c>
      <c r="AR266">
        <v>0.18181818181818182</v>
      </c>
      <c r="AS266">
        <v>0.68181818181818177</v>
      </c>
      <c r="AT266">
        <v>0</v>
      </c>
      <c r="AU266">
        <v>38738.390189009995</v>
      </c>
      <c r="AV266" t="s">
        <v>489</v>
      </c>
      <c r="AW266" t="str">
        <f t="shared" si="28"/>
        <v>n/a</v>
      </c>
      <c r="AY266" t="e">
        <f t="shared" si="29"/>
        <v>#N/A</v>
      </c>
      <c r="AZ266" t="e">
        <v>#N/A</v>
      </c>
      <c r="BA266">
        <v>2</v>
      </c>
      <c r="BB266">
        <v>2018</v>
      </c>
      <c r="BC266">
        <v>10</v>
      </c>
      <c r="BD266">
        <v>2018</v>
      </c>
      <c r="BE266">
        <v>11</v>
      </c>
      <c r="BF266">
        <v>2018</v>
      </c>
    </row>
    <row r="267" spans="1:58" x14ac:dyDescent="0.2">
      <c r="A267" s="7">
        <v>18</v>
      </c>
      <c r="B267" s="7">
        <v>37</v>
      </c>
      <c r="C267" s="7">
        <v>9</v>
      </c>
      <c r="D267" s="7">
        <v>6</v>
      </c>
      <c r="E267" s="7">
        <f t="shared" si="24"/>
        <v>70</v>
      </c>
      <c r="F267" s="11" t="s">
        <v>68</v>
      </c>
      <c r="G267">
        <v>18</v>
      </c>
      <c r="H267">
        <v>37</v>
      </c>
      <c r="I267">
        <v>9</v>
      </c>
      <c r="J267">
        <v>6</v>
      </c>
      <c r="K267">
        <f t="shared" si="25"/>
        <v>70</v>
      </c>
      <c r="L267" t="s">
        <v>68</v>
      </c>
      <c r="M267">
        <v>15597.488097330001</v>
      </c>
      <c r="N267" s="7">
        <v>15</v>
      </c>
      <c r="O267" s="7">
        <v>37</v>
      </c>
      <c r="P267" s="7">
        <v>9</v>
      </c>
      <c r="Q267" s="7">
        <v>5</v>
      </c>
      <c r="R267" s="7">
        <f t="shared" si="26"/>
        <v>66</v>
      </c>
      <c r="S267" t="s">
        <v>35</v>
      </c>
      <c r="T267" s="7">
        <v>18</v>
      </c>
      <c r="U267" s="7">
        <v>37</v>
      </c>
      <c r="V267" s="7">
        <v>9</v>
      </c>
      <c r="W267" s="7">
        <v>6</v>
      </c>
      <c r="X267" s="7">
        <f t="shared" si="27"/>
        <v>70</v>
      </c>
      <c r="Y267" t="s">
        <v>68</v>
      </c>
      <c r="Z267">
        <v>46266.557591320001</v>
      </c>
      <c r="AA267" t="s">
        <v>687</v>
      </c>
      <c r="AB267" t="e">
        <v>#N/A</v>
      </c>
      <c r="AF267" t="e">
        <v>#N/A</v>
      </c>
      <c r="AG267" s="8">
        <v>70</v>
      </c>
      <c r="AH267">
        <v>4</v>
      </c>
      <c r="AI267">
        <v>0</v>
      </c>
      <c r="AJ267">
        <v>0</v>
      </c>
      <c r="AK267">
        <v>5.7142857142857141E-2</v>
      </c>
      <c r="AL267">
        <v>0.47809144373375745</v>
      </c>
      <c r="AM267">
        <v>-4</v>
      </c>
      <c r="AN267">
        <v>1</v>
      </c>
      <c r="AO267">
        <v>6.0606060606060608E-2</v>
      </c>
      <c r="AP267">
        <v>5.7142857142857141E-2</v>
      </c>
      <c r="AQ267">
        <v>8.5714285714285715E-2</v>
      </c>
      <c r="AR267">
        <v>0.25714285714285712</v>
      </c>
      <c r="AS267">
        <v>0.52857142857142858</v>
      </c>
      <c r="AT267">
        <v>0.12857142857142856</v>
      </c>
      <c r="AU267">
        <v>61864.045688650003</v>
      </c>
      <c r="AV267" t="s">
        <v>489</v>
      </c>
      <c r="AW267" t="str">
        <f t="shared" si="28"/>
        <v>n/a</v>
      </c>
      <c r="AY267" t="e">
        <f t="shared" si="29"/>
        <v>#N/A</v>
      </c>
      <c r="AZ267" t="e">
        <v>#N/A</v>
      </c>
      <c r="BA267">
        <v>11</v>
      </c>
      <c r="BB267">
        <v>2018</v>
      </c>
      <c r="BC267">
        <v>11</v>
      </c>
      <c r="BD267">
        <v>2018</v>
      </c>
      <c r="BE267">
        <v>2</v>
      </c>
      <c r="BF267">
        <v>2018</v>
      </c>
    </row>
    <row r="268" spans="1:58" x14ac:dyDescent="0.2">
      <c r="A268" s="7">
        <v>4</v>
      </c>
      <c r="B268" s="7">
        <v>24</v>
      </c>
      <c r="C268" s="7">
        <v>0</v>
      </c>
      <c r="D268" s="7">
        <v>0</v>
      </c>
      <c r="E268" s="7">
        <f t="shared" si="24"/>
        <v>28</v>
      </c>
      <c r="F268" s="11" t="e">
        <v>#N/A</v>
      </c>
      <c r="G268">
        <v>4</v>
      </c>
      <c r="H268">
        <v>24</v>
      </c>
      <c r="I268">
        <v>0</v>
      </c>
      <c r="J268">
        <v>0</v>
      </c>
      <c r="K268">
        <f t="shared" si="25"/>
        <v>28</v>
      </c>
      <c r="L268" t="e">
        <v>#N/A</v>
      </c>
      <c r="M268">
        <v>5845.54306</v>
      </c>
      <c r="N268" s="7">
        <v>11</v>
      </c>
      <c r="O268" s="7">
        <v>26</v>
      </c>
      <c r="P268" s="7">
        <v>8</v>
      </c>
      <c r="Q268" s="7">
        <v>3</v>
      </c>
      <c r="R268" s="7">
        <f t="shared" si="26"/>
        <v>48</v>
      </c>
      <c r="S268" t="e">
        <v>#N/A</v>
      </c>
      <c r="T268" s="7">
        <v>11</v>
      </c>
      <c r="U268" s="7">
        <v>26</v>
      </c>
      <c r="V268" s="7">
        <v>8</v>
      </c>
      <c r="W268" s="7">
        <v>3</v>
      </c>
      <c r="X268" s="7">
        <f t="shared" si="27"/>
        <v>48</v>
      </c>
      <c r="Y268" t="e">
        <v>#N/A</v>
      </c>
      <c r="Z268">
        <v>13451.134962530001</v>
      </c>
      <c r="AA268" t="s">
        <v>209</v>
      </c>
      <c r="AB268">
        <v>48</v>
      </c>
      <c r="AC268">
        <v>0</v>
      </c>
      <c r="AD268" t="s">
        <v>73</v>
      </c>
      <c r="AE268" t="s">
        <v>41</v>
      </c>
      <c r="AF268" t="e">
        <v>#N/A</v>
      </c>
      <c r="AG268" s="8">
        <v>0</v>
      </c>
      <c r="AH268">
        <v>0</v>
      </c>
      <c r="AI268">
        <v>20</v>
      </c>
      <c r="AJ268">
        <v>0</v>
      </c>
      <c r="AK268" t="e">
        <v>#N/A</v>
      </c>
      <c r="AL268" t="e">
        <v>#N/A</v>
      </c>
      <c r="AM268">
        <v>20</v>
      </c>
      <c r="AN268">
        <v>0</v>
      </c>
      <c r="AO268">
        <v>0</v>
      </c>
      <c r="AP268">
        <v>0</v>
      </c>
      <c r="AQ268">
        <v>0</v>
      </c>
      <c r="AR268">
        <v>0.14285714285714285</v>
      </c>
      <c r="AS268">
        <v>0.8571428571428571</v>
      </c>
      <c r="AT268">
        <v>0</v>
      </c>
      <c r="AU268">
        <v>19296.678022530003</v>
      </c>
      <c r="AV268">
        <v>7</v>
      </c>
      <c r="AW268">
        <f t="shared" si="28"/>
        <v>0</v>
      </c>
      <c r="AX268">
        <v>0</v>
      </c>
      <c r="AY268">
        <f t="shared" si="29"/>
        <v>0</v>
      </c>
      <c r="AZ268" t="e">
        <v>#N/A</v>
      </c>
      <c r="BA268">
        <v>6</v>
      </c>
      <c r="BB268">
        <v>2020</v>
      </c>
      <c r="BC268">
        <v>6</v>
      </c>
      <c r="BD268">
        <v>2020</v>
      </c>
      <c r="BE268">
        <v>1</v>
      </c>
      <c r="BF268">
        <v>2020</v>
      </c>
    </row>
    <row r="269" spans="1:58" x14ac:dyDescent="0.2">
      <c r="A269" s="7">
        <v>1</v>
      </c>
      <c r="B269" s="7">
        <v>17</v>
      </c>
      <c r="C269" s="7">
        <v>0</v>
      </c>
      <c r="D269" s="7">
        <v>3</v>
      </c>
      <c r="E269" s="7">
        <f t="shared" si="24"/>
        <v>21</v>
      </c>
      <c r="F269" s="11" t="s">
        <v>68</v>
      </c>
      <c r="G269">
        <v>1</v>
      </c>
      <c r="H269">
        <v>17</v>
      </c>
      <c r="I269">
        <v>0</v>
      </c>
      <c r="J269">
        <v>3</v>
      </c>
      <c r="K269">
        <f t="shared" si="25"/>
        <v>21</v>
      </c>
      <c r="L269" t="s">
        <v>68</v>
      </c>
      <c r="M269">
        <v>15709.89712347</v>
      </c>
      <c r="N269" s="7">
        <v>1</v>
      </c>
      <c r="O269" s="7">
        <v>17</v>
      </c>
      <c r="P269" s="7">
        <v>0</v>
      </c>
      <c r="Q269" s="7">
        <v>3</v>
      </c>
      <c r="R269" s="7">
        <f t="shared" si="26"/>
        <v>21</v>
      </c>
      <c r="S269" t="s">
        <v>68</v>
      </c>
      <c r="T269" s="7">
        <v>1</v>
      </c>
      <c r="U269" s="7">
        <v>17</v>
      </c>
      <c r="V269" s="7">
        <v>0</v>
      </c>
      <c r="W269" s="7">
        <v>3</v>
      </c>
      <c r="X269" s="7">
        <f t="shared" si="27"/>
        <v>21</v>
      </c>
      <c r="Y269" t="s">
        <v>68</v>
      </c>
      <c r="Z269">
        <v>10937.75770258</v>
      </c>
      <c r="AA269" t="s">
        <v>688</v>
      </c>
      <c r="AB269">
        <v>26</v>
      </c>
      <c r="AC269">
        <v>0</v>
      </c>
      <c r="AD269" t="s">
        <v>210</v>
      </c>
      <c r="AE269" t="s">
        <v>41</v>
      </c>
      <c r="AF269" t="e">
        <v>#N/A</v>
      </c>
      <c r="AG269" s="8">
        <v>0</v>
      </c>
      <c r="AH269">
        <v>0</v>
      </c>
      <c r="AI269">
        <v>0</v>
      </c>
      <c r="AJ269">
        <v>0</v>
      </c>
      <c r="AK269" t="e">
        <v>#N/A</v>
      </c>
      <c r="AL269" t="e">
        <v>#N/A</v>
      </c>
      <c r="AM269">
        <v>0</v>
      </c>
      <c r="AN269">
        <v>0</v>
      </c>
      <c r="AO269">
        <v>0</v>
      </c>
      <c r="AP269">
        <v>0</v>
      </c>
      <c r="AQ269">
        <v>0.14285714285714285</v>
      </c>
      <c r="AR269">
        <v>4.7619047619047616E-2</v>
      </c>
      <c r="AS269">
        <v>0.80952380952380953</v>
      </c>
      <c r="AT269">
        <v>0</v>
      </c>
      <c r="AU269">
        <v>26647.654826049999</v>
      </c>
      <c r="AV269">
        <v>6</v>
      </c>
      <c r="AW269">
        <f t="shared" si="28"/>
        <v>0</v>
      </c>
      <c r="AX269">
        <v>0</v>
      </c>
      <c r="AY269">
        <f t="shared" si="29"/>
        <v>0</v>
      </c>
      <c r="AZ269" t="e">
        <v>#N/A</v>
      </c>
      <c r="BA269">
        <v>8</v>
      </c>
      <c r="BB269">
        <v>2019</v>
      </c>
      <c r="BC269">
        <v>8</v>
      </c>
      <c r="BD269">
        <v>2019</v>
      </c>
      <c r="BE269">
        <v>5</v>
      </c>
      <c r="BF269">
        <v>2019</v>
      </c>
    </row>
    <row r="270" spans="1:58" x14ac:dyDescent="0.2">
      <c r="A270" s="7">
        <v>0</v>
      </c>
      <c r="B270" s="7">
        <v>0</v>
      </c>
      <c r="C270" s="7">
        <v>0</v>
      </c>
      <c r="D270" s="7">
        <v>0</v>
      </c>
      <c r="E270" s="7">
        <f t="shared" si="24"/>
        <v>0</v>
      </c>
      <c r="F270" s="11" t="e">
        <v>#N/A</v>
      </c>
      <c r="G270">
        <v>0</v>
      </c>
      <c r="H270">
        <v>0</v>
      </c>
      <c r="I270">
        <v>0</v>
      </c>
      <c r="J270">
        <v>0</v>
      </c>
      <c r="K270">
        <f t="shared" si="25"/>
        <v>0</v>
      </c>
      <c r="L270" t="e">
        <v>#N/A</v>
      </c>
      <c r="N270" s="7">
        <v>16</v>
      </c>
      <c r="O270" s="7">
        <v>27</v>
      </c>
      <c r="P270" s="7">
        <v>2</v>
      </c>
      <c r="Q270" s="7">
        <v>6</v>
      </c>
      <c r="R270" s="7">
        <f t="shared" si="26"/>
        <v>51</v>
      </c>
      <c r="S270" t="s">
        <v>36</v>
      </c>
      <c r="T270" s="7">
        <v>17</v>
      </c>
      <c r="U270" s="7">
        <v>27</v>
      </c>
      <c r="V270" s="7">
        <v>3</v>
      </c>
      <c r="W270" s="7">
        <v>7</v>
      </c>
      <c r="X270" s="7">
        <f t="shared" si="27"/>
        <v>54</v>
      </c>
      <c r="Y270" t="s">
        <v>36</v>
      </c>
      <c r="Z270">
        <v>8118.1182265300004</v>
      </c>
      <c r="AA270" t="s">
        <v>689</v>
      </c>
      <c r="AB270">
        <v>59</v>
      </c>
      <c r="AC270">
        <v>0</v>
      </c>
      <c r="AD270" t="s">
        <v>90</v>
      </c>
      <c r="AE270" t="s">
        <v>41</v>
      </c>
      <c r="AF270" t="e">
        <v>#N/A</v>
      </c>
      <c r="AG270" s="8">
        <v>15</v>
      </c>
      <c r="AH270">
        <v>3</v>
      </c>
      <c r="AI270">
        <v>54</v>
      </c>
      <c r="AJ270">
        <v>0</v>
      </c>
      <c r="AK270">
        <v>0.2</v>
      </c>
      <c r="AL270">
        <v>0.7745966692414834</v>
      </c>
      <c r="AM270">
        <v>51</v>
      </c>
      <c r="AN270">
        <v>0</v>
      </c>
      <c r="AO270">
        <v>5.8823529411764705E-2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>
        <v>8118.1182265300004</v>
      </c>
      <c r="AV270">
        <v>6</v>
      </c>
      <c r="AW270">
        <f t="shared" si="28"/>
        <v>0</v>
      </c>
      <c r="AX270">
        <v>0</v>
      </c>
      <c r="AY270">
        <f t="shared" si="29"/>
        <v>0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>
        <v>3</v>
      </c>
      <c r="BF270">
        <v>2019</v>
      </c>
    </row>
    <row r="271" spans="1:58" x14ac:dyDescent="0.2">
      <c r="A271" s="7">
        <v>9</v>
      </c>
      <c r="B271" s="7">
        <v>21</v>
      </c>
      <c r="C271" s="7">
        <v>3</v>
      </c>
      <c r="D271" s="7">
        <v>4</v>
      </c>
      <c r="E271" s="7">
        <f t="shared" si="24"/>
        <v>37</v>
      </c>
      <c r="F271" s="11" t="e">
        <v>#N/A</v>
      </c>
      <c r="G271">
        <v>9</v>
      </c>
      <c r="H271">
        <v>21</v>
      </c>
      <c r="I271">
        <v>3</v>
      </c>
      <c r="J271">
        <v>4</v>
      </c>
      <c r="K271">
        <f t="shared" si="25"/>
        <v>37</v>
      </c>
      <c r="L271" t="e">
        <v>#N/A</v>
      </c>
      <c r="M271">
        <v>6466.5747217600001</v>
      </c>
      <c r="N271" s="7">
        <v>9</v>
      </c>
      <c r="O271" s="7">
        <v>21</v>
      </c>
      <c r="P271" s="7">
        <v>5</v>
      </c>
      <c r="Q271" s="7">
        <v>4</v>
      </c>
      <c r="R271" s="7">
        <f t="shared" si="26"/>
        <v>39</v>
      </c>
      <c r="S271" t="e">
        <v>#N/A</v>
      </c>
      <c r="T271" s="7">
        <v>9</v>
      </c>
      <c r="U271" s="7">
        <v>21</v>
      </c>
      <c r="V271" s="7">
        <v>6</v>
      </c>
      <c r="W271" s="7">
        <v>4</v>
      </c>
      <c r="X271" s="7">
        <f t="shared" si="27"/>
        <v>40</v>
      </c>
      <c r="Y271" t="e">
        <v>#N/A</v>
      </c>
      <c r="Z271">
        <v>17449.889579999999</v>
      </c>
      <c r="AA271" t="s">
        <v>211</v>
      </c>
      <c r="AB271">
        <v>47</v>
      </c>
      <c r="AC271">
        <v>0</v>
      </c>
      <c r="AD271" t="s">
        <v>99</v>
      </c>
      <c r="AE271" t="s">
        <v>41</v>
      </c>
      <c r="AF271" t="e">
        <v>#N/A</v>
      </c>
      <c r="AG271" s="8">
        <v>293</v>
      </c>
      <c r="AH271">
        <v>1</v>
      </c>
      <c r="AI271">
        <v>3</v>
      </c>
      <c r="AJ271">
        <v>0</v>
      </c>
      <c r="AK271">
        <v>3.4129692832764505E-3</v>
      </c>
      <c r="AL271">
        <v>5.8420623783698597E-2</v>
      </c>
      <c r="AM271">
        <v>2</v>
      </c>
      <c r="AN271">
        <v>0</v>
      </c>
      <c r="AO271">
        <v>2.564102564102564E-2</v>
      </c>
      <c r="AP271">
        <v>2.7027027027027029E-2</v>
      </c>
      <c r="AQ271">
        <v>0.10810810810810811</v>
      </c>
      <c r="AR271">
        <v>0.24324324324324326</v>
      </c>
      <c r="AS271">
        <v>0.56756756756756754</v>
      </c>
      <c r="AT271">
        <v>8.1081081081081086E-2</v>
      </c>
      <c r="AU271">
        <v>23916.464301759999</v>
      </c>
      <c r="AV271">
        <v>9</v>
      </c>
      <c r="AW271">
        <f t="shared" si="28"/>
        <v>0</v>
      </c>
      <c r="AX271">
        <v>0</v>
      </c>
      <c r="AY271">
        <f t="shared" si="29"/>
        <v>0</v>
      </c>
      <c r="AZ271" t="e">
        <v>#N/A</v>
      </c>
      <c r="BA271">
        <v>9</v>
      </c>
      <c r="BB271">
        <v>2020</v>
      </c>
      <c r="BC271">
        <v>9</v>
      </c>
      <c r="BD271">
        <v>2020</v>
      </c>
      <c r="BE271">
        <v>1</v>
      </c>
      <c r="BF271">
        <v>2020</v>
      </c>
    </row>
    <row r="272" spans="1:58" x14ac:dyDescent="0.2">
      <c r="A272" s="7">
        <v>0</v>
      </c>
      <c r="B272" s="7">
        <v>0</v>
      </c>
      <c r="C272" s="7">
        <v>0</v>
      </c>
      <c r="D272" s="7">
        <v>0</v>
      </c>
      <c r="E272" s="7">
        <f t="shared" si="24"/>
        <v>0</v>
      </c>
      <c r="F272" s="11" t="e">
        <v>#N/A</v>
      </c>
      <c r="G272">
        <v>0</v>
      </c>
      <c r="H272">
        <v>0</v>
      </c>
      <c r="I272">
        <v>0</v>
      </c>
      <c r="J272">
        <v>0</v>
      </c>
      <c r="K272">
        <f t="shared" si="25"/>
        <v>0</v>
      </c>
      <c r="L272" t="e">
        <v>#N/A</v>
      </c>
      <c r="N272" s="7">
        <v>20</v>
      </c>
      <c r="O272" s="7">
        <v>36</v>
      </c>
      <c r="P272" s="7">
        <v>9</v>
      </c>
      <c r="Q272" s="7">
        <v>6</v>
      </c>
      <c r="R272" s="7">
        <f t="shared" si="26"/>
        <v>71</v>
      </c>
      <c r="S272" t="s">
        <v>36</v>
      </c>
      <c r="T272" s="7">
        <v>20</v>
      </c>
      <c r="U272" s="7">
        <v>36</v>
      </c>
      <c r="V272" s="7">
        <v>9</v>
      </c>
      <c r="W272" s="7">
        <v>6</v>
      </c>
      <c r="X272" s="7">
        <f t="shared" si="27"/>
        <v>71</v>
      </c>
      <c r="Y272" t="s">
        <v>36</v>
      </c>
      <c r="Z272">
        <v>15382.915258610001</v>
      </c>
      <c r="AA272" t="s">
        <v>690</v>
      </c>
      <c r="AB272">
        <v>55</v>
      </c>
      <c r="AC272">
        <v>18</v>
      </c>
      <c r="AD272" t="s">
        <v>140</v>
      </c>
      <c r="AE272" t="s">
        <v>41</v>
      </c>
      <c r="AF272" t="e">
        <v>#N/A</v>
      </c>
      <c r="AG272" s="8">
        <v>312</v>
      </c>
      <c r="AH272">
        <v>0</v>
      </c>
      <c r="AI272">
        <v>71</v>
      </c>
      <c r="AJ272">
        <v>0</v>
      </c>
      <c r="AK272">
        <v>0</v>
      </c>
      <c r="AL272">
        <v>0</v>
      </c>
      <c r="AM272">
        <v>71</v>
      </c>
      <c r="AN272">
        <v>0</v>
      </c>
      <c r="AO272">
        <v>0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>
        <v>15382.915258610001</v>
      </c>
      <c r="AV272">
        <v>9</v>
      </c>
      <c r="AW272">
        <f t="shared" si="28"/>
        <v>0</v>
      </c>
      <c r="AX272">
        <v>18</v>
      </c>
      <c r="AY272">
        <f t="shared" si="29"/>
        <v>1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>
        <v>1</v>
      </c>
      <c r="BF272">
        <v>2019</v>
      </c>
    </row>
    <row r="273" spans="1:58" x14ac:dyDescent="0.2">
      <c r="A273" s="7">
        <v>10</v>
      </c>
      <c r="B273" s="7">
        <v>15</v>
      </c>
      <c r="C273" s="7">
        <v>4</v>
      </c>
      <c r="D273" s="7">
        <v>6</v>
      </c>
      <c r="E273" s="7">
        <f t="shared" si="24"/>
        <v>35</v>
      </c>
      <c r="F273" s="11" t="s">
        <v>36</v>
      </c>
      <c r="G273">
        <v>11</v>
      </c>
      <c r="H273">
        <v>11</v>
      </c>
      <c r="I273">
        <v>4</v>
      </c>
      <c r="J273">
        <v>6</v>
      </c>
      <c r="K273">
        <f t="shared" si="25"/>
        <v>32</v>
      </c>
      <c r="L273" t="s">
        <v>36</v>
      </c>
      <c r="M273">
        <v>21327.50786573</v>
      </c>
      <c r="N273" s="7">
        <v>13</v>
      </c>
      <c r="O273" s="7">
        <v>15</v>
      </c>
      <c r="P273" s="7">
        <v>4</v>
      </c>
      <c r="Q273" s="7">
        <v>6</v>
      </c>
      <c r="R273" s="7">
        <f t="shared" si="26"/>
        <v>38</v>
      </c>
      <c r="S273" t="s">
        <v>36</v>
      </c>
      <c r="T273" s="7">
        <v>13</v>
      </c>
      <c r="U273" s="7">
        <v>15</v>
      </c>
      <c r="V273" s="7">
        <v>4</v>
      </c>
      <c r="W273" s="7">
        <v>6</v>
      </c>
      <c r="X273" s="7">
        <f t="shared" si="27"/>
        <v>38</v>
      </c>
      <c r="Y273" t="s">
        <v>36</v>
      </c>
      <c r="Z273">
        <v>2846.04691</v>
      </c>
      <c r="AA273" t="s">
        <v>691</v>
      </c>
      <c r="AB273" t="e">
        <v>#N/A</v>
      </c>
      <c r="AF273">
        <v>30</v>
      </c>
      <c r="AG273" s="8">
        <v>0</v>
      </c>
      <c r="AH273">
        <v>0</v>
      </c>
      <c r="AI273">
        <v>3</v>
      </c>
      <c r="AJ273">
        <v>-3</v>
      </c>
      <c r="AK273" t="e">
        <v>#N/A</v>
      </c>
      <c r="AL273" t="e">
        <v>#N/A</v>
      </c>
      <c r="AM273">
        <v>6</v>
      </c>
      <c r="AN273">
        <v>0</v>
      </c>
      <c r="AO273">
        <v>0</v>
      </c>
      <c r="AP273">
        <v>0</v>
      </c>
      <c r="AQ273">
        <v>0.17142857142857143</v>
      </c>
      <c r="AR273">
        <v>0.2857142857142857</v>
      </c>
      <c r="AS273">
        <v>0.42857142857142855</v>
      </c>
      <c r="AT273">
        <v>0.11428571428571428</v>
      </c>
      <c r="AU273">
        <v>24173.554775730001</v>
      </c>
      <c r="AV273" t="s">
        <v>489</v>
      </c>
      <c r="AW273" t="str">
        <f t="shared" si="28"/>
        <v>n/a</v>
      </c>
      <c r="AY273" t="e">
        <f t="shared" si="29"/>
        <v>#N/A</v>
      </c>
      <c r="AZ273" t="e">
        <v>#N/A</v>
      </c>
      <c r="BA273">
        <v>1</v>
      </c>
      <c r="BB273">
        <v>2018</v>
      </c>
      <c r="BC273">
        <v>2</v>
      </c>
      <c r="BD273">
        <v>2018</v>
      </c>
      <c r="BE273">
        <v>6</v>
      </c>
      <c r="BF273">
        <v>2018</v>
      </c>
    </row>
    <row r="274" spans="1:58" x14ac:dyDescent="0.2">
      <c r="A274" s="7">
        <v>13</v>
      </c>
      <c r="B274" s="7">
        <v>11</v>
      </c>
      <c r="C274" s="7">
        <v>4</v>
      </c>
      <c r="D274" s="7">
        <v>7</v>
      </c>
      <c r="E274" s="7">
        <f t="shared" si="24"/>
        <v>35</v>
      </c>
      <c r="F274" s="11" t="s">
        <v>36</v>
      </c>
      <c r="G274">
        <v>13</v>
      </c>
      <c r="H274">
        <v>11</v>
      </c>
      <c r="I274">
        <v>4</v>
      </c>
      <c r="J274">
        <v>7</v>
      </c>
      <c r="K274">
        <f t="shared" si="25"/>
        <v>35</v>
      </c>
      <c r="L274" t="s">
        <v>36</v>
      </c>
      <c r="M274">
        <v>2685.5170130199999</v>
      </c>
      <c r="N274" s="7">
        <v>13</v>
      </c>
      <c r="O274" s="7">
        <v>11</v>
      </c>
      <c r="P274" s="7">
        <v>6</v>
      </c>
      <c r="Q274" s="7">
        <v>7</v>
      </c>
      <c r="R274" s="7">
        <f t="shared" si="26"/>
        <v>37</v>
      </c>
      <c r="S274" t="s">
        <v>36</v>
      </c>
      <c r="T274" s="7">
        <v>13</v>
      </c>
      <c r="U274" s="7">
        <v>11</v>
      </c>
      <c r="V274" s="7">
        <v>6</v>
      </c>
      <c r="W274" s="7">
        <v>7</v>
      </c>
      <c r="X274" s="7">
        <f t="shared" si="27"/>
        <v>37</v>
      </c>
      <c r="Y274" t="s">
        <v>36</v>
      </c>
      <c r="Z274">
        <v>3098.9134199999999</v>
      </c>
      <c r="AA274" t="s">
        <v>692</v>
      </c>
      <c r="AB274" t="e">
        <v>#N/A</v>
      </c>
      <c r="AF274" t="e">
        <v>#N/A</v>
      </c>
      <c r="AG274" s="8">
        <v>0</v>
      </c>
      <c r="AH274">
        <v>0</v>
      </c>
      <c r="AI274">
        <v>2</v>
      </c>
      <c r="AJ274">
        <v>0</v>
      </c>
      <c r="AK274" t="e">
        <v>#N/A</v>
      </c>
      <c r="AL274" t="e">
        <v>#N/A</v>
      </c>
      <c r="AM274">
        <v>2</v>
      </c>
      <c r="AN274">
        <v>0</v>
      </c>
      <c r="AO274">
        <v>0</v>
      </c>
      <c r="AP274">
        <v>0</v>
      </c>
      <c r="AQ274">
        <v>0.2</v>
      </c>
      <c r="AR274">
        <v>0.37142857142857144</v>
      </c>
      <c r="AS274">
        <v>0.31428571428571428</v>
      </c>
      <c r="AT274">
        <v>0.11428571428571428</v>
      </c>
      <c r="AU274">
        <v>5784.4304330199993</v>
      </c>
      <c r="AV274" t="s">
        <v>489</v>
      </c>
      <c r="AW274" t="str">
        <f t="shared" si="28"/>
        <v>n/a</v>
      </c>
      <c r="AY274" t="e">
        <f t="shared" si="29"/>
        <v>#N/A</v>
      </c>
      <c r="AZ274" t="e">
        <v>#N/A</v>
      </c>
      <c r="BA274">
        <v>1</v>
      </c>
      <c r="BB274">
        <v>2018</v>
      </c>
      <c r="BC274">
        <v>1</v>
      </c>
      <c r="BD274">
        <v>2018</v>
      </c>
      <c r="BE274">
        <v>11</v>
      </c>
      <c r="BF274">
        <v>2018</v>
      </c>
    </row>
    <row r="275" spans="1:58" x14ac:dyDescent="0.2">
      <c r="A275" s="7">
        <v>8</v>
      </c>
      <c r="B275" s="7">
        <v>15</v>
      </c>
      <c r="C275" s="7">
        <v>0</v>
      </c>
      <c r="D275" s="7">
        <v>0</v>
      </c>
      <c r="E275" s="7">
        <f t="shared" si="24"/>
        <v>23</v>
      </c>
      <c r="F275" s="11" t="s">
        <v>39</v>
      </c>
      <c r="G275">
        <v>10</v>
      </c>
      <c r="H275">
        <v>15</v>
      </c>
      <c r="I275">
        <v>0</v>
      </c>
      <c r="J275">
        <v>0</v>
      </c>
      <c r="K275">
        <f t="shared" si="25"/>
        <v>25</v>
      </c>
      <c r="L275" t="s">
        <v>36</v>
      </c>
      <c r="M275">
        <v>20108.363215829999</v>
      </c>
      <c r="N275" s="7">
        <v>12</v>
      </c>
      <c r="O275" s="7">
        <v>18</v>
      </c>
      <c r="P275" s="7">
        <v>4</v>
      </c>
      <c r="Q275" s="7">
        <v>5</v>
      </c>
      <c r="R275" s="7">
        <f t="shared" si="26"/>
        <v>39</v>
      </c>
      <c r="S275" t="e">
        <v>#N/A</v>
      </c>
      <c r="T275" s="7">
        <v>19</v>
      </c>
      <c r="U275" s="7">
        <v>35</v>
      </c>
      <c r="V275" s="7">
        <v>10</v>
      </c>
      <c r="W275" s="7">
        <v>18</v>
      </c>
      <c r="X275" s="7">
        <f t="shared" si="27"/>
        <v>82</v>
      </c>
      <c r="Y275" t="e">
        <v>#N/A</v>
      </c>
      <c r="Z275">
        <v>109569.57235438</v>
      </c>
      <c r="AA275" t="s">
        <v>212</v>
      </c>
      <c r="AB275">
        <v>31</v>
      </c>
      <c r="AC275">
        <v>0</v>
      </c>
      <c r="AD275" t="s">
        <v>174</v>
      </c>
      <c r="AE275" t="s">
        <v>75</v>
      </c>
      <c r="AF275">
        <v>69</v>
      </c>
      <c r="AG275" s="8">
        <v>169</v>
      </c>
      <c r="AH275">
        <v>43</v>
      </c>
      <c r="AI275">
        <v>59</v>
      </c>
      <c r="AJ275">
        <v>2</v>
      </c>
      <c r="AK275">
        <v>0.25443786982248523</v>
      </c>
      <c r="AL275">
        <v>3.3076923076923075</v>
      </c>
      <c r="AM275">
        <v>14</v>
      </c>
      <c r="AN275">
        <v>0</v>
      </c>
      <c r="AO275">
        <v>1.1025641025641026</v>
      </c>
      <c r="AP275">
        <v>1.8695652173913044</v>
      </c>
      <c r="AQ275">
        <v>0</v>
      </c>
      <c r="AR275">
        <v>0.34782608695652173</v>
      </c>
      <c r="AS275">
        <v>0.65217391304347827</v>
      </c>
      <c r="AT275">
        <v>0</v>
      </c>
      <c r="AU275">
        <v>129677.93557021</v>
      </c>
      <c r="AV275">
        <v>5</v>
      </c>
      <c r="AW275">
        <f t="shared" si="28"/>
        <v>0</v>
      </c>
      <c r="AX275">
        <v>0</v>
      </c>
      <c r="AY275">
        <f t="shared" si="29"/>
        <v>0</v>
      </c>
      <c r="AZ275">
        <v>0</v>
      </c>
      <c r="BA275">
        <v>12</v>
      </c>
      <c r="BB275">
        <v>2019</v>
      </c>
      <c r="BC275">
        <v>3</v>
      </c>
      <c r="BD275">
        <v>2020</v>
      </c>
      <c r="BE275">
        <v>1</v>
      </c>
      <c r="BF275">
        <v>2020</v>
      </c>
    </row>
    <row r="276" spans="1:58" x14ac:dyDescent="0.2">
      <c r="A276" s="7">
        <v>13</v>
      </c>
      <c r="B276" s="7">
        <v>30</v>
      </c>
      <c r="C276" s="7">
        <v>7</v>
      </c>
      <c r="D276" s="7">
        <v>12</v>
      </c>
      <c r="E276" s="7">
        <f t="shared" si="24"/>
        <v>62</v>
      </c>
      <c r="F276" s="11" t="s">
        <v>36</v>
      </c>
      <c r="G276">
        <v>13</v>
      </c>
      <c r="H276">
        <v>32</v>
      </c>
      <c r="I276">
        <v>10</v>
      </c>
      <c r="J276">
        <v>12</v>
      </c>
      <c r="K276">
        <f t="shared" si="25"/>
        <v>67</v>
      </c>
      <c r="L276" t="e">
        <v>#N/A</v>
      </c>
      <c r="M276">
        <v>12198.05629221</v>
      </c>
      <c r="N276" s="7">
        <v>12</v>
      </c>
      <c r="O276" s="7">
        <v>20</v>
      </c>
      <c r="P276" s="7">
        <v>7</v>
      </c>
      <c r="Q276" s="7">
        <v>8</v>
      </c>
      <c r="R276" s="7">
        <f t="shared" si="26"/>
        <v>47</v>
      </c>
      <c r="S276" t="e">
        <v>#N/A</v>
      </c>
      <c r="T276" s="7">
        <v>15</v>
      </c>
      <c r="U276" s="7">
        <v>18</v>
      </c>
      <c r="V276" s="7">
        <v>9</v>
      </c>
      <c r="W276" s="7">
        <v>9</v>
      </c>
      <c r="X276" s="7">
        <f t="shared" si="27"/>
        <v>51</v>
      </c>
      <c r="Y276" t="e">
        <v>#N/A</v>
      </c>
      <c r="Z276">
        <v>80525.137870129998</v>
      </c>
      <c r="AA276" t="s">
        <v>693</v>
      </c>
      <c r="AB276">
        <v>73</v>
      </c>
      <c r="AC276">
        <v>0</v>
      </c>
      <c r="AD276" t="s">
        <v>123</v>
      </c>
      <c r="AE276" t="s">
        <v>41</v>
      </c>
      <c r="AF276">
        <v>289</v>
      </c>
      <c r="AG276" s="8">
        <v>276</v>
      </c>
      <c r="AH276">
        <v>4</v>
      </c>
      <c r="AI276">
        <v>-11</v>
      </c>
      <c r="AJ276">
        <v>5</v>
      </c>
      <c r="AK276">
        <v>1.4492753623188406E-2</v>
      </c>
      <c r="AL276">
        <v>0.2407717061715384</v>
      </c>
      <c r="AM276">
        <v>-20</v>
      </c>
      <c r="AN276">
        <v>1</v>
      </c>
      <c r="AO276">
        <v>8.5106382978723402E-2</v>
      </c>
      <c r="AP276">
        <v>6.4516129032258063E-2</v>
      </c>
      <c r="AQ276">
        <v>0.19354838709677419</v>
      </c>
      <c r="AR276">
        <v>0.20967741935483872</v>
      </c>
      <c r="AS276">
        <v>0.4838709677419355</v>
      </c>
      <c r="AT276">
        <v>0.11290322580645161</v>
      </c>
      <c r="AU276">
        <v>92723.194162339991</v>
      </c>
      <c r="AV276">
        <v>4</v>
      </c>
      <c r="AW276">
        <f t="shared" si="28"/>
        <v>0</v>
      </c>
      <c r="AX276">
        <v>0</v>
      </c>
      <c r="AY276">
        <f t="shared" si="29"/>
        <v>0</v>
      </c>
      <c r="AZ276">
        <v>0</v>
      </c>
      <c r="BA276">
        <v>2</v>
      </c>
      <c r="BB276">
        <v>2019</v>
      </c>
      <c r="BC276">
        <v>11</v>
      </c>
      <c r="BD276">
        <v>2019</v>
      </c>
      <c r="BE276">
        <v>2</v>
      </c>
      <c r="BF276">
        <v>2020</v>
      </c>
    </row>
    <row r="277" spans="1:58" x14ac:dyDescent="0.2">
      <c r="A277" s="7">
        <v>9</v>
      </c>
      <c r="B277" s="7">
        <v>18</v>
      </c>
      <c r="C277" s="7">
        <v>3</v>
      </c>
      <c r="D277" s="7">
        <v>4</v>
      </c>
      <c r="E277" s="7">
        <f t="shared" si="24"/>
        <v>34</v>
      </c>
      <c r="F277" s="11" t="s">
        <v>36</v>
      </c>
      <c r="G277">
        <v>9</v>
      </c>
      <c r="H277">
        <v>18</v>
      </c>
      <c r="I277">
        <v>3</v>
      </c>
      <c r="J277">
        <v>4</v>
      </c>
      <c r="K277">
        <f t="shared" si="25"/>
        <v>34</v>
      </c>
      <c r="L277" t="s">
        <v>36</v>
      </c>
      <c r="M277">
        <v>9033.6510776100004</v>
      </c>
      <c r="N277" s="7">
        <v>14</v>
      </c>
      <c r="O277" s="7">
        <v>26</v>
      </c>
      <c r="P277" s="7">
        <v>5</v>
      </c>
      <c r="Q277" s="7">
        <v>3</v>
      </c>
      <c r="R277" s="7">
        <f t="shared" si="26"/>
        <v>48</v>
      </c>
      <c r="S277" t="s">
        <v>36</v>
      </c>
      <c r="T277" s="7">
        <v>14</v>
      </c>
      <c r="U277" s="7">
        <v>26</v>
      </c>
      <c r="V277" s="7">
        <v>5</v>
      </c>
      <c r="W277" s="7">
        <v>5</v>
      </c>
      <c r="X277" s="7">
        <f t="shared" si="27"/>
        <v>50</v>
      </c>
      <c r="Y277" t="e">
        <v>#N/A</v>
      </c>
      <c r="Z277">
        <v>10901.73594002</v>
      </c>
      <c r="AA277" t="s">
        <v>694</v>
      </c>
      <c r="AB277">
        <v>44</v>
      </c>
      <c r="AC277">
        <v>0</v>
      </c>
      <c r="AD277" t="s">
        <v>76</v>
      </c>
      <c r="AE277" t="s">
        <v>41</v>
      </c>
      <c r="AF277" t="e">
        <v>#N/A</v>
      </c>
      <c r="AG277" s="8">
        <v>151</v>
      </c>
      <c r="AH277">
        <v>2</v>
      </c>
      <c r="AI277">
        <v>16</v>
      </c>
      <c r="AJ277">
        <v>0</v>
      </c>
      <c r="AK277">
        <v>1.3245033112582781E-2</v>
      </c>
      <c r="AL277">
        <v>0.16275769175423188</v>
      </c>
      <c r="AM277">
        <v>14</v>
      </c>
      <c r="AN277">
        <v>0</v>
      </c>
      <c r="AO277">
        <v>4.1666666666666664E-2</v>
      </c>
      <c r="AP277">
        <v>5.8823529411764705E-2</v>
      </c>
      <c r="AQ277">
        <v>0.11764705882352941</v>
      </c>
      <c r="AR277">
        <v>0.26470588235294118</v>
      </c>
      <c r="AS277">
        <v>0.52941176470588236</v>
      </c>
      <c r="AT277">
        <v>8.8235294117647065E-2</v>
      </c>
      <c r="AU277">
        <v>19935.387017630001</v>
      </c>
      <c r="AV277">
        <v>8</v>
      </c>
      <c r="AW277">
        <f t="shared" si="28"/>
        <v>0</v>
      </c>
      <c r="AX277">
        <v>0</v>
      </c>
      <c r="AY277">
        <f t="shared" si="29"/>
        <v>0</v>
      </c>
      <c r="AZ277" t="e">
        <v>#N/A</v>
      </c>
      <c r="BA277">
        <v>10</v>
      </c>
      <c r="BB277">
        <v>2019</v>
      </c>
      <c r="BC277">
        <v>10</v>
      </c>
      <c r="BD277">
        <v>2019</v>
      </c>
      <c r="BE277">
        <v>1</v>
      </c>
      <c r="BF277">
        <v>2019</v>
      </c>
    </row>
    <row r="278" spans="1:58" x14ac:dyDescent="0.2">
      <c r="A278" s="7">
        <v>10</v>
      </c>
      <c r="B278" s="7">
        <v>16</v>
      </c>
      <c r="C278" s="7">
        <v>6</v>
      </c>
      <c r="D278" s="7">
        <v>1</v>
      </c>
      <c r="E278" s="7">
        <f t="shared" si="24"/>
        <v>33</v>
      </c>
      <c r="F278" s="11" t="e">
        <v>#N/A</v>
      </c>
      <c r="G278">
        <v>10</v>
      </c>
      <c r="H278">
        <v>19</v>
      </c>
      <c r="I278">
        <v>4</v>
      </c>
      <c r="J278">
        <v>7</v>
      </c>
      <c r="K278">
        <f t="shared" si="25"/>
        <v>40</v>
      </c>
      <c r="L278" t="e">
        <v>#N/A</v>
      </c>
      <c r="M278">
        <v>16345.55283522</v>
      </c>
      <c r="N278" s="7">
        <v>9</v>
      </c>
      <c r="O278" s="7">
        <v>16</v>
      </c>
      <c r="P278" s="7">
        <v>4</v>
      </c>
      <c r="Q278" s="7">
        <v>5</v>
      </c>
      <c r="R278" s="7">
        <f t="shared" si="26"/>
        <v>34</v>
      </c>
      <c r="S278" t="e">
        <v>#N/A</v>
      </c>
      <c r="T278" s="7">
        <v>9</v>
      </c>
      <c r="U278" s="7">
        <v>16</v>
      </c>
      <c r="V278" s="7">
        <v>4</v>
      </c>
      <c r="W278" s="7">
        <v>5</v>
      </c>
      <c r="X278" s="7">
        <f t="shared" si="27"/>
        <v>34</v>
      </c>
      <c r="Y278" t="e">
        <v>#N/A</v>
      </c>
      <c r="Z278">
        <v>7856.4690879999998</v>
      </c>
      <c r="AA278" t="s">
        <v>213</v>
      </c>
      <c r="AB278">
        <v>82</v>
      </c>
      <c r="AC278">
        <v>0</v>
      </c>
      <c r="AD278" t="s">
        <v>49</v>
      </c>
      <c r="AE278" t="s">
        <v>75</v>
      </c>
      <c r="AF278">
        <v>111</v>
      </c>
      <c r="AG278" s="8">
        <v>0</v>
      </c>
      <c r="AH278">
        <v>0</v>
      </c>
      <c r="AI278">
        <v>1</v>
      </c>
      <c r="AJ278">
        <v>7</v>
      </c>
      <c r="AK278" t="e">
        <v>#N/A</v>
      </c>
      <c r="AL278" t="e">
        <v>#N/A</v>
      </c>
      <c r="AM278">
        <v>-6</v>
      </c>
      <c r="AN278">
        <v>1</v>
      </c>
      <c r="AO278">
        <v>0</v>
      </c>
      <c r="AP278">
        <v>0</v>
      </c>
      <c r="AQ278">
        <v>3.0303030303030304E-2</v>
      </c>
      <c r="AR278">
        <v>0.30303030303030304</v>
      </c>
      <c r="AS278">
        <v>0.48484848484848486</v>
      </c>
      <c r="AT278">
        <v>0.18181818181818182</v>
      </c>
      <c r="AU278">
        <v>24202.02192322</v>
      </c>
      <c r="AV278">
        <v>19</v>
      </c>
      <c r="AW278">
        <f t="shared" si="28"/>
        <v>1</v>
      </c>
      <c r="AX278">
        <v>0</v>
      </c>
      <c r="AY278">
        <f t="shared" si="29"/>
        <v>0</v>
      </c>
      <c r="AZ278">
        <v>0</v>
      </c>
      <c r="BA278">
        <v>4</v>
      </c>
      <c r="BB278">
        <v>2020</v>
      </c>
      <c r="BC278">
        <v>7</v>
      </c>
      <c r="BD278">
        <v>2020</v>
      </c>
      <c r="BE278">
        <v>1</v>
      </c>
      <c r="BF278">
        <v>2020</v>
      </c>
    </row>
    <row r="279" spans="1:58" x14ac:dyDescent="0.2">
      <c r="A279" s="7">
        <v>11</v>
      </c>
      <c r="B279" s="7">
        <v>15</v>
      </c>
      <c r="C279" s="7">
        <v>2</v>
      </c>
      <c r="D279" s="7">
        <v>3</v>
      </c>
      <c r="E279" s="7">
        <f t="shared" si="24"/>
        <v>31</v>
      </c>
      <c r="F279" s="11" t="s">
        <v>36</v>
      </c>
      <c r="G279">
        <v>11</v>
      </c>
      <c r="H279">
        <v>15</v>
      </c>
      <c r="I279">
        <v>2</v>
      </c>
      <c r="J279">
        <v>3</v>
      </c>
      <c r="K279">
        <f t="shared" si="25"/>
        <v>31</v>
      </c>
      <c r="L279" t="s">
        <v>36</v>
      </c>
      <c r="M279">
        <v>11979.773765280001</v>
      </c>
      <c r="N279" s="7">
        <v>11</v>
      </c>
      <c r="O279" s="7">
        <v>15</v>
      </c>
      <c r="P279" s="7">
        <v>2</v>
      </c>
      <c r="Q279" s="7">
        <v>3</v>
      </c>
      <c r="R279" s="7">
        <f t="shared" si="26"/>
        <v>31</v>
      </c>
      <c r="S279" t="s">
        <v>36</v>
      </c>
      <c r="T279" s="7">
        <v>11</v>
      </c>
      <c r="U279" s="7">
        <v>15</v>
      </c>
      <c r="V279" s="7">
        <v>2</v>
      </c>
      <c r="W279" s="7">
        <v>3</v>
      </c>
      <c r="X279" s="7">
        <f t="shared" si="27"/>
        <v>31</v>
      </c>
      <c r="Y279" t="s">
        <v>36</v>
      </c>
      <c r="Z279">
        <v>5278.8375775599998</v>
      </c>
      <c r="AA279" t="s">
        <v>695</v>
      </c>
      <c r="AB279" t="e">
        <v>#N/A</v>
      </c>
      <c r="AF279" t="e">
        <v>#N/A</v>
      </c>
      <c r="AG279" s="8">
        <v>0</v>
      </c>
      <c r="AH279">
        <v>0</v>
      </c>
      <c r="AI279">
        <v>0</v>
      </c>
      <c r="AJ279">
        <v>0</v>
      </c>
      <c r="AK279" t="e">
        <v>#N/A</v>
      </c>
      <c r="AL279" t="e">
        <v>#N/A</v>
      </c>
      <c r="AM279">
        <v>0</v>
      </c>
      <c r="AN279">
        <v>0</v>
      </c>
      <c r="AO279">
        <v>0</v>
      </c>
      <c r="AP279">
        <v>0</v>
      </c>
      <c r="AQ279">
        <v>9.6774193548387094E-2</v>
      </c>
      <c r="AR279">
        <v>0.35483870967741937</v>
      </c>
      <c r="AS279">
        <v>0.4838709677419355</v>
      </c>
      <c r="AT279">
        <v>6.4516129032258063E-2</v>
      </c>
      <c r="AU279">
        <v>17258.611342839999</v>
      </c>
      <c r="AV279" t="s">
        <v>489</v>
      </c>
      <c r="AW279" t="str">
        <f t="shared" si="28"/>
        <v>n/a</v>
      </c>
      <c r="AY279" t="e">
        <f t="shared" si="29"/>
        <v>#N/A</v>
      </c>
      <c r="AZ279" t="e">
        <v>#N/A</v>
      </c>
      <c r="BA279">
        <v>10</v>
      </c>
      <c r="BB279">
        <v>2018</v>
      </c>
      <c r="BC279">
        <v>10</v>
      </c>
      <c r="BD279">
        <v>2018</v>
      </c>
      <c r="BE279">
        <v>9</v>
      </c>
      <c r="BF279">
        <v>2018</v>
      </c>
    </row>
    <row r="280" spans="1:58" x14ac:dyDescent="0.2">
      <c r="A280" s="7">
        <v>4</v>
      </c>
      <c r="B280" s="7">
        <v>20</v>
      </c>
      <c r="C280" s="7">
        <v>4</v>
      </c>
      <c r="D280" s="7">
        <v>27</v>
      </c>
      <c r="E280" s="7">
        <f t="shared" si="24"/>
        <v>55</v>
      </c>
      <c r="F280" s="11" t="s">
        <v>36</v>
      </c>
      <c r="G280">
        <v>4</v>
      </c>
      <c r="H280">
        <v>20</v>
      </c>
      <c r="I280">
        <v>4</v>
      </c>
      <c r="J280">
        <v>27</v>
      </c>
      <c r="K280">
        <f t="shared" si="25"/>
        <v>55</v>
      </c>
      <c r="L280" t="s">
        <v>36</v>
      </c>
      <c r="M280">
        <v>12500.550656539999</v>
      </c>
      <c r="N280" s="7">
        <v>4</v>
      </c>
      <c r="O280" s="7">
        <v>20</v>
      </c>
      <c r="P280" s="7">
        <v>4</v>
      </c>
      <c r="Q280" s="7">
        <v>27</v>
      </c>
      <c r="R280" s="7">
        <f t="shared" si="26"/>
        <v>55</v>
      </c>
      <c r="S280" t="s">
        <v>36</v>
      </c>
      <c r="T280" s="7">
        <v>18</v>
      </c>
      <c r="U280" s="7">
        <v>35</v>
      </c>
      <c r="V280" s="7">
        <v>9</v>
      </c>
      <c r="W280" s="7">
        <v>26</v>
      </c>
      <c r="X280" s="7">
        <f t="shared" si="27"/>
        <v>88</v>
      </c>
      <c r="Y280" t="s">
        <v>36</v>
      </c>
      <c r="Z280">
        <v>10501.71146</v>
      </c>
      <c r="AA280" t="s">
        <v>696</v>
      </c>
      <c r="AB280" t="e">
        <v>#N/A</v>
      </c>
      <c r="AF280" t="e">
        <v>#N/A</v>
      </c>
      <c r="AG280" s="8">
        <v>24</v>
      </c>
      <c r="AH280">
        <v>33</v>
      </c>
      <c r="AI280">
        <v>33</v>
      </c>
      <c r="AJ280">
        <v>0</v>
      </c>
      <c r="AK280">
        <v>1.375</v>
      </c>
      <c r="AL280">
        <v>6.7360967926537407</v>
      </c>
      <c r="AM280">
        <v>0</v>
      </c>
      <c r="AN280">
        <v>0</v>
      </c>
      <c r="AO280">
        <v>0.6</v>
      </c>
      <c r="AP280">
        <v>0.6</v>
      </c>
      <c r="AQ280">
        <v>0.49090909090909091</v>
      </c>
      <c r="AR280">
        <v>7.2727272727272724E-2</v>
      </c>
      <c r="AS280">
        <v>0.36363636363636365</v>
      </c>
      <c r="AT280">
        <v>7.2727272727272724E-2</v>
      </c>
      <c r="AU280">
        <v>23002.262116539998</v>
      </c>
      <c r="AV280" t="s">
        <v>489</v>
      </c>
      <c r="AW280" t="str">
        <f t="shared" si="28"/>
        <v>n/a</v>
      </c>
      <c r="AY280" t="e">
        <f t="shared" si="29"/>
        <v>#N/A</v>
      </c>
      <c r="AZ280" t="e">
        <v>#N/A</v>
      </c>
      <c r="BA280">
        <v>11</v>
      </c>
      <c r="BB280">
        <v>2018</v>
      </c>
      <c r="BC280">
        <v>11</v>
      </c>
      <c r="BD280">
        <v>2018</v>
      </c>
      <c r="BE280">
        <v>11</v>
      </c>
      <c r="BF280">
        <v>2018</v>
      </c>
    </row>
    <row r="281" spans="1:58" x14ac:dyDescent="0.2">
      <c r="A281" s="7">
        <v>9</v>
      </c>
      <c r="B281" s="7">
        <v>37</v>
      </c>
      <c r="C281" s="7">
        <v>8</v>
      </c>
      <c r="D281" s="7">
        <v>13</v>
      </c>
      <c r="E281" s="7">
        <f t="shared" si="24"/>
        <v>67</v>
      </c>
      <c r="F281" s="11" t="e">
        <v>#N/A</v>
      </c>
      <c r="G281">
        <v>9</v>
      </c>
      <c r="H281">
        <v>37</v>
      </c>
      <c r="I281">
        <v>8</v>
      </c>
      <c r="J281">
        <v>13</v>
      </c>
      <c r="K281">
        <f t="shared" si="25"/>
        <v>67</v>
      </c>
      <c r="L281" t="e">
        <v>#N/A</v>
      </c>
      <c r="M281">
        <v>9491.8895758199997</v>
      </c>
      <c r="N281" s="7">
        <v>18</v>
      </c>
      <c r="O281" s="7">
        <v>40</v>
      </c>
      <c r="P281" s="7">
        <v>6</v>
      </c>
      <c r="Q281" s="7">
        <v>15</v>
      </c>
      <c r="R281" s="7">
        <f t="shared" si="26"/>
        <v>79</v>
      </c>
      <c r="S281" t="e">
        <v>#N/A</v>
      </c>
      <c r="T281" s="7">
        <v>18</v>
      </c>
      <c r="U281" s="7">
        <v>40</v>
      </c>
      <c r="V281" s="7">
        <v>6</v>
      </c>
      <c r="W281" s="7">
        <v>15</v>
      </c>
      <c r="X281" s="7">
        <f t="shared" si="27"/>
        <v>79</v>
      </c>
      <c r="Y281" t="e">
        <v>#N/A</v>
      </c>
      <c r="Z281">
        <v>7938.8397155199991</v>
      </c>
      <c r="AA281" t="s">
        <v>214</v>
      </c>
      <c r="AB281">
        <v>64</v>
      </c>
      <c r="AC281">
        <v>0</v>
      </c>
      <c r="AD281" t="s">
        <v>99</v>
      </c>
      <c r="AE281" t="s">
        <v>41</v>
      </c>
      <c r="AF281" t="e">
        <v>#N/A</v>
      </c>
      <c r="AG281" s="8">
        <v>0</v>
      </c>
      <c r="AH281">
        <v>0</v>
      </c>
      <c r="AI281">
        <v>12</v>
      </c>
      <c r="AJ281">
        <v>0</v>
      </c>
      <c r="AK281" t="e">
        <v>#N/A</v>
      </c>
      <c r="AL281" t="e">
        <v>#N/A</v>
      </c>
      <c r="AM281">
        <v>12</v>
      </c>
      <c r="AN281">
        <v>0</v>
      </c>
      <c r="AO281">
        <v>0</v>
      </c>
      <c r="AP281">
        <v>0</v>
      </c>
      <c r="AQ281">
        <v>0.19402985074626866</v>
      </c>
      <c r="AR281">
        <v>0.13432835820895522</v>
      </c>
      <c r="AS281">
        <v>0.55223880597014929</v>
      </c>
      <c r="AT281">
        <v>0.11940298507462686</v>
      </c>
      <c r="AU281">
        <v>17430.729291339998</v>
      </c>
      <c r="AV281">
        <v>12</v>
      </c>
      <c r="AW281">
        <f t="shared" si="28"/>
        <v>1</v>
      </c>
      <c r="AX281">
        <v>0</v>
      </c>
      <c r="AY281">
        <f t="shared" si="29"/>
        <v>0</v>
      </c>
      <c r="AZ281" t="e">
        <v>#N/A</v>
      </c>
      <c r="BA281">
        <v>6</v>
      </c>
      <c r="BB281">
        <v>2020</v>
      </c>
      <c r="BC281">
        <v>6</v>
      </c>
      <c r="BD281">
        <v>2020</v>
      </c>
      <c r="BE281">
        <v>1</v>
      </c>
      <c r="BF281">
        <v>2020</v>
      </c>
    </row>
    <row r="282" spans="1:58" x14ac:dyDescent="0.2">
      <c r="A282" s="7">
        <v>0</v>
      </c>
      <c r="B282" s="7">
        <v>0</v>
      </c>
      <c r="C282" s="7">
        <v>0</v>
      </c>
      <c r="D282" s="7">
        <v>0</v>
      </c>
      <c r="E282" s="7">
        <f t="shared" si="24"/>
        <v>0</v>
      </c>
      <c r="F282" s="11" t="e">
        <v>#N/A</v>
      </c>
      <c r="G282">
        <v>0</v>
      </c>
      <c r="H282">
        <v>0</v>
      </c>
      <c r="I282">
        <v>0</v>
      </c>
      <c r="J282">
        <v>0</v>
      </c>
      <c r="K282">
        <f t="shared" si="25"/>
        <v>0</v>
      </c>
      <c r="L282" t="e">
        <v>#N/A</v>
      </c>
      <c r="N282" s="7">
        <v>0</v>
      </c>
      <c r="O282" s="7">
        <v>0</v>
      </c>
      <c r="P282" s="7">
        <v>4</v>
      </c>
      <c r="Q282" s="7">
        <v>27</v>
      </c>
      <c r="R282" s="7">
        <f t="shared" si="26"/>
        <v>31</v>
      </c>
      <c r="S282" t="e">
        <v>#N/A</v>
      </c>
      <c r="T282" s="7">
        <v>0</v>
      </c>
      <c r="U282" s="7">
        <v>0</v>
      </c>
      <c r="V282" s="7">
        <v>4</v>
      </c>
      <c r="W282" s="7">
        <v>27</v>
      </c>
      <c r="X282" s="7">
        <f t="shared" si="27"/>
        <v>31</v>
      </c>
      <c r="Y282" t="e">
        <v>#N/A</v>
      </c>
      <c r="Z282">
        <v>695.80493000000001</v>
      </c>
      <c r="AA282" t="s">
        <v>215</v>
      </c>
      <c r="AB282">
        <v>28</v>
      </c>
      <c r="AC282">
        <v>0</v>
      </c>
      <c r="AD282" t="s">
        <v>190</v>
      </c>
      <c r="AE282" t="s">
        <v>75</v>
      </c>
      <c r="AF282" t="e">
        <v>#N/A</v>
      </c>
      <c r="AG282" s="8">
        <v>0</v>
      </c>
      <c r="AH282">
        <v>0</v>
      </c>
      <c r="AI282">
        <v>31</v>
      </c>
      <c r="AJ282">
        <v>0</v>
      </c>
      <c r="AK282" t="e">
        <v>#N/A</v>
      </c>
      <c r="AL282" t="e">
        <v>#N/A</v>
      </c>
      <c r="AM282">
        <v>31</v>
      </c>
      <c r="AN282">
        <v>0</v>
      </c>
      <c r="AO282">
        <v>0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>
        <v>695.80493000000001</v>
      </c>
      <c r="AV282">
        <v>6</v>
      </c>
      <c r="AW282">
        <f t="shared" si="28"/>
        <v>0</v>
      </c>
      <c r="AX282">
        <v>0</v>
      </c>
      <c r="AY282">
        <f t="shared" si="29"/>
        <v>0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>
        <v>11</v>
      </c>
      <c r="BF282">
        <v>2020</v>
      </c>
    </row>
    <row r="283" spans="1:58" x14ac:dyDescent="0.2">
      <c r="A283" s="7">
        <v>13</v>
      </c>
      <c r="B283" s="7">
        <v>10</v>
      </c>
      <c r="C283" s="7">
        <v>0</v>
      </c>
      <c r="D283" s="7">
        <v>0</v>
      </c>
      <c r="E283" s="7">
        <f t="shared" si="24"/>
        <v>23</v>
      </c>
      <c r="F283" s="11" t="s">
        <v>36</v>
      </c>
      <c r="G283">
        <v>13</v>
      </c>
      <c r="H283">
        <v>10</v>
      </c>
      <c r="I283">
        <v>0</v>
      </c>
      <c r="J283">
        <v>0</v>
      </c>
      <c r="K283">
        <f t="shared" si="25"/>
        <v>23</v>
      </c>
      <c r="L283" t="s">
        <v>36</v>
      </c>
      <c r="M283">
        <v>13377.02840698</v>
      </c>
      <c r="N283" s="7">
        <v>12</v>
      </c>
      <c r="O283" s="7">
        <v>10</v>
      </c>
      <c r="P283" s="7">
        <v>1</v>
      </c>
      <c r="Q283" s="7">
        <v>3</v>
      </c>
      <c r="R283" s="7">
        <f t="shared" si="26"/>
        <v>26</v>
      </c>
      <c r="S283" t="s">
        <v>36</v>
      </c>
      <c r="T283" s="7">
        <v>17</v>
      </c>
      <c r="U283" s="7">
        <v>20</v>
      </c>
      <c r="V283" s="7">
        <v>5</v>
      </c>
      <c r="W283" s="7">
        <v>3</v>
      </c>
      <c r="X283" s="7">
        <f t="shared" si="27"/>
        <v>45</v>
      </c>
      <c r="Y283" t="s">
        <v>42</v>
      </c>
      <c r="Z283">
        <v>27415.25650032</v>
      </c>
      <c r="AA283" t="s">
        <v>697</v>
      </c>
      <c r="AB283">
        <v>72</v>
      </c>
      <c r="AC283">
        <v>3</v>
      </c>
      <c r="AD283" t="s">
        <v>200</v>
      </c>
      <c r="AE283" t="s">
        <v>75</v>
      </c>
      <c r="AF283" t="e">
        <v>#N/A</v>
      </c>
      <c r="AG283" s="8">
        <v>257</v>
      </c>
      <c r="AH283">
        <v>19</v>
      </c>
      <c r="AI283">
        <v>22</v>
      </c>
      <c r="AJ283">
        <v>0</v>
      </c>
      <c r="AK283">
        <v>7.3929961089494164E-2</v>
      </c>
      <c r="AL283">
        <v>1.1851874369484301</v>
      </c>
      <c r="AM283">
        <v>3</v>
      </c>
      <c r="AN283">
        <v>0</v>
      </c>
      <c r="AO283">
        <v>0.73076923076923073</v>
      </c>
      <c r="AP283">
        <v>0.82608695652173914</v>
      </c>
      <c r="AQ283">
        <v>0</v>
      </c>
      <c r="AR283">
        <v>0.56521739130434778</v>
      </c>
      <c r="AS283">
        <v>0.43478260869565216</v>
      </c>
      <c r="AT283">
        <v>0</v>
      </c>
      <c r="AU283">
        <v>40792.284907299996</v>
      </c>
      <c r="AV283">
        <v>10</v>
      </c>
      <c r="AW283">
        <f t="shared" si="28"/>
        <v>1</v>
      </c>
      <c r="AX283">
        <v>3</v>
      </c>
      <c r="AY283">
        <f t="shared" si="29"/>
        <v>1</v>
      </c>
      <c r="AZ283" t="e">
        <v>#N/A</v>
      </c>
      <c r="BA283">
        <v>4</v>
      </c>
      <c r="BB283">
        <v>2019</v>
      </c>
      <c r="BC283">
        <v>4</v>
      </c>
      <c r="BD283">
        <v>2019</v>
      </c>
      <c r="BE283">
        <v>1</v>
      </c>
      <c r="BF283">
        <v>2019</v>
      </c>
    </row>
    <row r="284" spans="1:58" x14ac:dyDescent="0.2">
      <c r="A284" s="7">
        <v>15</v>
      </c>
      <c r="B284" s="7">
        <v>17</v>
      </c>
      <c r="C284" s="7">
        <v>4</v>
      </c>
      <c r="D284" s="7">
        <v>5</v>
      </c>
      <c r="E284" s="7">
        <f t="shared" si="24"/>
        <v>41</v>
      </c>
      <c r="F284" s="11" t="s">
        <v>42</v>
      </c>
      <c r="G284">
        <v>15</v>
      </c>
      <c r="H284">
        <v>17</v>
      </c>
      <c r="I284">
        <v>4</v>
      </c>
      <c r="J284">
        <v>5</v>
      </c>
      <c r="K284">
        <f t="shared" si="25"/>
        <v>41</v>
      </c>
      <c r="L284" t="s">
        <v>42</v>
      </c>
      <c r="M284">
        <v>16212.83688468</v>
      </c>
      <c r="N284" s="7">
        <v>15</v>
      </c>
      <c r="O284" s="7">
        <v>12</v>
      </c>
      <c r="P284" s="7">
        <v>6</v>
      </c>
      <c r="Q284" s="7">
        <v>5</v>
      </c>
      <c r="R284" s="7">
        <f t="shared" si="26"/>
        <v>38</v>
      </c>
      <c r="S284" t="s">
        <v>42</v>
      </c>
      <c r="T284" s="7">
        <v>15</v>
      </c>
      <c r="U284" s="7">
        <v>17</v>
      </c>
      <c r="V284" s="7">
        <v>4</v>
      </c>
      <c r="W284" s="7">
        <v>5</v>
      </c>
      <c r="X284" s="7">
        <f t="shared" si="27"/>
        <v>41</v>
      </c>
      <c r="Y284" t="s">
        <v>42</v>
      </c>
      <c r="Z284">
        <v>10206.914268029999</v>
      </c>
      <c r="AA284" t="s">
        <v>698</v>
      </c>
      <c r="AB284" t="e">
        <v>#N/A</v>
      </c>
      <c r="AF284">
        <v>15</v>
      </c>
      <c r="AG284" s="8">
        <v>113</v>
      </c>
      <c r="AH284">
        <v>3</v>
      </c>
      <c r="AI284">
        <v>0</v>
      </c>
      <c r="AJ284">
        <v>0</v>
      </c>
      <c r="AK284">
        <v>2.6548672566371681E-2</v>
      </c>
      <c r="AL284">
        <v>0.2822162605150792</v>
      </c>
      <c r="AM284">
        <v>-3</v>
      </c>
      <c r="AN284">
        <v>1</v>
      </c>
      <c r="AO284">
        <v>7.8947368421052627E-2</v>
      </c>
      <c r="AP284">
        <v>7.3170731707317069E-2</v>
      </c>
      <c r="AQ284">
        <v>0.12195121951219512</v>
      </c>
      <c r="AR284">
        <v>0.36585365853658536</v>
      </c>
      <c r="AS284">
        <v>0.41463414634146339</v>
      </c>
      <c r="AT284">
        <v>9.7560975609756101E-2</v>
      </c>
      <c r="AU284">
        <v>26419.75115271</v>
      </c>
      <c r="AV284" t="s">
        <v>489</v>
      </c>
      <c r="AW284" t="str">
        <f t="shared" si="28"/>
        <v>n/a</v>
      </c>
      <c r="AY284" t="e">
        <f t="shared" si="29"/>
        <v>#N/A</v>
      </c>
      <c r="AZ284" t="e">
        <v>#N/A</v>
      </c>
      <c r="BA284">
        <v>6</v>
      </c>
      <c r="BB284">
        <v>2018</v>
      </c>
      <c r="BC284">
        <v>6</v>
      </c>
      <c r="BD284">
        <v>2018</v>
      </c>
      <c r="BE284">
        <v>3</v>
      </c>
      <c r="BF284">
        <v>2018</v>
      </c>
    </row>
    <row r="285" spans="1:58" x14ac:dyDescent="0.2">
      <c r="A285" s="7">
        <v>11</v>
      </c>
      <c r="B285" s="7">
        <v>31</v>
      </c>
      <c r="C285" s="7">
        <v>6</v>
      </c>
      <c r="D285" s="7">
        <v>10</v>
      </c>
      <c r="E285" s="7">
        <f t="shared" si="24"/>
        <v>58</v>
      </c>
      <c r="F285" s="11" t="e">
        <v>#N/A</v>
      </c>
      <c r="G285">
        <v>11</v>
      </c>
      <c r="H285">
        <v>31</v>
      </c>
      <c r="I285">
        <v>6</v>
      </c>
      <c r="J285">
        <v>10</v>
      </c>
      <c r="K285">
        <f t="shared" si="25"/>
        <v>58</v>
      </c>
      <c r="L285" t="e">
        <v>#N/A</v>
      </c>
      <c r="M285">
        <v>9548.7296133500004</v>
      </c>
      <c r="N285" s="7">
        <v>11</v>
      </c>
      <c r="O285" s="7">
        <v>16</v>
      </c>
      <c r="P285" s="7">
        <v>6</v>
      </c>
      <c r="Q285" s="7">
        <v>11</v>
      </c>
      <c r="R285" s="7">
        <f t="shared" si="26"/>
        <v>44</v>
      </c>
      <c r="S285" t="e">
        <v>#N/A</v>
      </c>
      <c r="T285" s="7">
        <v>15</v>
      </c>
      <c r="U285" s="7">
        <v>25</v>
      </c>
      <c r="V285" s="7">
        <v>7</v>
      </c>
      <c r="W285" s="7">
        <v>13</v>
      </c>
      <c r="X285" s="7">
        <f t="shared" si="27"/>
        <v>60</v>
      </c>
      <c r="Y285" t="e">
        <v>#N/A</v>
      </c>
      <c r="Z285">
        <v>47023.832030690013</v>
      </c>
      <c r="AA285" t="s">
        <v>216</v>
      </c>
      <c r="AB285">
        <v>68</v>
      </c>
      <c r="AC285">
        <v>43</v>
      </c>
      <c r="AD285" t="s">
        <v>172</v>
      </c>
      <c r="AE285" t="s">
        <v>75</v>
      </c>
      <c r="AF285" t="e">
        <v>#N/A</v>
      </c>
      <c r="AG285" s="8">
        <v>81</v>
      </c>
      <c r="AH285">
        <v>16</v>
      </c>
      <c r="AI285">
        <v>2</v>
      </c>
      <c r="AJ285">
        <v>0</v>
      </c>
      <c r="AK285">
        <v>0.19753086419753085</v>
      </c>
      <c r="AL285">
        <v>1.7777777777777777</v>
      </c>
      <c r="AM285">
        <v>-14</v>
      </c>
      <c r="AN285">
        <v>1</v>
      </c>
      <c r="AO285">
        <v>0.36363636363636365</v>
      </c>
      <c r="AP285">
        <v>0.27586206896551724</v>
      </c>
      <c r="AQ285">
        <v>0.17241379310344829</v>
      </c>
      <c r="AR285">
        <v>0.18965517241379309</v>
      </c>
      <c r="AS285">
        <v>0.53448275862068961</v>
      </c>
      <c r="AT285">
        <v>0.10344827586206896</v>
      </c>
      <c r="AU285">
        <v>56572.561644040012</v>
      </c>
      <c r="AV285">
        <v>13</v>
      </c>
      <c r="AW285">
        <f t="shared" si="28"/>
        <v>1</v>
      </c>
      <c r="AX285">
        <v>43</v>
      </c>
      <c r="AY285">
        <f t="shared" si="29"/>
        <v>1</v>
      </c>
      <c r="AZ285" t="e">
        <v>#N/A</v>
      </c>
      <c r="BA285">
        <v>1</v>
      </c>
      <c r="BB285">
        <v>2020</v>
      </c>
      <c r="BC285">
        <v>1</v>
      </c>
      <c r="BD285">
        <v>2020</v>
      </c>
      <c r="BE285">
        <v>1</v>
      </c>
      <c r="BF285">
        <v>2020</v>
      </c>
    </row>
    <row r="286" spans="1:58" x14ac:dyDescent="0.2">
      <c r="A286" s="7">
        <v>3</v>
      </c>
      <c r="B286" s="7">
        <v>17</v>
      </c>
      <c r="C286" s="7">
        <v>0</v>
      </c>
      <c r="D286" s="7">
        <v>3</v>
      </c>
      <c r="E286" s="7">
        <f t="shared" si="24"/>
        <v>23</v>
      </c>
      <c r="F286" s="11" t="s">
        <v>36</v>
      </c>
      <c r="G286">
        <v>3</v>
      </c>
      <c r="H286">
        <v>17</v>
      </c>
      <c r="I286">
        <v>0</v>
      </c>
      <c r="J286">
        <v>3</v>
      </c>
      <c r="K286">
        <f t="shared" si="25"/>
        <v>23</v>
      </c>
      <c r="L286" t="s">
        <v>36</v>
      </c>
      <c r="M286">
        <v>27469.796136100002</v>
      </c>
      <c r="N286" s="7">
        <v>5</v>
      </c>
      <c r="O286" s="7">
        <v>17</v>
      </c>
      <c r="P286" s="7">
        <v>0</v>
      </c>
      <c r="Q286" s="7">
        <v>3</v>
      </c>
      <c r="R286" s="7">
        <f t="shared" si="26"/>
        <v>25</v>
      </c>
      <c r="S286" t="s">
        <v>36</v>
      </c>
      <c r="T286" s="7">
        <v>5</v>
      </c>
      <c r="U286" s="7">
        <v>17</v>
      </c>
      <c r="V286" s="7">
        <v>0</v>
      </c>
      <c r="W286" s="7">
        <v>3</v>
      </c>
      <c r="X286" s="7">
        <f t="shared" si="27"/>
        <v>25</v>
      </c>
      <c r="Y286" t="s">
        <v>36</v>
      </c>
      <c r="Z286">
        <v>18162.505820800001</v>
      </c>
      <c r="AA286" t="s">
        <v>699</v>
      </c>
      <c r="AB286">
        <v>53</v>
      </c>
      <c r="AC286">
        <v>0</v>
      </c>
      <c r="AD286" t="s">
        <v>217</v>
      </c>
      <c r="AE286" t="s">
        <v>41</v>
      </c>
      <c r="AF286" t="e">
        <v>#N/A</v>
      </c>
      <c r="AG286" s="8">
        <v>151</v>
      </c>
      <c r="AH286">
        <v>0</v>
      </c>
      <c r="AI286">
        <v>2</v>
      </c>
      <c r="AJ286">
        <v>0</v>
      </c>
      <c r="AK286">
        <v>0</v>
      </c>
      <c r="AL286">
        <v>0</v>
      </c>
      <c r="AM286">
        <v>2</v>
      </c>
      <c r="AN286">
        <v>0</v>
      </c>
      <c r="AO286">
        <v>0</v>
      </c>
      <c r="AP286">
        <v>0</v>
      </c>
      <c r="AQ286">
        <v>0.13043478260869565</v>
      </c>
      <c r="AR286">
        <v>0.13043478260869565</v>
      </c>
      <c r="AS286">
        <v>0.73913043478260865</v>
      </c>
      <c r="AT286">
        <v>0</v>
      </c>
      <c r="AU286">
        <v>45632.301956900003</v>
      </c>
      <c r="AV286">
        <v>4</v>
      </c>
      <c r="AW286">
        <f t="shared" si="28"/>
        <v>0</v>
      </c>
      <c r="AX286">
        <v>0</v>
      </c>
      <c r="AY286">
        <f t="shared" si="29"/>
        <v>0</v>
      </c>
      <c r="AZ286" t="e">
        <v>#N/A</v>
      </c>
      <c r="BA286">
        <v>8</v>
      </c>
      <c r="BB286">
        <v>2019</v>
      </c>
      <c r="BC286">
        <v>8</v>
      </c>
      <c r="BD286">
        <v>2019</v>
      </c>
      <c r="BE286">
        <v>1</v>
      </c>
      <c r="BF286">
        <v>2019</v>
      </c>
    </row>
    <row r="287" spans="1:58" x14ac:dyDescent="0.2">
      <c r="A287" s="7">
        <v>0</v>
      </c>
      <c r="B287" s="7">
        <v>13</v>
      </c>
      <c r="C287" s="7">
        <v>0</v>
      </c>
      <c r="D287" s="7">
        <v>3</v>
      </c>
      <c r="E287" s="7">
        <f t="shared" si="24"/>
        <v>16</v>
      </c>
      <c r="F287" s="11" t="s">
        <v>36</v>
      </c>
      <c r="G287">
        <v>0</v>
      </c>
      <c r="H287">
        <v>13</v>
      </c>
      <c r="I287">
        <v>0</v>
      </c>
      <c r="J287">
        <v>3</v>
      </c>
      <c r="K287">
        <f t="shared" si="25"/>
        <v>16</v>
      </c>
      <c r="L287" t="s">
        <v>36</v>
      </c>
      <c r="M287">
        <v>20790.702128609999</v>
      </c>
      <c r="N287" s="7">
        <v>0</v>
      </c>
      <c r="O287" s="7">
        <v>13</v>
      </c>
      <c r="P287" s="7">
        <v>0</v>
      </c>
      <c r="Q287" s="7">
        <v>3</v>
      </c>
      <c r="R287" s="7">
        <f t="shared" si="26"/>
        <v>16</v>
      </c>
      <c r="S287" t="s">
        <v>36</v>
      </c>
      <c r="T287" s="7">
        <v>0</v>
      </c>
      <c r="U287" s="7">
        <v>13</v>
      </c>
      <c r="V287" s="7">
        <v>0</v>
      </c>
      <c r="W287" s="7">
        <v>3</v>
      </c>
      <c r="X287" s="7">
        <f t="shared" si="27"/>
        <v>16</v>
      </c>
      <c r="Y287" t="s">
        <v>36</v>
      </c>
      <c r="Z287">
        <v>14793.367073859999</v>
      </c>
      <c r="AA287" t="s">
        <v>700</v>
      </c>
      <c r="AB287" t="e">
        <v>#N/A</v>
      </c>
      <c r="AF287">
        <v>140</v>
      </c>
      <c r="AG287" s="8">
        <v>279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0.1875</v>
      </c>
      <c r="AR287">
        <v>0</v>
      </c>
      <c r="AS287">
        <v>0.8125</v>
      </c>
      <c r="AT287">
        <v>0</v>
      </c>
      <c r="AU287">
        <v>35584.069202469997</v>
      </c>
      <c r="AV287" t="s">
        <v>489</v>
      </c>
      <c r="AW287" t="str">
        <f t="shared" si="28"/>
        <v>n/a</v>
      </c>
      <c r="AY287" t="e">
        <f t="shared" si="29"/>
        <v>#N/A</v>
      </c>
      <c r="AZ287" t="e">
        <v>#N/A</v>
      </c>
      <c r="BA287">
        <v>5</v>
      </c>
      <c r="BB287">
        <v>2018</v>
      </c>
      <c r="BC287">
        <v>9</v>
      </c>
      <c r="BD287">
        <v>2018</v>
      </c>
      <c r="BE287">
        <v>1</v>
      </c>
      <c r="BF287">
        <v>2018</v>
      </c>
    </row>
    <row r="288" spans="1:58" x14ac:dyDescent="0.2">
      <c r="A288" s="7">
        <v>0</v>
      </c>
      <c r="B288" s="7">
        <v>13</v>
      </c>
      <c r="C288" s="7">
        <v>0</v>
      </c>
      <c r="D288" s="7">
        <v>3</v>
      </c>
      <c r="E288" s="7">
        <f t="shared" si="24"/>
        <v>16</v>
      </c>
      <c r="F288" s="11" t="s">
        <v>36</v>
      </c>
      <c r="G288">
        <v>0</v>
      </c>
      <c r="H288">
        <v>13</v>
      </c>
      <c r="I288">
        <v>0</v>
      </c>
      <c r="J288">
        <v>3</v>
      </c>
      <c r="K288">
        <f t="shared" si="25"/>
        <v>16</v>
      </c>
      <c r="L288" t="s">
        <v>36</v>
      </c>
      <c r="M288">
        <v>10933.79784453</v>
      </c>
      <c r="N288" s="7">
        <v>0</v>
      </c>
      <c r="O288" s="7">
        <v>8</v>
      </c>
      <c r="P288" s="7">
        <v>0</v>
      </c>
      <c r="Q288" s="7">
        <v>3</v>
      </c>
      <c r="R288" s="7">
        <f t="shared" si="26"/>
        <v>11</v>
      </c>
      <c r="S288" t="s">
        <v>36</v>
      </c>
      <c r="T288" s="7">
        <v>0</v>
      </c>
      <c r="U288" s="7">
        <v>8</v>
      </c>
      <c r="V288" s="7">
        <v>0</v>
      </c>
      <c r="W288" s="7">
        <v>3</v>
      </c>
      <c r="X288" s="7">
        <f t="shared" si="27"/>
        <v>11</v>
      </c>
      <c r="Y288" t="s">
        <v>36</v>
      </c>
      <c r="Z288">
        <v>4605.7486399999998</v>
      </c>
      <c r="AA288" t="s">
        <v>701</v>
      </c>
      <c r="AB288">
        <v>54</v>
      </c>
      <c r="AC288">
        <v>0</v>
      </c>
      <c r="AD288" t="s">
        <v>218</v>
      </c>
      <c r="AE288" t="s">
        <v>75</v>
      </c>
      <c r="AF288" t="e">
        <v>#N/A</v>
      </c>
      <c r="AG288" s="8">
        <v>0</v>
      </c>
      <c r="AH288">
        <v>0</v>
      </c>
      <c r="AI288">
        <v>-5</v>
      </c>
      <c r="AJ288">
        <v>0</v>
      </c>
      <c r="AK288" t="e">
        <v>#N/A</v>
      </c>
      <c r="AL288" t="e">
        <v>#N/A</v>
      </c>
      <c r="AM288">
        <v>-5</v>
      </c>
      <c r="AN288">
        <v>1</v>
      </c>
      <c r="AO288">
        <v>0</v>
      </c>
      <c r="AP288">
        <v>0</v>
      </c>
      <c r="AQ288">
        <v>0.1875</v>
      </c>
      <c r="AR288">
        <v>0</v>
      </c>
      <c r="AS288">
        <v>0.8125</v>
      </c>
      <c r="AT288">
        <v>0</v>
      </c>
      <c r="AU288">
        <v>15539.546484529999</v>
      </c>
      <c r="AV288">
        <v>4</v>
      </c>
      <c r="AW288">
        <f t="shared" si="28"/>
        <v>0</v>
      </c>
      <c r="AX288">
        <v>0</v>
      </c>
      <c r="AY288">
        <f t="shared" si="29"/>
        <v>0</v>
      </c>
      <c r="AZ288" t="e">
        <v>#N/A</v>
      </c>
      <c r="BA288">
        <v>11</v>
      </c>
      <c r="BB288">
        <v>2019</v>
      </c>
      <c r="BC288">
        <v>11</v>
      </c>
      <c r="BD288">
        <v>2019</v>
      </c>
      <c r="BE288">
        <v>11</v>
      </c>
      <c r="BF288">
        <v>2019</v>
      </c>
    </row>
    <row r="289" spans="1:58" x14ac:dyDescent="0.2">
      <c r="A289" s="7">
        <v>0</v>
      </c>
      <c r="B289" s="7">
        <v>0</v>
      </c>
      <c r="C289" s="7">
        <v>0</v>
      </c>
      <c r="D289" s="7">
        <v>0</v>
      </c>
      <c r="E289" s="7">
        <f t="shared" si="24"/>
        <v>0</v>
      </c>
      <c r="F289" s="11" t="e">
        <v>#N/A</v>
      </c>
      <c r="G289">
        <v>0</v>
      </c>
      <c r="H289">
        <v>0</v>
      </c>
      <c r="I289">
        <v>0</v>
      </c>
      <c r="J289">
        <v>0</v>
      </c>
      <c r="K289">
        <f t="shared" si="25"/>
        <v>0</v>
      </c>
      <c r="L289" t="e">
        <v>#N/A</v>
      </c>
      <c r="N289" s="7">
        <v>7</v>
      </c>
      <c r="O289" s="7">
        <v>21</v>
      </c>
      <c r="P289" s="7">
        <v>3</v>
      </c>
      <c r="Q289" s="7">
        <v>7</v>
      </c>
      <c r="R289" s="7">
        <f t="shared" si="26"/>
        <v>38</v>
      </c>
      <c r="S289" t="s">
        <v>36</v>
      </c>
      <c r="T289" s="7">
        <v>7</v>
      </c>
      <c r="U289" s="7">
        <v>21</v>
      </c>
      <c r="V289" s="7">
        <v>3</v>
      </c>
      <c r="W289" s="7">
        <v>7</v>
      </c>
      <c r="X289" s="7">
        <f t="shared" si="27"/>
        <v>38</v>
      </c>
      <c r="Y289" t="s">
        <v>36</v>
      </c>
      <c r="Z289">
        <v>1392.5034609100001</v>
      </c>
      <c r="AA289" t="s">
        <v>702</v>
      </c>
      <c r="AB289" t="e">
        <v>#N/A</v>
      </c>
      <c r="AF289" t="e">
        <v>#N/A</v>
      </c>
      <c r="AG289" s="8">
        <v>0</v>
      </c>
      <c r="AH289">
        <v>0</v>
      </c>
      <c r="AI289">
        <v>38</v>
      </c>
      <c r="AJ289">
        <v>0</v>
      </c>
      <c r="AK289" t="e">
        <v>#N/A</v>
      </c>
      <c r="AL289" t="e">
        <v>#N/A</v>
      </c>
      <c r="AM289">
        <v>38</v>
      </c>
      <c r="AN289">
        <v>0</v>
      </c>
      <c r="AO289">
        <v>0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>
        <v>1392.5034609100001</v>
      </c>
      <c r="AV289" t="s">
        <v>489</v>
      </c>
      <c r="AW289" t="str">
        <f t="shared" si="28"/>
        <v>n/a</v>
      </c>
      <c r="AY289" t="e">
        <f t="shared" si="29"/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>
        <v>7</v>
      </c>
      <c r="BF289">
        <v>2018</v>
      </c>
    </row>
    <row r="290" spans="1:58" x14ac:dyDescent="0.2">
      <c r="A290" s="7">
        <v>0</v>
      </c>
      <c r="B290" s="7">
        <v>33</v>
      </c>
      <c r="C290" s="7">
        <v>0</v>
      </c>
      <c r="D290" s="7">
        <v>0</v>
      </c>
      <c r="E290" s="7">
        <f t="shared" si="24"/>
        <v>33</v>
      </c>
      <c r="F290" s="11" t="s">
        <v>84</v>
      </c>
      <c r="G290">
        <v>0</v>
      </c>
      <c r="H290">
        <v>33</v>
      </c>
      <c r="I290">
        <v>0</v>
      </c>
      <c r="J290">
        <v>0</v>
      </c>
      <c r="K290">
        <f t="shared" si="25"/>
        <v>33</v>
      </c>
      <c r="L290" t="s">
        <v>84</v>
      </c>
      <c r="M290">
        <v>6488.5736199999992</v>
      </c>
      <c r="N290" s="7">
        <v>0</v>
      </c>
      <c r="O290" s="7">
        <v>33</v>
      </c>
      <c r="P290" s="7">
        <v>0</v>
      </c>
      <c r="Q290" s="7">
        <v>0</v>
      </c>
      <c r="R290" s="7">
        <f t="shared" si="26"/>
        <v>33</v>
      </c>
      <c r="S290" t="s">
        <v>84</v>
      </c>
      <c r="T290" s="7">
        <v>0</v>
      </c>
      <c r="U290" s="7">
        <v>33</v>
      </c>
      <c r="V290" s="7">
        <v>0</v>
      </c>
      <c r="W290" s="7">
        <v>2</v>
      </c>
      <c r="X290" s="7">
        <f t="shared" si="27"/>
        <v>35</v>
      </c>
      <c r="Y290" t="s">
        <v>84</v>
      </c>
      <c r="Z290">
        <v>5831.65344</v>
      </c>
      <c r="AA290" t="s">
        <v>703</v>
      </c>
      <c r="AB290" t="e">
        <v>#N/A</v>
      </c>
      <c r="AF290" t="e">
        <v>#N/A</v>
      </c>
      <c r="AG290" s="8">
        <v>334</v>
      </c>
      <c r="AH290">
        <v>2</v>
      </c>
      <c r="AI290">
        <v>2</v>
      </c>
      <c r="AJ290">
        <v>0</v>
      </c>
      <c r="AK290">
        <v>5.9880239520958087E-3</v>
      </c>
      <c r="AL290">
        <v>0.10943513103291655</v>
      </c>
      <c r="AM290">
        <v>0</v>
      </c>
      <c r="AN290">
        <v>0</v>
      </c>
      <c r="AO290">
        <v>6.0606060606060608E-2</v>
      </c>
      <c r="AP290">
        <v>6.0606060606060608E-2</v>
      </c>
      <c r="AQ290">
        <v>0</v>
      </c>
      <c r="AR290">
        <v>0</v>
      </c>
      <c r="AS290">
        <v>1</v>
      </c>
      <c r="AT290">
        <v>0</v>
      </c>
      <c r="AU290">
        <v>12320.227059999999</v>
      </c>
      <c r="AV290" t="s">
        <v>489</v>
      </c>
      <c r="AW290" t="str">
        <f t="shared" si="28"/>
        <v>n/a</v>
      </c>
      <c r="AY290" t="e">
        <f t="shared" si="29"/>
        <v>#N/A</v>
      </c>
      <c r="AZ290" t="e">
        <v>#N/A</v>
      </c>
      <c r="BA290">
        <v>4</v>
      </c>
      <c r="BB290">
        <v>2018</v>
      </c>
      <c r="BC290">
        <v>4</v>
      </c>
      <c r="BD290">
        <v>2018</v>
      </c>
      <c r="BE290">
        <v>1</v>
      </c>
      <c r="BF290">
        <v>2018</v>
      </c>
    </row>
    <row r="291" spans="1:58" x14ac:dyDescent="0.2">
      <c r="A291" s="7">
        <v>11</v>
      </c>
      <c r="B291" s="7">
        <v>30</v>
      </c>
      <c r="C291" s="7">
        <v>7</v>
      </c>
      <c r="D291" s="7">
        <v>16</v>
      </c>
      <c r="E291" s="7">
        <f t="shared" si="24"/>
        <v>64</v>
      </c>
      <c r="F291" s="11" t="s">
        <v>36</v>
      </c>
      <c r="G291">
        <v>11</v>
      </c>
      <c r="H291">
        <v>30</v>
      </c>
      <c r="I291">
        <v>7</v>
      </c>
      <c r="J291">
        <v>16</v>
      </c>
      <c r="K291">
        <f t="shared" si="25"/>
        <v>64</v>
      </c>
      <c r="L291" t="s">
        <v>36</v>
      </c>
      <c r="M291">
        <v>9693.5567100000007</v>
      </c>
      <c r="N291" s="7">
        <v>11</v>
      </c>
      <c r="O291" s="7">
        <v>30</v>
      </c>
      <c r="P291" s="7">
        <v>6</v>
      </c>
      <c r="Q291" s="7">
        <v>4</v>
      </c>
      <c r="R291" s="7">
        <f t="shared" si="26"/>
        <v>51</v>
      </c>
      <c r="S291" t="s">
        <v>36</v>
      </c>
      <c r="T291" s="7">
        <v>16</v>
      </c>
      <c r="U291" s="7">
        <v>39</v>
      </c>
      <c r="V291" s="7">
        <v>9</v>
      </c>
      <c r="W291" s="7">
        <v>15</v>
      </c>
      <c r="X291" s="7">
        <f t="shared" si="27"/>
        <v>79</v>
      </c>
      <c r="Y291" t="s">
        <v>36</v>
      </c>
      <c r="Z291">
        <v>26179.49235538</v>
      </c>
      <c r="AA291" t="s">
        <v>704</v>
      </c>
      <c r="AB291" t="e">
        <v>#N/A</v>
      </c>
      <c r="AF291" t="e">
        <v>#N/A</v>
      </c>
      <c r="AG291" s="8">
        <v>320</v>
      </c>
      <c r="AH291">
        <v>28</v>
      </c>
      <c r="AI291">
        <v>15</v>
      </c>
      <c r="AJ291">
        <v>0</v>
      </c>
      <c r="AK291">
        <v>8.7499999999999994E-2</v>
      </c>
      <c r="AL291">
        <v>1.5652475842498528</v>
      </c>
      <c r="AM291">
        <v>-13</v>
      </c>
      <c r="AN291">
        <v>1</v>
      </c>
      <c r="AO291">
        <v>0.5490196078431373</v>
      </c>
      <c r="AP291">
        <v>0.4375</v>
      </c>
      <c r="AQ291">
        <v>0.25</v>
      </c>
      <c r="AR291">
        <v>0.171875</v>
      </c>
      <c r="AS291">
        <v>0.46875</v>
      </c>
      <c r="AT291">
        <v>0.109375</v>
      </c>
      <c r="AU291">
        <v>35873.049065380001</v>
      </c>
      <c r="AV291" t="s">
        <v>489</v>
      </c>
      <c r="AW291" t="str">
        <f t="shared" si="28"/>
        <v>n/a</v>
      </c>
      <c r="AY291" t="e">
        <f t="shared" si="29"/>
        <v>#N/A</v>
      </c>
      <c r="AZ291" t="e">
        <v>#N/A</v>
      </c>
      <c r="BA291">
        <v>8</v>
      </c>
      <c r="BB291">
        <v>2018</v>
      </c>
      <c r="BC291">
        <v>8</v>
      </c>
      <c r="BD291">
        <v>2018</v>
      </c>
      <c r="BE291">
        <v>1</v>
      </c>
      <c r="BF291">
        <v>2018</v>
      </c>
    </row>
    <row r="292" spans="1:58" x14ac:dyDescent="0.2">
      <c r="A292" s="7">
        <v>10</v>
      </c>
      <c r="B292" s="7">
        <v>25</v>
      </c>
      <c r="C292" s="7">
        <v>9</v>
      </c>
      <c r="D292" s="7">
        <v>19</v>
      </c>
      <c r="E292" s="7">
        <f t="shared" si="24"/>
        <v>63</v>
      </c>
      <c r="F292" s="11" t="s">
        <v>36</v>
      </c>
      <c r="G292">
        <v>10</v>
      </c>
      <c r="H292">
        <v>25</v>
      </c>
      <c r="I292">
        <v>9</v>
      </c>
      <c r="J292">
        <v>19</v>
      </c>
      <c r="K292">
        <f t="shared" si="25"/>
        <v>63</v>
      </c>
      <c r="L292" t="s">
        <v>36</v>
      </c>
      <c r="M292">
        <v>7500.8033741600002</v>
      </c>
      <c r="N292" s="7">
        <v>10</v>
      </c>
      <c r="O292" s="7">
        <v>25</v>
      </c>
      <c r="P292" s="7">
        <v>9</v>
      </c>
      <c r="Q292" s="7">
        <v>19</v>
      </c>
      <c r="R292" s="7">
        <f t="shared" si="26"/>
        <v>63</v>
      </c>
      <c r="S292" t="s">
        <v>36</v>
      </c>
      <c r="T292" s="7">
        <v>17</v>
      </c>
      <c r="U292" s="7">
        <v>30</v>
      </c>
      <c r="V292" s="7">
        <v>9</v>
      </c>
      <c r="W292" s="7">
        <v>19</v>
      </c>
      <c r="X292" s="7">
        <f t="shared" si="27"/>
        <v>75</v>
      </c>
      <c r="Y292" t="s">
        <v>36</v>
      </c>
      <c r="Z292">
        <v>23230.34344782</v>
      </c>
      <c r="AA292" t="s">
        <v>705</v>
      </c>
      <c r="AB292" t="e">
        <v>#N/A</v>
      </c>
      <c r="AF292" t="e">
        <v>#N/A</v>
      </c>
      <c r="AG292" s="8">
        <v>1</v>
      </c>
      <c r="AH292">
        <v>12</v>
      </c>
      <c r="AI292">
        <v>12</v>
      </c>
      <c r="AJ292">
        <v>0</v>
      </c>
      <c r="AK292">
        <v>12</v>
      </c>
      <c r="AL292">
        <v>12</v>
      </c>
      <c r="AM292">
        <v>0</v>
      </c>
      <c r="AN292">
        <v>0</v>
      </c>
      <c r="AO292">
        <v>0.19047619047619047</v>
      </c>
      <c r="AP292">
        <v>0.19047619047619047</v>
      </c>
      <c r="AQ292">
        <v>0.30158730158730157</v>
      </c>
      <c r="AR292">
        <v>0.15873015873015872</v>
      </c>
      <c r="AS292">
        <v>0.3968253968253968</v>
      </c>
      <c r="AT292">
        <v>0.14285714285714285</v>
      </c>
      <c r="AU292">
        <v>30731.146821980001</v>
      </c>
      <c r="AV292" t="s">
        <v>489</v>
      </c>
      <c r="AW292" t="str">
        <f t="shared" si="28"/>
        <v>n/a</v>
      </c>
      <c r="AY292" t="e">
        <f t="shared" si="29"/>
        <v>#N/A</v>
      </c>
      <c r="AZ292" t="e">
        <v>#N/A</v>
      </c>
      <c r="BA292">
        <v>5</v>
      </c>
      <c r="BB292">
        <v>2018</v>
      </c>
      <c r="BC292">
        <v>5</v>
      </c>
      <c r="BD292">
        <v>2018</v>
      </c>
      <c r="BE292">
        <v>1</v>
      </c>
      <c r="BF292">
        <v>2018</v>
      </c>
    </row>
    <row r="293" spans="1:58" x14ac:dyDescent="0.2">
      <c r="A293" s="7">
        <v>4</v>
      </c>
      <c r="B293" s="7">
        <v>16</v>
      </c>
      <c r="C293" s="7">
        <v>2</v>
      </c>
      <c r="D293" s="7">
        <v>4</v>
      </c>
      <c r="E293" s="7">
        <f t="shared" si="24"/>
        <v>26</v>
      </c>
      <c r="F293" s="11" t="s">
        <v>54</v>
      </c>
      <c r="G293">
        <v>2</v>
      </c>
      <c r="H293">
        <v>23</v>
      </c>
      <c r="I293">
        <v>2</v>
      </c>
      <c r="J293">
        <v>5</v>
      </c>
      <c r="K293">
        <f t="shared" si="25"/>
        <v>32</v>
      </c>
      <c r="L293" t="s">
        <v>54</v>
      </c>
      <c r="M293">
        <v>6982.7972049399996</v>
      </c>
      <c r="N293" s="7">
        <v>4</v>
      </c>
      <c r="O293" s="7">
        <v>16</v>
      </c>
      <c r="P293" s="7">
        <v>2</v>
      </c>
      <c r="Q293" s="7">
        <v>4</v>
      </c>
      <c r="R293" s="7">
        <f t="shared" si="26"/>
        <v>26</v>
      </c>
      <c r="S293" t="s">
        <v>54</v>
      </c>
      <c r="T293" s="7">
        <v>3</v>
      </c>
      <c r="U293" s="7">
        <v>16</v>
      </c>
      <c r="V293" s="7">
        <v>2</v>
      </c>
      <c r="W293" s="7">
        <v>4</v>
      </c>
      <c r="X293" s="7">
        <f t="shared" si="27"/>
        <v>25</v>
      </c>
      <c r="Y293" t="s">
        <v>54</v>
      </c>
      <c r="Z293">
        <v>12549.79968025</v>
      </c>
      <c r="AA293" t="s">
        <v>706</v>
      </c>
      <c r="AB293" t="e">
        <v>#N/A</v>
      </c>
      <c r="AF293">
        <v>200</v>
      </c>
      <c r="AG293" s="8">
        <v>5</v>
      </c>
      <c r="AH293">
        <v>-1</v>
      </c>
      <c r="AI293">
        <v>-1</v>
      </c>
      <c r="AJ293">
        <v>6</v>
      </c>
      <c r="AK293">
        <v>-0.2</v>
      </c>
      <c r="AL293">
        <v>-0.44721359549995793</v>
      </c>
      <c r="AM293">
        <v>-6</v>
      </c>
      <c r="AN293">
        <v>1</v>
      </c>
      <c r="AO293">
        <v>-3.8461538461538464E-2</v>
      </c>
      <c r="AP293">
        <v>-3.8461538461538464E-2</v>
      </c>
      <c r="AQ293">
        <v>0.15384615384615385</v>
      </c>
      <c r="AR293">
        <v>0.15384615384615385</v>
      </c>
      <c r="AS293">
        <v>0.61538461538461542</v>
      </c>
      <c r="AT293">
        <v>7.6923076923076927E-2</v>
      </c>
      <c r="AU293">
        <v>19532.59688519</v>
      </c>
      <c r="AV293" t="s">
        <v>489</v>
      </c>
      <c r="AW293" t="str">
        <f t="shared" si="28"/>
        <v>n/a</v>
      </c>
      <c r="AY293" t="e">
        <f t="shared" si="29"/>
        <v>#N/A</v>
      </c>
      <c r="AZ293" t="e">
        <v>#N/A</v>
      </c>
      <c r="BA293">
        <v>1</v>
      </c>
      <c r="BB293">
        <v>2018</v>
      </c>
      <c r="BC293">
        <v>7</v>
      </c>
      <c r="BD293">
        <v>2018</v>
      </c>
      <c r="BE293">
        <v>8</v>
      </c>
      <c r="BF293">
        <v>2018</v>
      </c>
    </row>
    <row r="294" spans="1:58" x14ac:dyDescent="0.2">
      <c r="A294" s="7">
        <v>0</v>
      </c>
      <c r="B294" s="7">
        <v>0</v>
      </c>
      <c r="C294" s="7">
        <v>0</v>
      </c>
      <c r="D294" s="7">
        <v>0</v>
      </c>
      <c r="E294" s="7">
        <f t="shared" si="24"/>
        <v>0</v>
      </c>
      <c r="F294" s="11" t="e">
        <v>#N/A</v>
      </c>
      <c r="G294">
        <v>0</v>
      </c>
      <c r="H294">
        <v>0</v>
      </c>
      <c r="I294">
        <v>0</v>
      </c>
      <c r="J294">
        <v>0</v>
      </c>
      <c r="K294">
        <f t="shared" si="25"/>
        <v>0</v>
      </c>
      <c r="L294" t="e">
        <v>#N/A</v>
      </c>
      <c r="N294" s="7">
        <v>3</v>
      </c>
      <c r="O294" s="7">
        <v>15</v>
      </c>
      <c r="P294" s="7">
        <v>2</v>
      </c>
      <c r="Q294" s="7">
        <v>5</v>
      </c>
      <c r="R294" s="7">
        <f t="shared" si="26"/>
        <v>25</v>
      </c>
      <c r="S294" t="s">
        <v>36</v>
      </c>
      <c r="T294" s="7">
        <v>3</v>
      </c>
      <c r="U294" s="7">
        <v>15</v>
      </c>
      <c r="V294" s="7">
        <v>2</v>
      </c>
      <c r="W294" s="7">
        <v>5</v>
      </c>
      <c r="X294" s="7">
        <f t="shared" si="27"/>
        <v>25</v>
      </c>
      <c r="Y294" t="s">
        <v>36</v>
      </c>
      <c r="Z294">
        <v>9807.1897197899998</v>
      </c>
      <c r="AA294" t="s">
        <v>707</v>
      </c>
      <c r="AB294" t="e">
        <v>#N/A</v>
      </c>
      <c r="AF294" t="e">
        <v>#N/A</v>
      </c>
      <c r="AG294" s="8">
        <v>9</v>
      </c>
      <c r="AH294">
        <v>0</v>
      </c>
      <c r="AI294">
        <v>25</v>
      </c>
      <c r="AJ294">
        <v>0</v>
      </c>
      <c r="AK294">
        <v>0</v>
      </c>
      <c r="AL294">
        <v>0</v>
      </c>
      <c r="AM294">
        <v>25</v>
      </c>
      <c r="AN294">
        <v>0</v>
      </c>
      <c r="AO294">
        <v>0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>
        <v>9807.1897197899998</v>
      </c>
      <c r="AV294" t="s">
        <v>489</v>
      </c>
      <c r="AW294" t="str">
        <f t="shared" si="28"/>
        <v>n/a</v>
      </c>
      <c r="AY294" t="e">
        <f t="shared" si="29"/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>
        <v>7</v>
      </c>
      <c r="BF294">
        <v>2018</v>
      </c>
    </row>
    <row r="295" spans="1:58" x14ac:dyDescent="0.2">
      <c r="A295" s="7">
        <v>0</v>
      </c>
      <c r="B295" s="7">
        <v>16</v>
      </c>
      <c r="C295" s="7">
        <v>0</v>
      </c>
      <c r="D295" s="7">
        <v>2</v>
      </c>
      <c r="E295" s="7">
        <f t="shared" si="24"/>
        <v>18</v>
      </c>
      <c r="F295" s="11" t="s">
        <v>38</v>
      </c>
      <c r="G295">
        <v>0</v>
      </c>
      <c r="H295">
        <v>16</v>
      </c>
      <c r="I295">
        <v>0</v>
      </c>
      <c r="J295">
        <v>2</v>
      </c>
      <c r="K295">
        <f t="shared" si="25"/>
        <v>18</v>
      </c>
      <c r="L295" t="s">
        <v>38</v>
      </c>
      <c r="M295">
        <v>9568.5705036100007</v>
      </c>
      <c r="N295" s="7">
        <v>0</v>
      </c>
      <c r="O295" s="7">
        <v>16</v>
      </c>
      <c r="P295" s="7">
        <v>0</v>
      </c>
      <c r="Q295" s="7">
        <v>2</v>
      </c>
      <c r="R295" s="7">
        <f t="shared" si="26"/>
        <v>18</v>
      </c>
      <c r="S295" t="s">
        <v>38</v>
      </c>
      <c r="T295" s="7">
        <v>1</v>
      </c>
      <c r="U295" s="7">
        <v>16</v>
      </c>
      <c r="V295" s="7">
        <v>0</v>
      </c>
      <c r="W295" s="7">
        <v>2</v>
      </c>
      <c r="X295" s="7">
        <f t="shared" si="27"/>
        <v>19</v>
      </c>
      <c r="Y295" t="s">
        <v>38</v>
      </c>
      <c r="Z295">
        <v>16649.746779519999</v>
      </c>
      <c r="AA295" t="s">
        <v>708</v>
      </c>
      <c r="AB295" t="e">
        <v>#N/A</v>
      </c>
      <c r="AF295">
        <v>1</v>
      </c>
      <c r="AG295" s="8">
        <v>102</v>
      </c>
      <c r="AH295">
        <v>1</v>
      </c>
      <c r="AI295">
        <v>1</v>
      </c>
      <c r="AJ295">
        <v>0</v>
      </c>
      <c r="AK295">
        <v>9.8039215686274508E-3</v>
      </c>
      <c r="AL295">
        <v>9.9014754297667443E-2</v>
      </c>
      <c r="AM295">
        <v>0</v>
      </c>
      <c r="AN295">
        <v>0</v>
      </c>
      <c r="AO295">
        <v>5.5555555555555552E-2</v>
      </c>
      <c r="AP295">
        <v>5.5555555555555552E-2</v>
      </c>
      <c r="AQ295">
        <v>0.1111111111111111</v>
      </c>
      <c r="AR295">
        <v>0</v>
      </c>
      <c r="AS295">
        <v>0.88888888888888884</v>
      </c>
      <c r="AT295">
        <v>0</v>
      </c>
      <c r="AU295">
        <v>26218.31728313</v>
      </c>
      <c r="AV295" t="s">
        <v>489</v>
      </c>
      <c r="AW295" t="str">
        <f t="shared" si="28"/>
        <v>n/a</v>
      </c>
      <c r="AY295" t="e">
        <f t="shared" si="29"/>
        <v>#N/A</v>
      </c>
      <c r="AZ295" t="e">
        <v>#N/A</v>
      </c>
      <c r="BA295">
        <v>4</v>
      </c>
      <c r="BB295">
        <v>2018</v>
      </c>
      <c r="BC295">
        <v>4</v>
      </c>
      <c r="BD295">
        <v>2018</v>
      </c>
      <c r="BE295">
        <v>4</v>
      </c>
      <c r="BF295">
        <v>2018</v>
      </c>
    </row>
    <row r="296" spans="1:58" x14ac:dyDescent="0.2">
      <c r="A296" s="7">
        <v>0</v>
      </c>
      <c r="B296" s="7">
        <v>21</v>
      </c>
      <c r="C296" s="7">
        <v>0</v>
      </c>
      <c r="D296" s="7">
        <v>0</v>
      </c>
      <c r="E296" s="7">
        <f t="shared" si="24"/>
        <v>21</v>
      </c>
      <c r="F296" s="11" t="s">
        <v>83</v>
      </c>
      <c r="G296">
        <v>0</v>
      </c>
      <c r="H296">
        <v>21</v>
      </c>
      <c r="I296">
        <v>0</v>
      </c>
      <c r="J296">
        <v>0</v>
      </c>
      <c r="K296">
        <f t="shared" si="25"/>
        <v>21</v>
      </c>
      <c r="L296" t="s">
        <v>83</v>
      </c>
      <c r="M296">
        <v>11246.77029753</v>
      </c>
      <c r="N296" s="7">
        <v>0</v>
      </c>
      <c r="O296" s="7">
        <v>21</v>
      </c>
      <c r="P296" s="7">
        <v>0</v>
      </c>
      <c r="Q296" s="7">
        <v>0</v>
      </c>
      <c r="R296" s="7">
        <f t="shared" si="26"/>
        <v>21</v>
      </c>
      <c r="S296" t="s">
        <v>54</v>
      </c>
      <c r="T296" s="7">
        <v>0</v>
      </c>
      <c r="U296" s="7">
        <v>21</v>
      </c>
      <c r="V296" s="7">
        <v>0</v>
      </c>
      <c r="W296" s="7">
        <v>0</v>
      </c>
      <c r="X296" s="7">
        <f t="shared" si="27"/>
        <v>21</v>
      </c>
      <c r="Y296" t="s">
        <v>83</v>
      </c>
      <c r="Z296">
        <v>16178.612647829999</v>
      </c>
      <c r="AA296" t="s">
        <v>709</v>
      </c>
      <c r="AB296" t="e">
        <v>#N/A</v>
      </c>
      <c r="AF296" t="e">
        <v>#N/A</v>
      </c>
      <c r="AG296" s="8">
        <v>313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27425.382945359997</v>
      </c>
      <c r="AV296" t="s">
        <v>489</v>
      </c>
      <c r="AW296" t="str">
        <f t="shared" si="28"/>
        <v>n/a</v>
      </c>
      <c r="AY296" t="e">
        <f t="shared" si="29"/>
        <v>#N/A</v>
      </c>
      <c r="AZ296" t="e">
        <v>#N/A</v>
      </c>
      <c r="BA296">
        <v>11</v>
      </c>
      <c r="BB296">
        <v>2018</v>
      </c>
      <c r="BC296">
        <v>11</v>
      </c>
      <c r="BD296">
        <v>2018</v>
      </c>
      <c r="BE296">
        <v>1</v>
      </c>
      <c r="BF296">
        <v>2018</v>
      </c>
    </row>
    <row r="297" spans="1:58" x14ac:dyDescent="0.2">
      <c r="A297" s="7">
        <v>18</v>
      </c>
      <c r="B297" s="7">
        <v>40</v>
      </c>
      <c r="C297" s="7">
        <v>9</v>
      </c>
      <c r="D297" s="7">
        <v>9</v>
      </c>
      <c r="E297" s="7">
        <f t="shared" si="24"/>
        <v>76</v>
      </c>
      <c r="F297" s="11" t="s">
        <v>36</v>
      </c>
      <c r="G297">
        <v>18</v>
      </c>
      <c r="H297">
        <v>40</v>
      </c>
      <c r="I297">
        <v>9</v>
      </c>
      <c r="J297">
        <v>9</v>
      </c>
      <c r="K297">
        <f t="shared" si="25"/>
        <v>76</v>
      </c>
      <c r="L297" t="s">
        <v>36</v>
      </c>
      <c r="M297">
        <v>4528.5799100000004</v>
      </c>
      <c r="N297" s="7">
        <v>18</v>
      </c>
      <c r="O297" s="7">
        <v>40</v>
      </c>
      <c r="P297" s="7">
        <v>9</v>
      </c>
      <c r="Q297" s="7">
        <v>9</v>
      </c>
      <c r="R297" s="7">
        <f t="shared" si="26"/>
        <v>76</v>
      </c>
      <c r="S297" t="s">
        <v>36</v>
      </c>
      <c r="T297" s="7">
        <v>20</v>
      </c>
      <c r="U297" s="7">
        <v>40</v>
      </c>
      <c r="V297" s="7">
        <v>9</v>
      </c>
      <c r="W297" s="7">
        <v>9</v>
      </c>
      <c r="X297" s="7">
        <f t="shared" si="27"/>
        <v>78</v>
      </c>
      <c r="Y297" t="s">
        <v>36</v>
      </c>
      <c r="Z297">
        <v>3068.3064132</v>
      </c>
      <c r="AA297" t="s">
        <v>710</v>
      </c>
      <c r="AB297" t="e">
        <v>#N/A</v>
      </c>
      <c r="AF297" t="e">
        <v>#N/A</v>
      </c>
      <c r="AG297" s="8">
        <v>4</v>
      </c>
      <c r="AH297">
        <v>2</v>
      </c>
      <c r="AI297">
        <v>2</v>
      </c>
      <c r="AJ297">
        <v>0</v>
      </c>
      <c r="AK297">
        <v>0.5</v>
      </c>
      <c r="AL297">
        <v>1</v>
      </c>
      <c r="AM297">
        <v>0</v>
      </c>
      <c r="AN297">
        <v>0</v>
      </c>
      <c r="AO297">
        <v>2.6315789473684209E-2</v>
      </c>
      <c r="AP297">
        <v>2.6315789473684209E-2</v>
      </c>
      <c r="AQ297">
        <v>0.11842105263157894</v>
      </c>
      <c r="AR297">
        <v>0.23684210526315788</v>
      </c>
      <c r="AS297">
        <v>0.52631578947368418</v>
      </c>
      <c r="AT297">
        <v>0.11842105263157894</v>
      </c>
      <c r="AU297">
        <v>7596.8863232000003</v>
      </c>
      <c r="AV297" t="s">
        <v>489</v>
      </c>
      <c r="AW297" t="str">
        <f t="shared" si="28"/>
        <v>n/a</v>
      </c>
      <c r="AY297" t="e">
        <f t="shared" si="29"/>
        <v>#N/A</v>
      </c>
      <c r="AZ297" t="e">
        <v>#N/A</v>
      </c>
      <c r="BA297">
        <v>9</v>
      </c>
      <c r="BB297">
        <v>2018</v>
      </c>
      <c r="BC297">
        <v>9</v>
      </c>
      <c r="BD297">
        <v>2018</v>
      </c>
      <c r="BE297">
        <v>5</v>
      </c>
      <c r="BF297">
        <v>2018</v>
      </c>
    </row>
    <row r="298" spans="1:58" x14ac:dyDescent="0.2">
      <c r="A298" s="7">
        <v>14</v>
      </c>
      <c r="B298" s="7">
        <v>31</v>
      </c>
      <c r="C298" s="7">
        <v>8</v>
      </c>
      <c r="D298" s="7">
        <v>6</v>
      </c>
      <c r="E298" s="7">
        <f t="shared" si="24"/>
        <v>59</v>
      </c>
      <c r="F298" s="11" t="e">
        <v>#N/A</v>
      </c>
      <c r="G298">
        <v>14</v>
      </c>
      <c r="H298">
        <v>31</v>
      </c>
      <c r="I298">
        <v>8</v>
      </c>
      <c r="J298">
        <v>6</v>
      </c>
      <c r="K298">
        <f t="shared" si="25"/>
        <v>59</v>
      </c>
      <c r="L298" t="e">
        <v>#N/A</v>
      </c>
      <c r="M298">
        <v>7966.5879900000009</v>
      </c>
      <c r="N298" s="7">
        <v>15</v>
      </c>
      <c r="O298" s="7">
        <v>27</v>
      </c>
      <c r="P298" s="7">
        <v>8</v>
      </c>
      <c r="Q298" s="7">
        <v>3</v>
      </c>
      <c r="R298" s="7">
        <f t="shared" si="26"/>
        <v>53</v>
      </c>
      <c r="S298" t="e">
        <v>#N/A</v>
      </c>
      <c r="T298" s="7">
        <v>15</v>
      </c>
      <c r="U298" s="7">
        <v>31</v>
      </c>
      <c r="V298" s="7">
        <v>6</v>
      </c>
      <c r="W298" s="7">
        <v>3</v>
      </c>
      <c r="X298" s="7">
        <f t="shared" si="27"/>
        <v>55</v>
      </c>
      <c r="Y298" t="e">
        <v>#N/A</v>
      </c>
      <c r="Z298">
        <v>32047.757853939998</v>
      </c>
      <c r="AA298" t="s">
        <v>219</v>
      </c>
      <c r="AB298">
        <v>73</v>
      </c>
      <c r="AC298">
        <v>0</v>
      </c>
      <c r="AD298" t="s">
        <v>220</v>
      </c>
      <c r="AE298" t="s">
        <v>41</v>
      </c>
      <c r="AF298" t="e">
        <v>#N/A</v>
      </c>
      <c r="AG298" s="8">
        <v>306</v>
      </c>
      <c r="AH298">
        <v>2</v>
      </c>
      <c r="AI298">
        <v>-4</v>
      </c>
      <c r="AJ298">
        <v>0</v>
      </c>
      <c r="AK298">
        <v>6.5359477124183009E-3</v>
      </c>
      <c r="AL298">
        <v>0.1143323900950059</v>
      </c>
      <c r="AM298">
        <v>-6</v>
      </c>
      <c r="AN298">
        <v>1</v>
      </c>
      <c r="AO298">
        <v>3.7735849056603772E-2</v>
      </c>
      <c r="AP298">
        <v>3.3898305084745763E-2</v>
      </c>
      <c r="AQ298">
        <v>0.10169491525423729</v>
      </c>
      <c r="AR298">
        <v>0.23728813559322035</v>
      </c>
      <c r="AS298">
        <v>0.52542372881355937</v>
      </c>
      <c r="AT298">
        <v>0.13559322033898305</v>
      </c>
      <c r="AU298">
        <v>40014.345843939998</v>
      </c>
      <c r="AV298">
        <v>4</v>
      </c>
      <c r="AW298">
        <f t="shared" si="28"/>
        <v>0</v>
      </c>
      <c r="AX298">
        <v>0</v>
      </c>
      <c r="AY298">
        <f t="shared" si="29"/>
        <v>0</v>
      </c>
      <c r="AZ298" t="e">
        <v>#N/A</v>
      </c>
      <c r="BA298">
        <v>1</v>
      </c>
      <c r="BB298">
        <v>2020</v>
      </c>
      <c r="BC298">
        <v>1</v>
      </c>
      <c r="BD298">
        <v>2020</v>
      </c>
      <c r="BE298">
        <v>1</v>
      </c>
      <c r="BF298">
        <v>2020</v>
      </c>
    </row>
    <row r="299" spans="1:58" x14ac:dyDescent="0.2">
      <c r="A299" s="7">
        <v>6</v>
      </c>
      <c r="B299" s="7">
        <v>15</v>
      </c>
      <c r="C299" s="7">
        <v>0</v>
      </c>
      <c r="D299" s="7">
        <v>0</v>
      </c>
      <c r="E299" s="7">
        <f t="shared" si="24"/>
        <v>21</v>
      </c>
      <c r="F299" s="11" t="s">
        <v>42</v>
      </c>
      <c r="G299">
        <v>6</v>
      </c>
      <c r="H299">
        <v>15</v>
      </c>
      <c r="I299">
        <v>0</v>
      </c>
      <c r="J299">
        <v>0</v>
      </c>
      <c r="K299">
        <f t="shared" si="25"/>
        <v>21</v>
      </c>
      <c r="L299" t="s">
        <v>42</v>
      </c>
      <c r="M299">
        <v>9288.0064088100007</v>
      </c>
      <c r="N299" s="7">
        <v>9</v>
      </c>
      <c r="O299" s="7">
        <v>13</v>
      </c>
      <c r="P299" s="7">
        <v>0</v>
      </c>
      <c r="Q299" s="7">
        <v>0</v>
      </c>
      <c r="R299" s="7">
        <f t="shared" si="26"/>
        <v>22</v>
      </c>
      <c r="S299" t="s">
        <v>42</v>
      </c>
      <c r="T299" s="7">
        <v>9</v>
      </c>
      <c r="U299" s="7">
        <v>13</v>
      </c>
      <c r="V299" s="7">
        <v>0</v>
      </c>
      <c r="W299" s="7">
        <v>0</v>
      </c>
      <c r="X299" s="7">
        <f t="shared" si="27"/>
        <v>22</v>
      </c>
      <c r="Y299" t="s">
        <v>42</v>
      </c>
      <c r="Z299">
        <v>13579.46226348</v>
      </c>
      <c r="AA299" t="s">
        <v>711</v>
      </c>
      <c r="AB299">
        <v>50</v>
      </c>
      <c r="AC299">
        <v>0</v>
      </c>
      <c r="AD299" t="s">
        <v>221</v>
      </c>
      <c r="AE299" t="s">
        <v>41</v>
      </c>
      <c r="AF299" t="e">
        <v>#N/A</v>
      </c>
      <c r="AG299" s="8">
        <v>0</v>
      </c>
      <c r="AH299">
        <v>0</v>
      </c>
      <c r="AI299">
        <v>1</v>
      </c>
      <c r="AJ299">
        <v>0</v>
      </c>
      <c r="AK299" t="e">
        <v>#N/A</v>
      </c>
      <c r="AL299" t="e">
        <v>#N/A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0.2857142857142857</v>
      </c>
      <c r="AS299">
        <v>0.7142857142857143</v>
      </c>
      <c r="AT299">
        <v>0</v>
      </c>
      <c r="AU299">
        <v>22867.468672290001</v>
      </c>
      <c r="AV299">
        <v>10</v>
      </c>
      <c r="AW299">
        <f t="shared" si="28"/>
        <v>1</v>
      </c>
      <c r="AX299">
        <v>0</v>
      </c>
      <c r="AY299">
        <f t="shared" si="29"/>
        <v>0</v>
      </c>
      <c r="AZ299" t="e">
        <v>#N/A</v>
      </c>
      <c r="BA299">
        <v>4</v>
      </c>
      <c r="BB299">
        <v>2019</v>
      </c>
      <c r="BC299">
        <v>4</v>
      </c>
      <c r="BD299">
        <v>2019</v>
      </c>
      <c r="BE299">
        <v>1</v>
      </c>
      <c r="BF299">
        <v>2019</v>
      </c>
    </row>
    <row r="300" spans="1:58" x14ac:dyDescent="0.2">
      <c r="A300" s="7">
        <v>9</v>
      </c>
      <c r="B300" s="7">
        <v>13</v>
      </c>
      <c r="C300" s="7">
        <v>5</v>
      </c>
      <c r="D300" s="7">
        <v>6</v>
      </c>
      <c r="E300" s="7">
        <f t="shared" si="24"/>
        <v>33</v>
      </c>
      <c r="F300" s="11" t="s">
        <v>36</v>
      </c>
      <c r="G300">
        <v>9</v>
      </c>
      <c r="H300">
        <v>13</v>
      </c>
      <c r="I300">
        <v>5</v>
      </c>
      <c r="J300">
        <v>6</v>
      </c>
      <c r="K300">
        <f t="shared" si="25"/>
        <v>33</v>
      </c>
      <c r="L300" t="s">
        <v>36</v>
      </c>
      <c r="M300">
        <v>9683.613677299998</v>
      </c>
      <c r="N300" s="7">
        <v>9</v>
      </c>
      <c r="O300" s="7">
        <v>13</v>
      </c>
      <c r="P300" s="7">
        <v>5</v>
      </c>
      <c r="Q300" s="7">
        <v>6</v>
      </c>
      <c r="R300" s="7">
        <f t="shared" si="26"/>
        <v>33</v>
      </c>
      <c r="S300" t="s">
        <v>36</v>
      </c>
      <c r="T300" s="7">
        <v>9</v>
      </c>
      <c r="U300" s="7">
        <v>15</v>
      </c>
      <c r="V300" s="7">
        <v>7</v>
      </c>
      <c r="W300" s="7">
        <v>6</v>
      </c>
      <c r="X300" s="7">
        <f t="shared" si="27"/>
        <v>37</v>
      </c>
      <c r="Y300" t="s">
        <v>42</v>
      </c>
      <c r="Z300">
        <v>35203.150895589999</v>
      </c>
      <c r="AA300" t="s">
        <v>712</v>
      </c>
      <c r="AB300" t="e">
        <v>#N/A</v>
      </c>
      <c r="AF300" t="e">
        <v>#N/A</v>
      </c>
      <c r="AG300" s="8">
        <v>106</v>
      </c>
      <c r="AH300">
        <v>4</v>
      </c>
      <c r="AI300">
        <v>4</v>
      </c>
      <c r="AJ300">
        <v>0</v>
      </c>
      <c r="AK300">
        <v>3.7735849056603772E-2</v>
      </c>
      <c r="AL300">
        <v>0.38851434494290565</v>
      </c>
      <c r="AM300">
        <v>0</v>
      </c>
      <c r="AN300">
        <v>0</v>
      </c>
      <c r="AO300">
        <v>0.12121212121212122</v>
      </c>
      <c r="AP300">
        <v>0.12121212121212122</v>
      </c>
      <c r="AQ300">
        <v>0.18181818181818182</v>
      </c>
      <c r="AR300">
        <v>0.27272727272727271</v>
      </c>
      <c r="AS300">
        <v>0.39393939393939392</v>
      </c>
      <c r="AT300">
        <v>0.15151515151515152</v>
      </c>
      <c r="AU300">
        <v>44886.764572889995</v>
      </c>
      <c r="AV300" t="s">
        <v>489</v>
      </c>
      <c r="AW300" t="str">
        <f t="shared" si="28"/>
        <v>n/a</v>
      </c>
      <c r="AY300" t="e">
        <f t="shared" si="29"/>
        <v>#N/A</v>
      </c>
      <c r="AZ300" t="e">
        <v>#N/A</v>
      </c>
      <c r="BA300">
        <v>2</v>
      </c>
      <c r="BB300">
        <v>2018</v>
      </c>
      <c r="BC300">
        <v>2</v>
      </c>
      <c r="BD300">
        <v>2018</v>
      </c>
      <c r="BE300">
        <v>1</v>
      </c>
      <c r="BF300">
        <v>2018</v>
      </c>
    </row>
    <row r="301" spans="1:58" x14ac:dyDescent="0.2">
      <c r="A301" s="7">
        <v>20</v>
      </c>
      <c r="B301" s="7">
        <v>40</v>
      </c>
      <c r="C301" s="7">
        <v>9</v>
      </c>
      <c r="D301" s="7">
        <v>22</v>
      </c>
      <c r="E301" s="7">
        <f t="shared" si="24"/>
        <v>91</v>
      </c>
      <c r="F301" s="11" t="s">
        <v>36</v>
      </c>
      <c r="G301">
        <v>20</v>
      </c>
      <c r="H301">
        <v>40</v>
      </c>
      <c r="I301">
        <v>9</v>
      </c>
      <c r="J301">
        <v>22</v>
      </c>
      <c r="K301">
        <f t="shared" si="25"/>
        <v>91</v>
      </c>
      <c r="L301" t="s">
        <v>36</v>
      </c>
      <c r="M301">
        <v>13972.51907217</v>
      </c>
      <c r="N301" s="7">
        <v>20</v>
      </c>
      <c r="O301" s="7">
        <v>40</v>
      </c>
      <c r="P301" s="7">
        <v>9</v>
      </c>
      <c r="Q301" s="7">
        <v>22</v>
      </c>
      <c r="R301" s="7">
        <f t="shared" si="26"/>
        <v>91</v>
      </c>
      <c r="S301" t="s">
        <v>36</v>
      </c>
      <c r="T301" s="7">
        <v>20</v>
      </c>
      <c r="U301" s="7">
        <v>40</v>
      </c>
      <c r="V301" s="7">
        <v>9</v>
      </c>
      <c r="W301" s="7">
        <v>22</v>
      </c>
      <c r="X301" s="7">
        <f t="shared" si="27"/>
        <v>91</v>
      </c>
      <c r="Y301" t="s">
        <v>36</v>
      </c>
      <c r="Z301">
        <v>5201.5392049700004</v>
      </c>
      <c r="AA301" t="s">
        <v>713</v>
      </c>
      <c r="AB301">
        <v>46</v>
      </c>
      <c r="AC301">
        <v>0</v>
      </c>
      <c r="AD301" t="s">
        <v>222</v>
      </c>
      <c r="AE301" t="s">
        <v>41</v>
      </c>
      <c r="AF301">
        <v>171</v>
      </c>
      <c r="AG301" s="8">
        <v>0</v>
      </c>
      <c r="AH301">
        <v>0</v>
      </c>
      <c r="AI301">
        <v>0</v>
      </c>
      <c r="AJ301">
        <v>0</v>
      </c>
      <c r="AK301" t="e">
        <v>#N/A</v>
      </c>
      <c r="AL301" t="e">
        <v>#N/A</v>
      </c>
      <c r="AM301">
        <v>0</v>
      </c>
      <c r="AN301">
        <v>0</v>
      </c>
      <c r="AO301">
        <v>0</v>
      </c>
      <c r="AP301">
        <v>0</v>
      </c>
      <c r="AQ301">
        <v>0.24175824175824176</v>
      </c>
      <c r="AR301">
        <v>0.21978021978021978</v>
      </c>
      <c r="AS301">
        <v>0.43956043956043955</v>
      </c>
      <c r="AT301">
        <v>9.8901098901098897E-2</v>
      </c>
      <c r="AU301">
        <v>19174.05827714</v>
      </c>
      <c r="AV301">
        <v>4</v>
      </c>
      <c r="AW301">
        <f t="shared" si="28"/>
        <v>0</v>
      </c>
      <c r="AX301">
        <v>0</v>
      </c>
      <c r="AY301">
        <f t="shared" si="29"/>
        <v>0</v>
      </c>
      <c r="AZ301">
        <v>0</v>
      </c>
      <c r="BA301">
        <v>1</v>
      </c>
      <c r="BB301">
        <v>2019</v>
      </c>
      <c r="BC301">
        <v>6</v>
      </c>
      <c r="BD301">
        <v>2019</v>
      </c>
      <c r="BE301">
        <v>11</v>
      </c>
      <c r="BF301">
        <v>2019</v>
      </c>
    </row>
    <row r="302" spans="1:58" x14ac:dyDescent="0.2">
      <c r="A302" s="7">
        <v>3</v>
      </c>
      <c r="B302" s="7">
        <v>11</v>
      </c>
      <c r="C302" s="7">
        <v>3</v>
      </c>
      <c r="D302" s="7">
        <v>4</v>
      </c>
      <c r="E302" s="7">
        <f t="shared" si="24"/>
        <v>21</v>
      </c>
      <c r="F302" s="11" t="e">
        <v>#N/A</v>
      </c>
      <c r="G302">
        <v>3</v>
      </c>
      <c r="H302">
        <v>11</v>
      </c>
      <c r="I302">
        <v>2</v>
      </c>
      <c r="J302">
        <v>0</v>
      </c>
      <c r="K302">
        <f t="shared" si="25"/>
        <v>16</v>
      </c>
      <c r="L302" t="e">
        <v>#N/A</v>
      </c>
      <c r="M302">
        <v>32926.439389300001</v>
      </c>
      <c r="N302" s="7">
        <v>4</v>
      </c>
      <c r="O302" s="7">
        <v>11</v>
      </c>
      <c r="P302" s="7">
        <v>3</v>
      </c>
      <c r="Q302" s="7">
        <v>3</v>
      </c>
      <c r="R302" s="7">
        <f t="shared" si="26"/>
        <v>21</v>
      </c>
      <c r="S302" t="e">
        <v>#N/A</v>
      </c>
      <c r="T302" s="7">
        <v>4</v>
      </c>
      <c r="U302" s="7">
        <v>11</v>
      </c>
      <c r="V302" s="7">
        <v>3</v>
      </c>
      <c r="W302" s="7">
        <v>3</v>
      </c>
      <c r="X302" s="7">
        <f t="shared" si="27"/>
        <v>21</v>
      </c>
      <c r="Y302" t="e">
        <v>#N/A</v>
      </c>
      <c r="Z302">
        <v>102657.84321306</v>
      </c>
      <c r="AA302" t="s">
        <v>223</v>
      </c>
      <c r="AB302">
        <v>15</v>
      </c>
      <c r="AC302">
        <v>96</v>
      </c>
      <c r="AD302" t="s">
        <v>57</v>
      </c>
      <c r="AE302" t="s">
        <v>75</v>
      </c>
      <c r="AF302">
        <v>221</v>
      </c>
      <c r="AG302" s="8">
        <v>0</v>
      </c>
      <c r="AH302">
        <v>0</v>
      </c>
      <c r="AI302">
        <v>0</v>
      </c>
      <c r="AJ302">
        <v>-5</v>
      </c>
      <c r="AK302" t="e">
        <v>#N/A</v>
      </c>
      <c r="AL302" t="e">
        <v>#N/A</v>
      </c>
      <c r="AM302">
        <v>5</v>
      </c>
      <c r="AN302">
        <v>0</v>
      </c>
      <c r="AO302">
        <v>0</v>
      </c>
      <c r="AP302">
        <v>0</v>
      </c>
      <c r="AQ302">
        <v>0.19047619047619047</v>
      </c>
      <c r="AR302">
        <v>0.14285714285714285</v>
      </c>
      <c r="AS302">
        <v>0.52380952380952384</v>
      </c>
      <c r="AT302">
        <v>0.14285714285714285</v>
      </c>
      <c r="AU302">
        <v>135584.28260236001</v>
      </c>
      <c r="AV302">
        <v>15</v>
      </c>
      <c r="AW302">
        <f t="shared" si="28"/>
        <v>1</v>
      </c>
      <c r="AX302">
        <v>96</v>
      </c>
      <c r="AY302">
        <f t="shared" si="29"/>
        <v>1</v>
      </c>
      <c r="AZ302">
        <v>0.43438914027149322</v>
      </c>
      <c r="BA302">
        <v>1</v>
      </c>
      <c r="BB302">
        <v>2020</v>
      </c>
      <c r="BC302">
        <v>8</v>
      </c>
      <c r="BD302">
        <v>2020</v>
      </c>
      <c r="BE302">
        <v>1</v>
      </c>
      <c r="BF302">
        <v>2020</v>
      </c>
    </row>
    <row r="303" spans="1:58" x14ac:dyDescent="0.2">
      <c r="A303" s="7">
        <v>18</v>
      </c>
      <c r="B303" s="7">
        <v>40</v>
      </c>
      <c r="C303" s="7">
        <v>9</v>
      </c>
      <c r="D303" s="7">
        <v>19</v>
      </c>
      <c r="E303" s="7">
        <f t="shared" si="24"/>
        <v>86</v>
      </c>
      <c r="F303" s="11" t="s">
        <v>36</v>
      </c>
      <c r="G303">
        <v>18</v>
      </c>
      <c r="H303">
        <v>40</v>
      </c>
      <c r="I303">
        <v>9</v>
      </c>
      <c r="J303">
        <v>19</v>
      </c>
      <c r="K303">
        <f t="shared" si="25"/>
        <v>86</v>
      </c>
      <c r="L303" t="s">
        <v>36</v>
      </c>
      <c r="M303">
        <v>4155.75864</v>
      </c>
      <c r="N303" s="7">
        <v>18</v>
      </c>
      <c r="O303" s="7">
        <v>40</v>
      </c>
      <c r="P303" s="7">
        <v>9</v>
      </c>
      <c r="Q303" s="7">
        <v>19</v>
      </c>
      <c r="R303" s="7">
        <f t="shared" si="26"/>
        <v>86</v>
      </c>
      <c r="S303" t="s">
        <v>36</v>
      </c>
      <c r="T303" s="7">
        <v>18</v>
      </c>
      <c r="U303" s="7">
        <v>40</v>
      </c>
      <c r="V303" s="7">
        <v>9</v>
      </c>
      <c r="W303" s="7">
        <v>19</v>
      </c>
      <c r="X303" s="7">
        <f t="shared" si="27"/>
        <v>86</v>
      </c>
      <c r="Y303" t="s">
        <v>36</v>
      </c>
      <c r="Z303">
        <v>4743.1265999999996</v>
      </c>
      <c r="AA303" t="s">
        <v>714</v>
      </c>
      <c r="AB303">
        <v>64</v>
      </c>
      <c r="AC303">
        <v>0</v>
      </c>
      <c r="AD303" t="s">
        <v>99</v>
      </c>
      <c r="AE303" t="s">
        <v>41</v>
      </c>
      <c r="AF303" t="e">
        <v>#N/A</v>
      </c>
      <c r="AG303" s="8">
        <v>153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0.22093023255813954</v>
      </c>
      <c r="AR303">
        <v>0.20930232558139536</v>
      </c>
      <c r="AS303">
        <v>0.46511627906976744</v>
      </c>
      <c r="AT303">
        <v>0.10465116279069768</v>
      </c>
      <c r="AU303">
        <v>8898.8852399999996</v>
      </c>
      <c r="AV303">
        <v>7</v>
      </c>
      <c r="AW303">
        <f t="shared" si="28"/>
        <v>0</v>
      </c>
      <c r="AX303">
        <v>0</v>
      </c>
      <c r="AY303">
        <f t="shared" si="29"/>
        <v>0</v>
      </c>
      <c r="AZ303" t="e">
        <v>#N/A</v>
      </c>
      <c r="BA303">
        <v>9</v>
      </c>
      <c r="BB303">
        <v>2019</v>
      </c>
      <c r="BC303">
        <v>9</v>
      </c>
      <c r="BD303">
        <v>2019</v>
      </c>
      <c r="BE303">
        <v>4</v>
      </c>
      <c r="BF303">
        <v>2019</v>
      </c>
    </row>
    <row r="304" spans="1:58" x14ac:dyDescent="0.2">
      <c r="A304" s="7">
        <v>10</v>
      </c>
      <c r="B304" s="7">
        <v>27</v>
      </c>
      <c r="C304" s="7">
        <v>5</v>
      </c>
      <c r="D304" s="7">
        <v>3</v>
      </c>
      <c r="E304" s="7">
        <f t="shared" si="24"/>
        <v>45</v>
      </c>
      <c r="F304" s="11" t="e">
        <v>#N/A</v>
      </c>
      <c r="G304">
        <v>8</v>
      </c>
      <c r="H304">
        <v>21</v>
      </c>
      <c r="I304">
        <v>3</v>
      </c>
      <c r="J304">
        <v>1</v>
      </c>
      <c r="K304">
        <f t="shared" si="25"/>
        <v>33</v>
      </c>
      <c r="L304" t="e">
        <v>#N/A</v>
      </c>
      <c r="M304">
        <v>21993.63458518</v>
      </c>
      <c r="N304" s="7">
        <v>11</v>
      </c>
      <c r="O304" s="7">
        <v>27</v>
      </c>
      <c r="P304" s="7">
        <v>5</v>
      </c>
      <c r="Q304" s="7">
        <v>7</v>
      </c>
      <c r="R304" s="7">
        <f t="shared" si="26"/>
        <v>50</v>
      </c>
      <c r="S304" t="e">
        <v>#N/A</v>
      </c>
      <c r="T304" s="7">
        <v>17</v>
      </c>
      <c r="U304" s="7">
        <v>33</v>
      </c>
      <c r="V304" s="7">
        <v>9</v>
      </c>
      <c r="W304" s="7">
        <v>7</v>
      </c>
      <c r="X304" s="7">
        <f t="shared" si="27"/>
        <v>66</v>
      </c>
      <c r="Y304" t="e">
        <v>#N/A</v>
      </c>
      <c r="Z304">
        <v>27466.223549030001</v>
      </c>
      <c r="AA304" t="s">
        <v>224</v>
      </c>
      <c r="AB304">
        <v>50</v>
      </c>
      <c r="AC304">
        <v>0</v>
      </c>
      <c r="AD304" t="s">
        <v>40</v>
      </c>
      <c r="AE304" t="s">
        <v>41</v>
      </c>
      <c r="AF304">
        <v>225</v>
      </c>
      <c r="AG304" s="8">
        <v>278</v>
      </c>
      <c r="AH304">
        <v>16</v>
      </c>
      <c r="AI304">
        <v>21</v>
      </c>
      <c r="AJ304">
        <v>-12</v>
      </c>
      <c r="AK304">
        <v>5.7553956834532377E-2</v>
      </c>
      <c r="AL304">
        <v>0.95961623024650755</v>
      </c>
      <c r="AM304">
        <v>17</v>
      </c>
      <c r="AN304">
        <v>0</v>
      </c>
      <c r="AO304">
        <v>0.32</v>
      </c>
      <c r="AP304">
        <v>0.35555555555555557</v>
      </c>
      <c r="AQ304">
        <v>6.6666666666666666E-2</v>
      </c>
      <c r="AR304">
        <v>0.22222222222222221</v>
      </c>
      <c r="AS304">
        <v>0.6</v>
      </c>
      <c r="AT304">
        <v>0.1111111111111111</v>
      </c>
      <c r="AU304">
        <v>49459.858134210001</v>
      </c>
      <c r="AV304">
        <v>11</v>
      </c>
      <c r="AW304">
        <f t="shared" si="28"/>
        <v>1</v>
      </c>
      <c r="AX304">
        <v>0</v>
      </c>
      <c r="AY304">
        <f t="shared" si="29"/>
        <v>0</v>
      </c>
      <c r="AZ304">
        <v>0</v>
      </c>
      <c r="BA304">
        <v>1</v>
      </c>
      <c r="BB304">
        <v>2020</v>
      </c>
      <c r="BC304">
        <v>8</v>
      </c>
      <c r="BD304">
        <v>2020</v>
      </c>
      <c r="BE304">
        <v>1</v>
      </c>
      <c r="BF304">
        <v>2020</v>
      </c>
    </row>
    <row r="305" spans="1:58" x14ac:dyDescent="0.2">
      <c r="A305" s="7">
        <v>0</v>
      </c>
      <c r="B305" s="7">
        <v>0</v>
      </c>
      <c r="C305" s="7">
        <v>0</v>
      </c>
      <c r="D305" s="7">
        <v>0</v>
      </c>
      <c r="E305" s="7">
        <f t="shared" si="24"/>
        <v>0</v>
      </c>
      <c r="F305" s="11" t="e">
        <v>#N/A</v>
      </c>
      <c r="G305">
        <v>0</v>
      </c>
      <c r="H305">
        <v>0</v>
      </c>
      <c r="I305">
        <v>0</v>
      </c>
      <c r="J305">
        <v>0</v>
      </c>
      <c r="K305">
        <f t="shared" si="25"/>
        <v>0</v>
      </c>
      <c r="L305" t="e">
        <v>#N/A</v>
      </c>
      <c r="N305" s="7">
        <v>0</v>
      </c>
      <c r="O305" s="7">
        <v>10</v>
      </c>
      <c r="P305" s="7">
        <v>0</v>
      </c>
      <c r="Q305" s="7">
        <v>0</v>
      </c>
      <c r="R305" s="7">
        <f t="shared" si="26"/>
        <v>10</v>
      </c>
      <c r="S305" t="s">
        <v>32</v>
      </c>
      <c r="T305" s="7">
        <v>0</v>
      </c>
      <c r="U305" s="7">
        <v>10</v>
      </c>
      <c r="V305" s="7">
        <v>0</v>
      </c>
      <c r="W305" s="7">
        <v>0</v>
      </c>
      <c r="X305" s="7">
        <f t="shared" si="27"/>
        <v>10</v>
      </c>
      <c r="Y305" t="s">
        <v>32</v>
      </c>
      <c r="Z305">
        <v>16218.3778279</v>
      </c>
      <c r="AA305" t="s">
        <v>715</v>
      </c>
      <c r="AB305">
        <v>29</v>
      </c>
      <c r="AC305">
        <v>0</v>
      </c>
      <c r="AD305" t="s">
        <v>210</v>
      </c>
      <c r="AE305" t="s">
        <v>75</v>
      </c>
      <c r="AF305" t="e">
        <v>#N/A</v>
      </c>
      <c r="AG305" s="8">
        <v>69</v>
      </c>
      <c r="AH305">
        <v>0</v>
      </c>
      <c r="AI305">
        <v>10</v>
      </c>
      <c r="AJ305">
        <v>0</v>
      </c>
      <c r="AK305">
        <v>0</v>
      </c>
      <c r="AL305">
        <v>0</v>
      </c>
      <c r="AM305">
        <v>10</v>
      </c>
      <c r="AN305">
        <v>0</v>
      </c>
      <c r="AO305">
        <v>0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>
        <v>16218.3778279</v>
      </c>
      <c r="AV305">
        <v>4</v>
      </c>
      <c r="AW305">
        <f t="shared" si="28"/>
        <v>0</v>
      </c>
      <c r="AX305">
        <v>0</v>
      </c>
      <c r="AY305">
        <f t="shared" si="29"/>
        <v>0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>
        <v>5</v>
      </c>
      <c r="BF305">
        <v>2019</v>
      </c>
    </row>
    <row r="306" spans="1:58" x14ac:dyDescent="0.2">
      <c r="A306" s="7">
        <v>0</v>
      </c>
      <c r="B306" s="7">
        <v>7</v>
      </c>
      <c r="C306" s="7">
        <v>0</v>
      </c>
      <c r="D306" s="7">
        <v>2</v>
      </c>
      <c r="E306" s="7">
        <f t="shared" si="24"/>
        <v>9</v>
      </c>
      <c r="F306" s="11" t="s">
        <v>53</v>
      </c>
      <c r="G306">
        <v>0</v>
      </c>
      <c r="H306">
        <v>7</v>
      </c>
      <c r="I306">
        <v>0</v>
      </c>
      <c r="J306">
        <v>2</v>
      </c>
      <c r="K306">
        <f t="shared" si="25"/>
        <v>9</v>
      </c>
      <c r="L306" t="s">
        <v>53</v>
      </c>
      <c r="M306">
        <v>25879.263623520001</v>
      </c>
      <c r="N306" s="7">
        <v>0</v>
      </c>
      <c r="O306" s="7">
        <v>7</v>
      </c>
      <c r="P306" s="7">
        <v>0</v>
      </c>
      <c r="Q306" s="7">
        <v>2</v>
      </c>
      <c r="R306" s="7">
        <f t="shared" si="26"/>
        <v>9</v>
      </c>
      <c r="S306" t="s">
        <v>53</v>
      </c>
      <c r="T306" s="7">
        <v>0</v>
      </c>
      <c r="U306" s="7">
        <v>9</v>
      </c>
      <c r="V306" s="7">
        <v>0</v>
      </c>
      <c r="W306" s="7">
        <v>2</v>
      </c>
      <c r="X306" s="7">
        <f t="shared" si="27"/>
        <v>11</v>
      </c>
      <c r="Y306" t="s">
        <v>53</v>
      </c>
      <c r="Z306">
        <v>119981.9156825</v>
      </c>
      <c r="AA306" t="s">
        <v>716</v>
      </c>
      <c r="AB306" t="e">
        <v>#N/A</v>
      </c>
      <c r="AF306" t="e">
        <v>#N/A</v>
      </c>
      <c r="AG306" s="8">
        <v>315</v>
      </c>
      <c r="AH306">
        <v>2</v>
      </c>
      <c r="AI306">
        <v>2</v>
      </c>
      <c r="AJ306">
        <v>0</v>
      </c>
      <c r="AK306">
        <v>6.3492063492063492E-3</v>
      </c>
      <c r="AL306">
        <v>0.1126872339638022</v>
      </c>
      <c r="AM306">
        <v>0</v>
      </c>
      <c r="AN306">
        <v>0</v>
      </c>
      <c r="AO306">
        <v>0.22222222222222221</v>
      </c>
      <c r="AP306">
        <v>0.22222222222222221</v>
      </c>
      <c r="AQ306">
        <v>0.22222222222222221</v>
      </c>
      <c r="AR306">
        <v>0</v>
      </c>
      <c r="AS306">
        <v>0.77777777777777779</v>
      </c>
      <c r="AT306">
        <v>0</v>
      </c>
      <c r="AU306">
        <v>145861.17930602</v>
      </c>
      <c r="AV306" t="s">
        <v>489</v>
      </c>
      <c r="AW306" t="str">
        <f t="shared" si="28"/>
        <v>n/a</v>
      </c>
      <c r="AY306" t="e">
        <f t="shared" si="29"/>
        <v>#N/A</v>
      </c>
      <c r="AZ306" t="e">
        <v>#N/A</v>
      </c>
      <c r="BA306">
        <v>7</v>
      </c>
      <c r="BB306">
        <v>2018</v>
      </c>
      <c r="BC306">
        <v>7</v>
      </c>
      <c r="BD306">
        <v>2018</v>
      </c>
      <c r="BE306">
        <v>1</v>
      </c>
      <c r="BF306">
        <v>2018</v>
      </c>
    </row>
    <row r="307" spans="1:58" x14ac:dyDescent="0.2">
      <c r="A307" s="7">
        <v>0</v>
      </c>
      <c r="B307" s="7">
        <v>2</v>
      </c>
      <c r="C307" s="7">
        <v>0</v>
      </c>
      <c r="D307" s="7">
        <v>2</v>
      </c>
      <c r="E307" s="7">
        <f t="shared" si="24"/>
        <v>4</v>
      </c>
      <c r="F307" s="11" t="s">
        <v>42</v>
      </c>
      <c r="G307">
        <v>0</v>
      </c>
      <c r="H307">
        <v>2</v>
      </c>
      <c r="I307">
        <v>0</v>
      </c>
      <c r="J307">
        <v>2</v>
      </c>
      <c r="K307">
        <f t="shared" si="25"/>
        <v>4</v>
      </c>
      <c r="L307" t="s">
        <v>42</v>
      </c>
      <c r="M307">
        <v>13732.25842075</v>
      </c>
      <c r="N307" s="7">
        <v>0</v>
      </c>
      <c r="O307" s="7">
        <v>13</v>
      </c>
      <c r="P307" s="7">
        <v>0</v>
      </c>
      <c r="Q307" s="7">
        <v>2</v>
      </c>
      <c r="R307" s="7">
        <f t="shared" si="26"/>
        <v>15</v>
      </c>
      <c r="S307" t="s">
        <v>42</v>
      </c>
      <c r="T307" s="7">
        <v>0</v>
      </c>
      <c r="U307" s="7">
        <v>13</v>
      </c>
      <c r="V307" s="7">
        <v>0</v>
      </c>
      <c r="W307" s="7">
        <v>2</v>
      </c>
      <c r="X307" s="7">
        <f t="shared" si="27"/>
        <v>15</v>
      </c>
      <c r="Y307" t="s">
        <v>42</v>
      </c>
      <c r="Z307">
        <v>14420.96906589</v>
      </c>
      <c r="AA307" t="s">
        <v>717</v>
      </c>
      <c r="AB307">
        <v>57</v>
      </c>
      <c r="AC307">
        <v>0</v>
      </c>
      <c r="AD307" t="s">
        <v>225</v>
      </c>
      <c r="AE307" t="s">
        <v>41</v>
      </c>
      <c r="AF307">
        <v>283</v>
      </c>
      <c r="AG307" s="8">
        <v>0</v>
      </c>
      <c r="AH307">
        <v>0</v>
      </c>
      <c r="AI307">
        <v>11</v>
      </c>
      <c r="AJ307">
        <v>0</v>
      </c>
      <c r="AK307" t="e">
        <v>#N/A</v>
      </c>
      <c r="AL307" t="e">
        <v>#N/A</v>
      </c>
      <c r="AM307">
        <v>11</v>
      </c>
      <c r="AN307">
        <v>0</v>
      </c>
      <c r="AO307">
        <v>0</v>
      </c>
      <c r="AP307">
        <v>0</v>
      </c>
      <c r="AQ307">
        <v>0.5</v>
      </c>
      <c r="AR307">
        <v>0</v>
      </c>
      <c r="AS307">
        <v>0.5</v>
      </c>
      <c r="AT307">
        <v>0</v>
      </c>
      <c r="AU307">
        <v>28153.22748664</v>
      </c>
      <c r="AV307">
        <v>5</v>
      </c>
      <c r="AW307">
        <f t="shared" si="28"/>
        <v>0</v>
      </c>
      <c r="AX307">
        <v>0</v>
      </c>
      <c r="AY307">
        <f t="shared" si="29"/>
        <v>0</v>
      </c>
      <c r="AZ307">
        <v>0</v>
      </c>
      <c r="BA307">
        <v>2</v>
      </c>
      <c r="BB307">
        <v>2019</v>
      </c>
      <c r="BC307">
        <v>11</v>
      </c>
      <c r="BD307">
        <v>2019</v>
      </c>
      <c r="BE307">
        <v>12</v>
      </c>
      <c r="BF307">
        <v>2019</v>
      </c>
    </row>
    <row r="308" spans="1:58" x14ac:dyDescent="0.2">
      <c r="A308" s="7">
        <v>1</v>
      </c>
      <c r="B308" s="7">
        <v>16</v>
      </c>
      <c r="C308" s="7">
        <v>0</v>
      </c>
      <c r="D308" s="7">
        <v>2</v>
      </c>
      <c r="E308" s="7">
        <f t="shared" si="24"/>
        <v>19</v>
      </c>
      <c r="F308" s="11" t="s">
        <v>36</v>
      </c>
      <c r="G308">
        <v>0</v>
      </c>
      <c r="H308">
        <v>16</v>
      </c>
      <c r="I308">
        <v>0</v>
      </c>
      <c r="J308">
        <v>2</v>
      </c>
      <c r="K308">
        <f t="shared" si="25"/>
        <v>18</v>
      </c>
      <c r="L308" t="s">
        <v>36</v>
      </c>
      <c r="M308">
        <v>36669.003840650003</v>
      </c>
      <c r="N308" s="7">
        <v>0</v>
      </c>
      <c r="O308" s="7">
        <v>11</v>
      </c>
      <c r="P308" s="7">
        <v>0</v>
      </c>
      <c r="Q308" s="7">
        <v>3</v>
      </c>
      <c r="R308" s="7">
        <f t="shared" si="26"/>
        <v>14</v>
      </c>
      <c r="S308" t="s">
        <v>54</v>
      </c>
      <c r="T308" s="7">
        <v>0</v>
      </c>
      <c r="U308" s="7">
        <v>16</v>
      </c>
      <c r="V308" s="7">
        <v>0</v>
      </c>
      <c r="W308" s="7">
        <v>2</v>
      </c>
      <c r="X308" s="7">
        <f t="shared" si="27"/>
        <v>18</v>
      </c>
      <c r="Y308" t="s">
        <v>36</v>
      </c>
      <c r="Z308">
        <v>41516.858659999998</v>
      </c>
      <c r="AA308" t="s">
        <v>718</v>
      </c>
      <c r="AB308" t="e">
        <v>#N/A</v>
      </c>
      <c r="AF308">
        <v>27</v>
      </c>
      <c r="AG308" s="8">
        <v>107</v>
      </c>
      <c r="AH308">
        <v>4</v>
      </c>
      <c r="AI308">
        <v>-1</v>
      </c>
      <c r="AJ308">
        <v>-1</v>
      </c>
      <c r="AK308">
        <v>3.7383177570093455E-2</v>
      </c>
      <c r="AL308">
        <v>0.38669459561826541</v>
      </c>
      <c r="AM308">
        <v>-4</v>
      </c>
      <c r="AN308">
        <v>1</v>
      </c>
      <c r="AO308">
        <v>0.2857142857142857</v>
      </c>
      <c r="AP308">
        <v>0.21052631578947367</v>
      </c>
      <c r="AQ308">
        <v>0.10526315789473684</v>
      </c>
      <c r="AR308">
        <v>5.2631578947368418E-2</v>
      </c>
      <c r="AS308">
        <v>0.84210526315789469</v>
      </c>
      <c r="AT308">
        <v>0</v>
      </c>
      <c r="AU308">
        <v>78185.862500649993</v>
      </c>
      <c r="AV308" t="s">
        <v>489</v>
      </c>
      <c r="AW308" t="str">
        <f t="shared" si="28"/>
        <v>n/a</v>
      </c>
      <c r="AY308" t="e">
        <f t="shared" si="29"/>
        <v>#N/A</v>
      </c>
      <c r="AZ308" t="e">
        <v>#N/A</v>
      </c>
      <c r="BA308">
        <v>8</v>
      </c>
      <c r="BB308">
        <v>2018</v>
      </c>
      <c r="BC308">
        <v>9</v>
      </c>
      <c r="BD308">
        <v>2018</v>
      </c>
      <c r="BE308">
        <v>6</v>
      </c>
      <c r="BF308">
        <v>2018</v>
      </c>
    </row>
    <row r="309" spans="1:58" x14ac:dyDescent="0.2">
      <c r="A309" s="7">
        <v>0</v>
      </c>
      <c r="B309" s="7">
        <v>14</v>
      </c>
      <c r="C309" s="7">
        <v>0</v>
      </c>
      <c r="D309" s="7">
        <v>3</v>
      </c>
      <c r="E309" s="7">
        <f t="shared" si="24"/>
        <v>17</v>
      </c>
      <c r="F309" s="11" t="s">
        <v>68</v>
      </c>
      <c r="G309">
        <v>4</v>
      </c>
      <c r="H309">
        <v>11</v>
      </c>
      <c r="I309">
        <v>0</v>
      </c>
      <c r="J309">
        <v>3</v>
      </c>
      <c r="K309">
        <f t="shared" si="25"/>
        <v>18</v>
      </c>
      <c r="L309" t="s">
        <v>68</v>
      </c>
      <c r="M309">
        <v>13974.480960000001</v>
      </c>
      <c r="N309" s="7">
        <v>0</v>
      </c>
      <c r="O309" s="7">
        <v>14</v>
      </c>
      <c r="P309" s="7">
        <v>0</v>
      </c>
      <c r="Q309" s="7">
        <v>3</v>
      </c>
      <c r="R309" s="7">
        <f t="shared" si="26"/>
        <v>17</v>
      </c>
      <c r="S309" t="s">
        <v>68</v>
      </c>
      <c r="T309" s="7">
        <v>0</v>
      </c>
      <c r="U309" s="7">
        <v>14</v>
      </c>
      <c r="V309" s="7">
        <v>0</v>
      </c>
      <c r="W309" s="7">
        <v>3</v>
      </c>
      <c r="X309" s="7">
        <f t="shared" si="27"/>
        <v>17</v>
      </c>
      <c r="Y309" t="s">
        <v>68</v>
      </c>
      <c r="Z309">
        <v>25696.787209760001</v>
      </c>
      <c r="AA309" t="s">
        <v>719</v>
      </c>
      <c r="AB309">
        <v>57</v>
      </c>
      <c r="AC309">
        <v>0</v>
      </c>
      <c r="AD309" t="s">
        <v>99</v>
      </c>
      <c r="AE309" t="s">
        <v>41</v>
      </c>
      <c r="AF309">
        <v>231</v>
      </c>
      <c r="AG309" s="8">
        <v>0</v>
      </c>
      <c r="AH309">
        <v>0</v>
      </c>
      <c r="AI309">
        <v>0</v>
      </c>
      <c r="AJ309">
        <v>1</v>
      </c>
      <c r="AK309" t="e">
        <v>#N/A</v>
      </c>
      <c r="AL309" t="e">
        <v>#N/A</v>
      </c>
      <c r="AM309">
        <v>-1</v>
      </c>
      <c r="AN309">
        <v>1</v>
      </c>
      <c r="AO309">
        <v>0</v>
      </c>
      <c r="AP309">
        <v>0</v>
      </c>
      <c r="AQ309">
        <v>0.17647058823529413</v>
      </c>
      <c r="AR309">
        <v>0</v>
      </c>
      <c r="AS309">
        <v>0.82352941176470584</v>
      </c>
      <c r="AT309">
        <v>0</v>
      </c>
      <c r="AU309">
        <v>39671.268169760006</v>
      </c>
      <c r="AV309">
        <v>10</v>
      </c>
      <c r="AW309">
        <f t="shared" si="28"/>
        <v>1</v>
      </c>
      <c r="AX309">
        <v>0</v>
      </c>
      <c r="AY309">
        <f t="shared" si="29"/>
        <v>0</v>
      </c>
      <c r="AZ309">
        <v>0</v>
      </c>
      <c r="BA309">
        <v>1</v>
      </c>
      <c r="BB309">
        <v>2019</v>
      </c>
      <c r="BC309">
        <v>8</v>
      </c>
      <c r="BD309">
        <v>2019</v>
      </c>
      <c r="BE309">
        <v>1</v>
      </c>
      <c r="BF309">
        <v>2019</v>
      </c>
    </row>
    <row r="310" spans="1:58" x14ac:dyDescent="0.2">
      <c r="A310" s="7">
        <v>7</v>
      </c>
      <c r="B310" s="7">
        <v>15</v>
      </c>
      <c r="C310" s="7">
        <v>5</v>
      </c>
      <c r="D310" s="7">
        <v>7</v>
      </c>
      <c r="E310" s="7">
        <f t="shared" si="24"/>
        <v>34</v>
      </c>
      <c r="F310" s="11" t="s">
        <v>36</v>
      </c>
      <c r="G310">
        <v>7</v>
      </c>
      <c r="H310">
        <v>15</v>
      </c>
      <c r="I310">
        <v>5</v>
      </c>
      <c r="J310">
        <v>7</v>
      </c>
      <c r="K310">
        <f t="shared" si="25"/>
        <v>34</v>
      </c>
      <c r="L310" t="s">
        <v>36</v>
      </c>
      <c r="M310">
        <v>7352.7136200000004</v>
      </c>
      <c r="N310" s="7">
        <v>7</v>
      </c>
      <c r="O310" s="7">
        <v>21</v>
      </c>
      <c r="P310" s="7">
        <v>2</v>
      </c>
      <c r="Q310" s="7">
        <v>5</v>
      </c>
      <c r="R310" s="7">
        <f t="shared" si="26"/>
        <v>35</v>
      </c>
      <c r="S310" t="e">
        <v>#N/A</v>
      </c>
      <c r="T310" s="7">
        <v>7</v>
      </c>
      <c r="U310" s="7">
        <v>15</v>
      </c>
      <c r="V310" s="7">
        <v>2</v>
      </c>
      <c r="W310" s="7">
        <v>5</v>
      </c>
      <c r="X310" s="7">
        <f t="shared" si="27"/>
        <v>29</v>
      </c>
      <c r="Y310" t="s">
        <v>36</v>
      </c>
      <c r="Z310">
        <v>19133.345026319999</v>
      </c>
      <c r="AA310" t="s">
        <v>720</v>
      </c>
      <c r="AB310" t="e">
        <v>#N/A</v>
      </c>
      <c r="AF310" t="e">
        <v>#N/A</v>
      </c>
      <c r="AG310" s="8">
        <v>109</v>
      </c>
      <c r="AH310">
        <v>-6</v>
      </c>
      <c r="AI310">
        <v>-5</v>
      </c>
      <c r="AJ310">
        <v>0</v>
      </c>
      <c r="AK310">
        <v>-5.5045871559633031E-2</v>
      </c>
      <c r="AL310">
        <v>-0.57469577113269077</v>
      </c>
      <c r="AM310">
        <v>1</v>
      </c>
      <c r="AN310">
        <v>0</v>
      </c>
      <c r="AO310">
        <v>-0.17142857142857143</v>
      </c>
      <c r="AP310">
        <v>-0.17647058823529413</v>
      </c>
      <c r="AQ310">
        <v>0.20588235294117646</v>
      </c>
      <c r="AR310">
        <v>0.20588235294117646</v>
      </c>
      <c r="AS310">
        <v>0.44117647058823528</v>
      </c>
      <c r="AT310">
        <v>0.14705882352941177</v>
      </c>
      <c r="AU310">
        <v>26486.058646320002</v>
      </c>
      <c r="AV310" t="s">
        <v>489</v>
      </c>
      <c r="AW310" t="str">
        <f t="shared" si="28"/>
        <v>n/a</v>
      </c>
      <c r="AY310" t="e">
        <f t="shared" si="29"/>
        <v>#N/A</v>
      </c>
      <c r="AZ310" t="e">
        <v>#N/A</v>
      </c>
      <c r="BA310">
        <v>1</v>
      </c>
      <c r="BB310">
        <v>2018</v>
      </c>
      <c r="BC310">
        <v>1</v>
      </c>
      <c r="BD310">
        <v>2018</v>
      </c>
      <c r="BE310">
        <v>3</v>
      </c>
      <c r="BF310">
        <v>2018</v>
      </c>
    </row>
    <row r="311" spans="1:58" x14ac:dyDescent="0.2">
      <c r="A311" s="7">
        <v>0</v>
      </c>
      <c r="B311" s="7">
        <v>2</v>
      </c>
      <c r="C311" s="7">
        <v>0</v>
      </c>
      <c r="D311" s="7">
        <v>0</v>
      </c>
      <c r="E311" s="7">
        <f t="shared" si="24"/>
        <v>2</v>
      </c>
      <c r="F311" s="11" t="s">
        <v>31</v>
      </c>
      <c r="G311">
        <v>0</v>
      </c>
      <c r="H311">
        <v>2</v>
      </c>
      <c r="I311">
        <v>0</v>
      </c>
      <c r="J311">
        <v>0</v>
      </c>
      <c r="K311">
        <f t="shared" si="25"/>
        <v>2</v>
      </c>
      <c r="L311" t="s">
        <v>31</v>
      </c>
      <c r="M311">
        <v>15952.027064219999</v>
      </c>
      <c r="N311" s="7">
        <v>0</v>
      </c>
      <c r="O311" s="7">
        <v>8</v>
      </c>
      <c r="P311" s="7">
        <v>0</v>
      </c>
      <c r="Q311" s="7">
        <v>0</v>
      </c>
      <c r="R311" s="7">
        <f t="shared" si="26"/>
        <v>8</v>
      </c>
      <c r="S311" t="s">
        <v>31</v>
      </c>
      <c r="T311" s="7">
        <v>0</v>
      </c>
      <c r="U311" s="7">
        <v>8</v>
      </c>
      <c r="V311" s="7">
        <v>0</v>
      </c>
      <c r="W311" s="7">
        <v>0</v>
      </c>
      <c r="X311" s="7">
        <f t="shared" si="27"/>
        <v>8</v>
      </c>
      <c r="Y311" t="s">
        <v>31</v>
      </c>
      <c r="Z311">
        <v>34535.566469179998</v>
      </c>
      <c r="AA311" t="s">
        <v>721</v>
      </c>
      <c r="AB311">
        <v>73</v>
      </c>
      <c r="AC311">
        <v>0</v>
      </c>
      <c r="AD311" t="s">
        <v>99</v>
      </c>
      <c r="AE311" t="s">
        <v>41</v>
      </c>
      <c r="AF311">
        <v>110</v>
      </c>
      <c r="AG311" s="8">
        <v>0</v>
      </c>
      <c r="AH311">
        <v>0</v>
      </c>
      <c r="AI311">
        <v>6</v>
      </c>
      <c r="AJ311">
        <v>0</v>
      </c>
      <c r="AK311" t="e">
        <v>#N/A</v>
      </c>
      <c r="AL311" t="e">
        <v>#N/A</v>
      </c>
      <c r="AM311">
        <v>6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50487.593533399995</v>
      </c>
      <c r="AV311">
        <v>12</v>
      </c>
      <c r="AW311">
        <f t="shared" si="28"/>
        <v>1</v>
      </c>
      <c r="AX311">
        <v>0</v>
      </c>
      <c r="AY311">
        <f t="shared" si="29"/>
        <v>0</v>
      </c>
      <c r="AZ311">
        <v>0</v>
      </c>
      <c r="BA311">
        <v>1</v>
      </c>
      <c r="BB311">
        <v>2019</v>
      </c>
      <c r="BC311">
        <v>4</v>
      </c>
      <c r="BD311">
        <v>2019</v>
      </c>
      <c r="BE311">
        <v>1</v>
      </c>
      <c r="BF311">
        <v>2019</v>
      </c>
    </row>
    <row r="312" spans="1:58" x14ac:dyDescent="0.2">
      <c r="A312" s="7">
        <v>3</v>
      </c>
      <c r="B312" s="7">
        <v>15</v>
      </c>
      <c r="C312" s="7">
        <v>2</v>
      </c>
      <c r="D312" s="7">
        <v>6</v>
      </c>
      <c r="E312" s="7">
        <f t="shared" si="24"/>
        <v>26</v>
      </c>
      <c r="F312" s="11" t="s">
        <v>36</v>
      </c>
      <c r="G312">
        <v>3</v>
      </c>
      <c r="H312">
        <v>15</v>
      </c>
      <c r="I312">
        <v>2</v>
      </c>
      <c r="J312">
        <v>6</v>
      </c>
      <c r="K312">
        <f t="shared" si="25"/>
        <v>26</v>
      </c>
      <c r="L312" t="s">
        <v>36</v>
      </c>
      <c r="M312">
        <v>11784.97639828</v>
      </c>
      <c r="N312" s="7">
        <v>3</v>
      </c>
      <c r="O312" s="7">
        <v>15</v>
      </c>
      <c r="P312" s="7">
        <v>0</v>
      </c>
      <c r="Q312" s="7">
        <v>5</v>
      </c>
      <c r="R312" s="7">
        <f t="shared" si="26"/>
        <v>23</v>
      </c>
      <c r="S312" t="s">
        <v>36</v>
      </c>
      <c r="T312" s="7">
        <v>6</v>
      </c>
      <c r="U312" s="7">
        <v>16</v>
      </c>
      <c r="V312" s="7">
        <v>4</v>
      </c>
      <c r="W312" s="7">
        <v>7</v>
      </c>
      <c r="X312" s="7">
        <f t="shared" si="27"/>
        <v>33</v>
      </c>
      <c r="Y312" t="s">
        <v>36</v>
      </c>
      <c r="Z312">
        <v>32889.71281823</v>
      </c>
      <c r="AA312" t="s">
        <v>722</v>
      </c>
      <c r="AB312" t="e">
        <v>#N/A</v>
      </c>
      <c r="AF312" t="e">
        <v>#N/A</v>
      </c>
      <c r="AG312" s="8">
        <v>56</v>
      </c>
      <c r="AH312">
        <v>10</v>
      </c>
      <c r="AI312">
        <v>7</v>
      </c>
      <c r="AJ312">
        <v>0</v>
      </c>
      <c r="AK312">
        <v>0.17857142857142858</v>
      </c>
      <c r="AL312">
        <v>1.3363062095621219</v>
      </c>
      <c r="AM312">
        <v>-3</v>
      </c>
      <c r="AN312">
        <v>1</v>
      </c>
      <c r="AO312">
        <v>0.43478260869565216</v>
      </c>
      <c r="AP312">
        <v>0.38461538461538464</v>
      </c>
      <c r="AQ312">
        <v>0.23076923076923078</v>
      </c>
      <c r="AR312">
        <v>0.11538461538461539</v>
      </c>
      <c r="AS312">
        <v>0.57692307692307687</v>
      </c>
      <c r="AT312">
        <v>7.6923076923076927E-2</v>
      </c>
      <c r="AU312">
        <v>44674.68921651</v>
      </c>
      <c r="AV312" t="s">
        <v>489</v>
      </c>
      <c r="AW312" t="str">
        <f t="shared" si="28"/>
        <v>n/a</v>
      </c>
      <c r="AY312" t="e">
        <f t="shared" si="29"/>
        <v>#N/A</v>
      </c>
      <c r="AZ312" t="e">
        <v>#N/A</v>
      </c>
      <c r="BA312">
        <v>10</v>
      </c>
      <c r="BB312">
        <v>2018</v>
      </c>
      <c r="BC312">
        <v>10</v>
      </c>
      <c r="BD312">
        <v>2018</v>
      </c>
      <c r="BE312">
        <v>10</v>
      </c>
      <c r="BF312">
        <v>2018</v>
      </c>
    </row>
    <row r="313" spans="1:58" x14ac:dyDescent="0.2">
      <c r="A313" s="7">
        <v>15</v>
      </c>
      <c r="B313" s="7">
        <v>25</v>
      </c>
      <c r="C313" s="7">
        <v>6</v>
      </c>
      <c r="D313" s="7">
        <v>0</v>
      </c>
      <c r="E313" s="7">
        <f t="shared" si="24"/>
        <v>46</v>
      </c>
      <c r="F313" s="11" t="s">
        <v>36</v>
      </c>
      <c r="G313">
        <v>15</v>
      </c>
      <c r="H313">
        <v>25</v>
      </c>
      <c r="I313">
        <v>6</v>
      </c>
      <c r="J313">
        <v>0</v>
      </c>
      <c r="K313">
        <f t="shared" si="25"/>
        <v>46</v>
      </c>
      <c r="L313" t="s">
        <v>36</v>
      </c>
      <c r="M313">
        <v>6739.3092500000012</v>
      </c>
      <c r="N313" s="7">
        <v>15</v>
      </c>
      <c r="O313" s="7">
        <v>25</v>
      </c>
      <c r="P313" s="7">
        <v>6</v>
      </c>
      <c r="Q313" s="7">
        <v>0</v>
      </c>
      <c r="R313" s="7">
        <f t="shared" si="26"/>
        <v>46</v>
      </c>
      <c r="S313" t="s">
        <v>36</v>
      </c>
      <c r="T313" s="7">
        <v>15</v>
      </c>
      <c r="U313" s="7">
        <v>25</v>
      </c>
      <c r="V313" s="7">
        <v>6</v>
      </c>
      <c r="W313" s="7">
        <v>6</v>
      </c>
      <c r="X313" s="7">
        <f t="shared" si="27"/>
        <v>52</v>
      </c>
      <c r="Y313" t="s">
        <v>36</v>
      </c>
      <c r="Z313">
        <v>10086.678547629999</v>
      </c>
      <c r="AA313" t="s">
        <v>723</v>
      </c>
      <c r="AB313">
        <v>47</v>
      </c>
      <c r="AC313">
        <v>0</v>
      </c>
      <c r="AD313" t="s">
        <v>123</v>
      </c>
      <c r="AE313" t="s">
        <v>41</v>
      </c>
      <c r="AF313" t="e">
        <v>#N/A</v>
      </c>
      <c r="AG313" s="8">
        <v>339</v>
      </c>
      <c r="AH313">
        <v>6</v>
      </c>
      <c r="AI313">
        <v>6</v>
      </c>
      <c r="AJ313">
        <v>0</v>
      </c>
      <c r="AK313">
        <v>1.7699115044247787E-2</v>
      </c>
      <c r="AL313">
        <v>0.32587526795614108</v>
      </c>
      <c r="AM313">
        <v>0</v>
      </c>
      <c r="AN313">
        <v>0</v>
      </c>
      <c r="AO313">
        <v>0.13043478260869565</v>
      </c>
      <c r="AP313">
        <v>0.13043478260869565</v>
      </c>
      <c r="AQ313">
        <v>0</v>
      </c>
      <c r="AR313">
        <v>0.32608695652173914</v>
      </c>
      <c r="AS313">
        <v>0.54347826086956519</v>
      </c>
      <c r="AT313">
        <v>0.13043478260869565</v>
      </c>
      <c r="AU313">
        <v>16825.987797630001</v>
      </c>
      <c r="AV313">
        <v>3</v>
      </c>
      <c r="AW313">
        <f t="shared" si="28"/>
        <v>0</v>
      </c>
      <c r="AX313">
        <v>0</v>
      </c>
      <c r="AY313">
        <f t="shared" si="29"/>
        <v>0</v>
      </c>
      <c r="AZ313" t="e">
        <v>#N/A</v>
      </c>
      <c r="BA313">
        <v>11</v>
      </c>
      <c r="BB313">
        <v>2019</v>
      </c>
      <c r="BC313">
        <v>11</v>
      </c>
      <c r="BD313">
        <v>2019</v>
      </c>
      <c r="BE313">
        <v>1</v>
      </c>
      <c r="BF313">
        <v>2019</v>
      </c>
    </row>
    <row r="314" spans="1:58" x14ac:dyDescent="0.2">
      <c r="A314" s="7">
        <v>9</v>
      </c>
      <c r="B314" s="7">
        <v>15</v>
      </c>
      <c r="C314" s="7">
        <v>2</v>
      </c>
      <c r="D314" s="7">
        <v>4</v>
      </c>
      <c r="E314" s="7">
        <f t="shared" si="24"/>
        <v>30</v>
      </c>
      <c r="F314" s="11" t="s">
        <v>83</v>
      </c>
      <c r="G314">
        <v>9</v>
      </c>
      <c r="H314">
        <v>15</v>
      </c>
      <c r="I314">
        <v>2</v>
      </c>
      <c r="J314">
        <v>4</v>
      </c>
      <c r="K314">
        <f t="shared" si="25"/>
        <v>30</v>
      </c>
      <c r="L314" t="s">
        <v>83</v>
      </c>
      <c r="M314">
        <v>15768.63641746</v>
      </c>
      <c r="N314" s="7">
        <v>0</v>
      </c>
      <c r="O314" s="7">
        <v>0</v>
      </c>
      <c r="P314" s="7">
        <v>2</v>
      </c>
      <c r="Q314" s="7">
        <v>4</v>
      </c>
      <c r="R314" s="7">
        <f t="shared" si="26"/>
        <v>6</v>
      </c>
      <c r="S314" t="s">
        <v>83</v>
      </c>
      <c r="T314" s="7">
        <v>0</v>
      </c>
      <c r="U314" s="7">
        <v>0</v>
      </c>
      <c r="V314" s="7">
        <v>2</v>
      </c>
      <c r="W314" s="7">
        <v>4</v>
      </c>
      <c r="X314" s="7">
        <f t="shared" si="27"/>
        <v>6</v>
      </c>
      <c r="Y314" t="s">
        <v>83</v>
      </c>
      <c r="Z314">
        <v>5322.4978642700007</v>
      </c>
      <c r="AA314" t="s">
        <v>724</v>
      </c>
      <c r="AB314">
        <v>37</v>
      </c>
      <c r="AC314">
        <v>20</v>
      </c>
      <c r="AD314" t="s">
        <v>57</v>
      </c>
      <c r="AE314" t="s">
        <v>75</v>
      </c>
      <c r="AF314" t="e">
        <v>#N/A</v>
      </c>
      <c r="AG314" s="8">
        <v>0</v>
      </c>
      <c r="AH314">
        <v>0</v>
      </c>
      <c r="AI314">
        <v>-24</v>
      </c>
      <c r="AJ314">
        <v>0</v>
      </c>
      <c r="AK314" t="e">
        <v>#N/A</v>
      </c>
      <c r="AL314" t="e">
        <v>#N/A</v>
      </c>
      <c r="AM314">
        <v>-24</v>
      </c>
      <c r="AN314">
        <v>1</v>
      </c>
      <c r="AO314">
        <v>0</v>
      </c>
      <c r="AP314">
        <v>0</v>
      </c>
      <c r="AQ314">
        <v>0.13333333333333333</v>
      </c>
      <c r="AR314">
        <v>0.3</v>
      </c>
      <c r="AS314">
        <v>0.5</v>
      </c>
      <c r="AT314">
        <v>6.6666666666666666E-2</v>
      </c>
      <c r="AU314">
        <v>21091.134281730003</v>
      </c>
      <c r="AV314">
        <v>6</v>
      </c>
      <c r="AW314">
        <f t="shared" si="28"/>
        <v>0</v>
      </c>
      <c r="AX314">
        <v>20</v>
      </c>
      <c r="AY314">
        <f t="shared" si="29"/>
        <v>1</v>
      </c>
      <c r="AZ314" t="e">
        <v>#N/A</v>
      </c>
      <c r="BA314">
        <v>2</v>
      </c>
      <c r="BB314">
        <v>2019</v>
      </c>
      <c r="BC314">
        <v>2</v>
      </c>
      <c r="BD314">
        <v>2019</v>
      </c>
      <c r="BE314">
        <v>3</v>
      </c>
      <c r="BF314">
        <v>2019</v>
      </c>
    </row>
    <row r="315" spans="1:58" x14ac:dyDescent="0.2">
      <c r="A315" s="7">
        <v>0</v>
      </c>
      <c r="B315" s="7">
        <v>0</v>
      </c>
      <c r="C315" s="7">
        <v>0</v>
      </c>
      <c r="D315" s="7">
        <v>0</v>
      </c>
      <c r="E315" s="7">
        <f t="shared" si="24"/>
        <v>0</v>
      </c>
      <c r="F315" s="11" t="e">
        <v>#N/A</v>
      </c>
      <c r="G315">
        <v>0</v>
      </c>
      <c r="H315">
        <v>0</v>
      </c>
      <c r="I315">
        <v>0</v>
      </c>
      <c r="J315">
        <v>0</v>
      </c>
      <c r="K315">
        <f t="shared" si="25"/>
        <v>0</v>
      </c>
      <c r="L315" t="e">
        <v>#N/A</v>
      </c>
      <c r="N315" s="7">
        <v>20</v>
      </c>
      <c r="O315" s="7">
        <v>40</v>
      </c>
      <c r="P315" s="7">
        <v>10</v>
      </c>
      <c r="Q315" s="7">
        <v>11</v>
      </c>
      <c r="R315" s="7">
        <f t="shared" si="26"/>
        <v>81</v>
      </c>
      <c r="S315" t="s">
        <v>36</v>
      </c>
      <c r="T315" s="7">
        <v>20</v>
      </c>
      <c r="U315" s="7">
        <v>40</v>
      </c>
      <c r="V315" s="7">
        <v>10</v>
      </c>
      <c r="W315" s="7">
        <v>11</v>
      </c>
      <c r="X315" s="7">
        <f t="shared" si="27"/>
        <v>81</v>
      </c>
      <c r="Y315" t="s">
        <v>36</v>
      </c>
      <c r="Z315">
        <v>5386.3974741799993</v>
      </c>
      <c r="AA315" t="s">
        <v>724</v>
      </c>
      <c r="AB315">
        <v>38</v>
      </c>
      <c r="AC315">
        <v>0</v>
      </c>
      <c r="AD315" t="s">
        <v>226</v>
      </c>
      <c r="AE315" t="s">
        <v>75</v>
      </c>
      <c r="AF315" t="e">
        <v>#N/A</v>
      </c>
      <c r="AG315" s="8">
        <v>114</v>
      </c>
      <c r="AH315">
        <v>0</v>
      </c>
      <c r="AI315">
        <v>81</v>
      </c>
      <c r="AJ315">
        <v>0</v>
      </c>
      <c r="AK315">
        <v>0</v>
      </c>
      <c r="AL315">
        <v>0</v>
      </c>
      <c r="AM315">
        <v>81</v>
      </c>
      <c r="AN315">
        <v>0</v>
      </c>
      <c r="AO315">
        <v>0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>
        <v>5386.3974741799993</v>
      </c>
      <c r="AV315">
        <v>3</v>
      </c>
      <c r="AW315">
        <f t="shared" si="28"/>
        <v>0</v>
      </c>
      <c r="AX315">
        <v>0</v>
      </c>
      <c r="AY315">
        <f t="shared" si="29"/>
        <v>0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>
        <v>3</v>
      </c>
      <c r="BF315">
        <v>2019</v>
      </c>
    </row>
    <row r="316" spans="1:58" x14ac:dyDescent="0.2">
      <c r="A316" s="7">
        <v>2</v>
      </c>
      <c r="B316" s="7">
        <v>18</v>
      </c>
      <c r="C316" s="7">
        <v>0</v>
      </c>
      <c r="D316" s="7">
        <v>3</v>
      </c>
      <c r="E316" s="7">
        <f t="shared" si="24"/>
        <v>23</v>
      </c>
      <c r="F316" s="11" t="s">
        <v>36</v>
      </c>
      <c r="G316">
        <v>2</v>
      </c>
      <c r="H316">
        <v>18</v>
      </c>
      <c r="I316">
        <v>0</v>
      </c>
      <c r="J316">
        <v>3</v>
      </c>
      <c r="K316">
        <f t="shared" si="25"/>
        <v>23</v>
      </c>
      <c r="L316" t="s">
        <v>36</v>
      </c>
      <c r="M316">
        <v>15427.970980100001</v>
      </c>
      <c r="N316" s="7">
        <v>3</v>
      </c>
      <c r="O316" s="7">
        <v>21</v>
      </c>
      <c r="P316" s="7">
        <v>0</v>
      </c>
      <c r="Q316" s="7">
        <v>3</v>
      </c>
      <c r="R316" s="7">
        <f t="shared" si="26"/>
        <v>27</v>
      </c>
      <c r="S316" t="s">
        <v>36</v>
      </c>
      <c r="T316" s="7">
        <v>3</v>
      </c>
      <c r="U316" s="7">
        <v>21</v>
      </c>
      <c r="V316" s="7">
        <v>0</v>
      </c>
      <c r="W316" s="7">
        <v>3</v>
      </c>
      <c r="X316" s="7">
        <f t="shared" si="27"/>
        <v>27</v>
      </c>
      <c r="Y316" t="s">
        <v>36</v>
      </c>
      <c r="Z316">
        <v>31954.990989589998</v>
      </c>
      <c r="AA316" t="s">
        <v>725</v>
      </c>
      <c r="AB316" t="e">
        <v>#N/A</v>
      </c>
      <c r="AF316" t="e">
        <v>#N/A</v>
      </c>
      <c r="AG316" s="8">
        <v>100</v>
      </c>
      <c r="AH316">
        <v>0</v>
      </c>
      <c r="AI316">
        <v>4</v>
      </c>
      <c r="AJ316">
        <v>0</v>
      </c>
      <c r="AK316">
        <v>0</v>
      </c>
      <c r="AL316">
        <v>0</v>
      </c>
      <c r="AM316">
        <v>4</v>
      </c>
      <c r="AN316">
        <v>0</v>
      </c>
      <c r="AO316">
        <v>0</v>
      </c>
      <c r="AP316">
        <v>0</v>
      </c>
      <c r="AQ316">
        <v>0.13043478260869565</v>
      </c>
      <c r="AR316">
        <v>8.6956521739130432E-2</v>
      </c>
      <c r="AS316">
        <v>0.78260869565217395</v>
      </c>
      <c r="AT316">
        <v>0</v>
      </c>
      <c r="AU316">
        <v>47382.961969689997</v>
      </c>
      <c r="AV316" t="s">
        <v>489</v>
      </c>
      <c r="AW316" t="str">
        <f t="shared" si="28"/>
        <v>n/a</v>
      </c>
      <c r="AY316" t="e">
        <f t="shared" si="29"/>
        <v>#N/A</v>
      </c>
      <c r="AZ316" t="e">
        <v>#N/A</v>
      </c>
      <c r="BA316">
        <v>6</v>
      </c>
      <c r="BB316">
        <v>2018</v>
      </c>
      <c r="BC316">
        <v>6</v>
      </c>
      <c r="BD316">
        <v>2018</v>
      </c>
      <c r="BE316">
        <v>5</v>
      </c>
      <c r="BF316">
        <v>2018</v>
      </c>
    </row>
    <row r="317" spans="1:58" x14ac:dyDescent="0.2">
      <c r="A317" s="7">
        <v>0</v>
      </c>
      <c r="B317" s="7">
        <v>0</v>
      </c>
      <c r="C317" s="7">
        <v>0</v>
      </c>
      <c r="D317" s="7">
        <v>0</v>
      </c>
      <c r="E317" s="7">
        <f t="shared" si="24"/>
        <v>0</v>
      </c>
      <c r="F317" s="11" t="e">
        <v>#N/A</v>
      </c>
      <c r="G317">
        <v>0</v>
      </c>
      <c r="H317">
        <v>0</v>
      </c>
      <c r="I317">
        <v>0</v>
      </c>
      <c r="J317">
        <v>0</v>
      </c>
      <c r="K317">
        <f t="shared" si="25"/>
        <v>0</v>
      </c>
      <c r="L317" t="e">
        <v>#N/A</v>
      </c>
      <c r="N317" s="7">
        <v>2</v>
      </c>
      <c r="O317" s="7">
        <v>15</v>
      </c>
      <c r="P317" s="7">
        <v>2</v>
      </c>
      <c r="Q317" s="7">
        <v>3</v>
      </c>
      <c r="R317" s="7">
        <f t="shared" si="26"/>
        <v>22</v>
      </c>
      <c r="S317" t="s">
        <v>83</v>
      </c>
      <c r="T317" s="7">
        <v>0</v>
      </c>
      <c r="U317" s="7">
        <v>6</v>
      </c>
      <c r="V317" s="7">
        <v>2</v>
      </c>
      <c r="W317" s="7">
        <v>3</v>
      </c>
      <c r="X317" s="7">
        <f t="shared" si="27"/>
        <v>11</v>
      </c>
      <c r="Y317" t="s">
        <v>83</v>
      </c>
      <c r="Z317">
        <v>12112.54092035</v>
      </c>
      <c r="AA317" t="s">
        <v>726</v>
      </c>
      <c r="AB317" t="e">
        <v>#N/A</v>
      </c>
      <c r="AF317" t="e">
        <v>#N/A</v>
      </c>
      <c r="AG317" s="8">
        <v>10</v>
      </c>
      <c r="AH317">
        <v>-11</v>
      </c>
      <c r="AI317">
        <v>11</v>
      </c>
      <c r="AJ317">
        <v>0</v>
      </c>
      <c r="AK317">
        <v>-1.1000000000000001</v>
      </c>
      <c r="AL317">
        <v>-3.4785054261852171</v>
      </c>
      <c r="AM317">
        <v>22</v>
      </c>
      <c r="AN317">
        <v>0</v>
      </c>
      <c r="AO317">
        <v>-0.5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>
        <v>12112.54092035</v>
      </c>
      <c r="AV317" t="s">
        <v>489</v>
      </c>
      <c r="AW317" t="str">
        <f t="shared" si="28"/>
        <v>n/a</v>
      </c>
      <c r="AY317" t="e">
        <f t="shared" si="29"/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>
        <v>6</v>
      </c>
      <c r="BF317">
        <v>2018</v>
      </c>
    </row>
    <row r="318" spans="1:58" x14ac:dyDescent="0.2">
      <c r="A318" s="7">
        <v>2</v>
      </c>
      <c r="B318" s="7">
        <v>26</v>
      </c>
      <c r="C318" s="7">
        <v>2</v>
      </c>
      <c r="D318" s="7">
        <v>6</v>
      </c>
      <c r="E318" s="7">
        <f t="shared" si="24"/>
        <v>36</v>
      </c>
      <c r="F318" s="11" t="s">
        <v>36</v>
      </c>
      <c r="G318">
        <v>2</v>
      </c>
      <c r="H318">
        <v>26</v>
      </c>
      <c r="I318">
        <v>2</v>
      </c>
      <c r="J318">
        <v>6</v>
      </c>
      <c r="K318">
        <f t="shared" si="25"/>
        <v>36</v>
      </c>
      <c r="L318" t="s">
        <v>36</v>
      </c>
      <c r="M318">
        <v>6388.2133100000001</v>
      </c>
      <c r="N318" s="7">
        <v>3</v>
      </c>
      <c r="O318" s="7">
        <v>26</v>
      </c>
      <c r="P318" s="7">
        <v>0</v>
      </c>
      <c r="Q318" s="7">
        <v>3</v>
      </c>
      <c r="R318" s="7">
        <f t="shared" si="26"/>
        <v>32</v>
      </c>
      <c r="S318" t="s">
        <v>36</v>
      </c>
      <c r="T318" s="7">
        <v>6</v>
      </c>
      <c r="U318" s="7">
        <v>26</v>
      </c>
      <c r="V318" s="7">
        <v>2</v>
      </c>
      <c r="W318" s="7">
        <v>5</v>
      </c>
      <c r="X318" s="7">
        <f t="shared" si="27"/>
        <v>39</v>
      </c>
      <c r="Y318" t="s">
        <v>36</v>
      </c>
      <c r="Z318">
        <v>42476.124519069999</v>
      </c>
      <c r="AA318" t="s">
        <v>727</v>
      </c>
      <c r="AB318" t="e">
        <v>#N/A</v>
      </c>
      <c r="AF318" t="e">
        <v>#N/A</v>
      </c>
      <c r="AG318" s="8">
        <v>70</v>
      </c>
      <c r="AH318">
        <v>7</v>
      </c>
      <c r="AI318">
        <v>3</v>
      </c>
      <c r="AJ318">
        <v>0</v>
      </c>
      <c r="AK318">
        <v>0.1</v>
      </c>
      <c r="AL318">
        <v>0.83666002653407556</v>
      </c>
      <c r="AM318">
        <v>-4</v>
      </c>
      <c r="AN318">
        <v>1</v>
      </c>
      <c r="AO318">
        <v>0.21875</v>
      </c>
      <c r="AP318">
        <v>0.19444444444444445</v>
      </c>
      <c r="AQ318">
        <v>0.16666666666666666</v>
      </c>
      <c r="AR318">
        <v>5.5555555555555552E-2</v>
      </c>
      <c r="AS318">
        <v>0.72222222222222221</v>
      </c>
      <c r="AT318">
        <v>5.5555555555555552E-2</v>
      </c>
      <c r="AU318">
        <v>48864.337829069998</v>
      </c>
      <c r="AV318" t="s">
        <v>489</v>
      </c>
      <c r="AW318" t="str">
        <f t="shared" si="28"/>
        <v>n/a</v>
      </c>
      <c r="AY318" t="e">
        <f t="shared" si="29"/>
        <v>#N/A</v>
      </c>
      <c r="AZ318" t="e">
        <v>#N/A</v>
      </c>
      <c r="BA318">
        <v>1</v>
      </c>
      <c r="BB318">
        <v>2018</v>
      </c>
      <c r="BC318">
        <v>1</v>
      </c>
      <c r="BD318">
        <v>2018</v>
      </c>
      <c r="BE318">
        <v>1</v>
      </c>
      <c r="BF318">
        <v>2018</v>
      </c>
    </row>
    <row r="319" spans="1:58" x14ac:dyDescent="0.2">
      <c r="A319" s="7">
        <v>6</v>
      </c>
      <c r="B319" s="7">
        <v>21</v>
      </c>
      <c r="C319" s="7">
        <v>3</v>
      </c>
      <c r="D319" s="7">
        <v>6</v>
      </c>
      <c r="E319" s="7">
        <f t="shared" si="24"/>
        <v>36</v>
      </c>
      <c r="F319" s="11" t="s">
        <v>36</v>
      </c>
      <c r="G319">
        <v>6</v>
      </c>
      <c r="H319">
        <v>21</v>
      </c>
      <c r="I319">
        <v>3</v>
      </c>
      <c r="J319">
        <v>6</v>
      </c>
      <c r="K319">
        <f t="shared" si="25"/>
        <v>36</v>
      </c>
      <c r="L319" t="s">
        <v>36</v>
      </c>
      <c r="M319">
        <v>11545.986464879999</v>
      </c>
      <c r="N319" s="7">
        <v>6</v>
      </c>
      <c r="O319" s="7">
        <v>21</v>
      </c>
      <c r="P319" s="7">
        <v>0</v>
      </c>
      <c r="Q319" s="7">
        <v>5</v>
      </c>
      <c r="R319" s="7">
        <f t="shared" si="26"/>
        <v>32</v>
      </c>
      <c r="S319" t="s">
        <v>36</v>
      </c>
      <c r="T319" s="7">
        <v>5</v>
      </c>
      <c r="U319" s="7">
        <v>21</v>
      </c>
      <c r="V319" s="7">
        <v>3</v>
      </c>
      <c r="W319" s="7">
        <v>6</v>
      </c>
      <c r="X319" s="7">
        <f t="shared" si="27"/>
        <v>35</v>
      </c>
      <c r="Y319" t="s">
        <v>36</v>
      </c>
      <c r="Z319">
        <v>33366.966634530007</v>
      </c>
      <c r="AA319" t="s">
        <v>728</v>
      </c>
      <c r="AB319" t="e">
        <v>#N/A</v>
      </c>
      <c r="AF319" t="e">
        <v>#N/A</v>
      </c>
      <c r="AG319" s="8">
        <v>341</v>
      </c>
      <c r="AH319">
        <v>3</v>
      </c>
      <c r="AI319">
        <v>-1</v>
      </c>
      <c r="AJ319">
        <v>0</v>
      </c>
      <c r="AK319">
        <v>8.7976539589442824E-3</v>
      </c>
      <c r="AL319">
        <v>0.1624591083221647</v>
      </c>
      <c r="AM319">
        <v>-4</v>
      </c>
      <c r="AN319">
        <v>1</v>
      </c>
      <c r="AO319">
        <v>9.375E-2</v>
      </c>
      <c r="AP319">
        <v>8.3333333333333329E-2</v>
      </c>
      <c r="AQ319">
        <v>0.16666666666666666</v>
      </c>
      <c r="AR319">
        <v>0.16666666666666666</v>
      </c>
      <c r="AS319">
        <v>0.58333333333333337</v>
      </c>
      <c r="AT319">
        <v>8.3333333333333329E-2</v>
      </c>
      <c r="AU319">
        <v>44912.953099410006</v>
      </c>
      <c r="AV319" t="s">
        <v>489</v>
      </c>
      <c r="AW319" t="str">
        <f t="shared" si="28"/>
        <v>n/a</v>
      </c>
      <c r="AY319" t="e">
        <f t="shared" si="29"/>
        <v>#N/A</v>
      </c>
      <c r="AZ319" t="e">
        <v>#N/A</v>
      </c>
      <c r="BA319">
        <v>10</v>
      </c>
      <c r="BB319">
        <v>2018</v>
      </c>
      <c r="BC319">
        <v>10</v>
      </c>
      <c r="BD319">
        <v>2018</v>
      </c>
      <c r="BE319">
        <v>1</v>
      </c>
      <c r="BF319">
        <v>2018</v>
      </c>
    </row>
    <row r="320" spans="1:58" x14ac:dyDescent="0.2">
      <c r="A320" s="7">
        <v>0</v>
      </c>
      <c r="B320" s="7">
        <v>0</v>
      </c>
      <c r="C320" s="7">
        <v>0</v>
      </c>
      <c r="D320" s="7">
        <v>0</v>
      </c>
      <c r="E320" s="7">
        <f t="shared" si="24"/>
        <v>0</v>
      </c>
      <c r="F320" s="11" t="e">
        <v>#N/A</v>
      </c>
      <c r="G320">
        <v>0</v>
      </c>
      <c r="H320">
        <v>0</v>
      </c>
      <c r="I320">
        <v>0</v>
      </c>
      <c r="J320">
        <v>0</v>
      </c>
      <c r="K320">
        <f t="shared" si="25"/>
        <v>0</v>
      </c>
      <c r="L320" t="e">
        <v>#N/A</v>
      </c>
      <c r="N320" s="7">
        <v>6</v>
      </c>
      <c r="O320" s="7">
        <v>26</v>
      </c>
      <c r="P320" s="7">
        <v>2</v>
      </c>
      <c r="Q320" s="7">
        <v>6</v>
      </c>
      <c r="R320" s="7">
        <f t="shared" si="26"/>
        <v>40</v>
      </c>
      <c r="S320" t="s">
        <v>36</v>
      </c>
      <c r="T320" s="7">
        <v>6</v>
      </c>
      <c r="U320" s="7">
        <v>26</v>
      </c>
      <c r="V320" s="7">
        <v>2</v>
      </c>
      <c r="W320" s="7">
        <v>6</v>
      </c>
      <c r="X320" s="7">
        <f t="shared" si="27"/>
        <v>40</v>
      </c>
      <c r="Y320" t="s">
        <v>36</v>
      </c>
      <c r="Z320">
        <v>14199.63639806</v>
      </c>
      <c r="AA320" t="s">
        <v>729</v>
      </c>
      <c r="AB320">
        <v>20</v>
      </c>
      <c r="AC320">
        <v>0</v>
      </c>
      <c r="AD320" t="s">
        <v>190</v>
      </c>
      <c r="AE320" t="s">
        <v>41</v>
      </c>
      <c r="AF320" t="e">
        <v>#N/A</v>
      </c>
      <c r="AG320" s="8">
        <v>97</v>
      </c>
      <c r="AH320">
        <v>0</v>
      </c>
      <c r="AI320">
        <v>40</v>
      </c>
      <c r="AJ320">
        <v>0</v>
      </c>
      <c r="AK320">
        <v>0</v>
      </c>
      <c r="AL320">
        <v>0</v>
      </c>
      <c r="AM320">
        <v>40</v>
      </c>
      <c r="AN320">
        <v>0</v>
      </c>
      <c r="AO320">
        <v>0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>
        <v>14199.63639806</v>
      </c>
      <c r="AV320">
        <v>5</v>
      </c>
      <c r="AW320">
        <f t="shared" si="28"/>
        <v>0</v>
      </c>
      <c r="AX320">
        <v>0</v>
      </c>
      <c r="AY320">
        <f t="shared" si="29"/>
        <v>0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>
        <v>4</v>
      </c>
      <c r="BF320">
        <v>2019</v>
      </c>
    </row>
    <row r="321" spans="1:58" x14ac:dyDescent="0.2">
      <c r="A321" s="7">
        <v>4</v>
      </c>
      <c r="B321" s="7">
        <v>26</v>
      </c>
      <c r="C321" s="7">
        <v>0</v>
      </c>
      <c r="D321" s="7">
        <v>6</v>
      </c>
      <c r="E321" s="7">
        <f t="shared" si="24"/>
        <v>36</v>
      </c>
      <c r="F321" s="11" t="s">
        <v>36</v>
      </c>
      <c r="G321">
        <v>4</v>
      </c>
      <c r="H321">
        <v>26</v>
      </c>
      <c r="I321">
        <v>0</v>
      </c>
      <c r="J321">
        <v>6</v>
      </c>
      <c r="K321">
        <f t="shared" si="25"/>
        <v>36</v>
      </c>
      <c r="L321" t="s">
        <v>36</v>
      </c>
      <c r="M321">
        <v>7740.3186046399996</v>
      </c>
      <c r="N321" s="7">
        <v>6</v>
      </c>
      <c r="O321" s="7">
        <v>27</v>
      </c>
      <c r="P321" s="7">
        <v>4</v>
      </c>
      <c r="Q321" s="7">
        <v>6</v>
      </c>
      <c r="R321" s="7">
        <f t="shared" si="26"/>
        <v>43</v>
      </c>
      <c r="S321" t="s">
        <v>36</v>
      </c>
      <c r="T321" s="7">
        <v>6</v>
      </c>
      <c r="U321" s="7">
        <v>27</v>
      </c>
      <c r="V321" s="7">
        <v>4</v>
      </c>
      <c r="W321" s="7">
        <v>6</v>
      </c>
      <c r="X321" s="7">
        <f t="shared" si="27"/>
        <v>43</v>
      </c>
      <c r="Y321" t="s">
        <v>36</v>
      </c>
      <c r="Z321">
        <v>4871.5292906400009</v>
      </c>
      <c r="AA321" t="s">
        <v>729</v>
      </c>
      <c r="AB321">
        <v>21</v>
      </c>
      <c r="AC321">
        <v>0</v>
      </c>
      <c r="AD321" t="s">
        <v>82</v>
      </c>
      <c r="AE321" t="s">
        <v>41</v>
      </c>
      <c r="AF321" t="e">
        <v>#N/A</v>
      </c>
      <c r="AG321" s="8">
        <v>0</v>
      </c>
      <c r="AH321">
        <v>0</v>
      </c>
      <c r="AI321">
        <v>7</v>
      </c>
      <c r="AJ321">
        <v>0</v>
      </c>
      <c r="AK321" t="e">
        <v>#N/A</v>
      </c>
      <c r="AL321" t="e">
        <v>#N/A</v>
      </c>
      <c r="AM321">
        <v>7</v>
      </c>
      <c r="AN321">
        <v>0</v>
      </c>
      <c r="AO321">
        <v>0</v>
      </c>
      <c r="AP321">
        <v>0</v>
      </c>
      <c r="AQ321">
        <v>0.16666666666666666</v>
      </c>
      <c r="AR321">
        <v>0.1111111111111111</v>
      </c>
      <c r="AS321">
        <v>0.72222222222222221</v>
      </c>
      <c r="AT321">
        <v>0</v>
      </c>
      <c r="AU321">
        <v>12611.84789528</v>
      </c>
      <c r="AV321">
        <v>3</v>
      </c>
      <c r="AW321">
        <f t="shared" si="28"/>
        <v>0</v>
      </c>
      <c r="AX321">
        <v>0</v>
      </c>
      <c r="AY321">
        <f t="shared" si="29"/>
        <v>0</v>
      </c>
      <c r="AZ321" t="e">
        <v>#N/A</v>
      </c>
      <c r="BA321">
        <v>11</v>
      </c>
      <c r="BB321">
        <v>2019</v>
      </c>
      <c r="BC321">
        <v>11</v>
      </c>
      <c r="BD321">
        <v>2019</v>
      </c>
      <c r="BE321">
        <v>12</v>
      </c>
      <c r="BF321">
        <v>2019</v>
      </c>
    </row>
    <row r="322" spans="1:58" x14ac:dyDescent="0.2">
      <c r="A322" s="7">
        <v>7</v>
      </c>
      <c r="B322" s="7">
        <v>15</v>
      </c>
      <c r="C322" s="7">
        <v>2</v>
      </c>
      <c r="D322" s="7">
        <v>0</v>
      </c>
      <c r="E322" s="7">
        <f t="shared" ref="E322:E385" si="30">SUM(A322,B322,C322,D322)</f>
        <v>24</v>
      </c>
      <c r="F322" s="11" t="e">
        <v>#N/A</v>
      </c>
      <c r="G322">
        <v>7</v>
      </c>
      <c r="H322">
        <v>22</v>
      </c>
      <c r="I322">
        <v>0</v>
      </c>
      <c r="J322">
        <v>6</v>
      </c>
      <c r="K322">
        <f t="shared" ref="K322:K385" si="31">SUM(G322,H322,I322,J322)</f>
        <v>35</v>
      </c>
      <c r="L322" t="e">
        <v>#N/A</v>
      </c>
      <c r="M322">
        <v>69545.231403739992</v>
      </c>
      <c r="N322" s="7">
        <v>8</v>
      </c>
      <c r="O322" s="7">
        <v>26</v>
      </c>
      <c r="P322" s="7">
        <v>2</v>
      </c>
      <c r="Q322" s="7">
        <v>0</v>
      </c>
      <c r="R322" s="7">
        <f t="shared" ref="R322:R385" si="32">SUM(N322,O322,P322,Q322)</f>
        <v>36</v>
      </c>
      <c r="S322" t="e">
        <v>#N/A</v>
      </c>
      <c r="T322" s="7">
        <v>8</v>
      </c>
      <c r="U322" s="7">
        <v>26</v>
      </c>
      <c r="V322" s="7">
        <v>2</v>
      </c>
      <c r="W322" s="7">
        <v>0</v>
      </c>
      <c r="X322" s="7">
        <f t="shared" ref="X322:X385" si="33">SUM(T322,U322,V322,W322)</f>
        <v>36</v>
      </c>
      <c r="Y322" t="e">
        <v>#N/A</v>
      </c>
      <c r="Z322">
        <v>15562.07376526</v>
      </c>
      <c r="AA322" t="s">
        <v>227</v>
      </c>
      <c r="AB322">
        <v>21</v>
      </c>
      <c r="AC322">
        <v>156</v>
      </c>
      <c r="AD322" t="s">
        <v>82</v>
      </c>
      <c r="AE322" t="s">
        <v>41</v>
      </c>
      <c r="AF322">
        <v>160</v>
      </c>
      <c r="AG322" s="8">
        <v>0</v>
      </c>
      <c r="AH322">
        <v>0</v>
      </c>
      <c r="AI322">
        <v>12</v>
      </c>
      <c r="AJ322">
        <v>11</v>
      </c>
      <c r="AK322" t="e">
        <v>#N/A</v>
      </c>
      <c r="AL322" t="e">
        <v>#N/A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0.29166666666666669</v>
      </c>
      <c r="AS322">
        <v>0.625</v>
      </c>
      <c r="AT322">
        <v>8.3333333333333329E-2</v>
      </c>
      <c r="AU322">
        <v>85107.305168999999</v>
      </c>
      <c r="AV322">
        <v>15</v>
      </c>
      <c r="AW322">
        <f t="shared" si="28"/>
        <v>1</v>
      </c>
      <c r="AX322">
        <v>156</v>
      </c>
      <c r="AY322">
        <f t="shared" si="29"/>
        <v>1</v>
      </c>
      <c r="AZ322">
        <v>0.97499999999999998</v>
      </c>
      <c r="BA322">
        <v>1</v>
      </c>
      <c r="BB322">
        <v>2020</v>
      </c>
      <c r="BC322">
        <v>6</v>
      </c>
      <c r="BD322">
        <v>2020</v>
      </c>
      <c r="BE322">
        <v>7</v>
      </c>
      <c r="BF322">
        <v>2020</v>
      </c>
    </row>
    <row r="323" spans="1:58" x14ac:dyDescent="0.2">
      <c r="A323" s="7">
        <v>18</v>
      </c>
      <c r="B323" s="7">
        <v>35</v>
      </c>
      <c r="C323" s="7">
        <v>9</v>
      </c>
      <c r="D323" s="7">
        <v>15</v>
      </c>
      <c r="E323" s="7">
        <f t="shared" si="30"/>
        <v>77</v>
      </c>
      <c r="F323" s="11" t="e">
        <v>#N/A</v>
      </c>
      <c r="G323">
        <v>18</v>
      </c>
      <c r="H323">
        <v>35</v>
      </c>
      <c r="I323">
        <v>9</v>
      </c>
      <c r="J323">
        <v>15</v>
      </c>
      <c r="K323">
        <f t="shared" si="31"/>
        <v>77</v>
      </c>
      <c r="L323" t="e">
        <v>#N/A</v>
      </c>
      <c r="M323">
        <v>15802.173449219999</v>
      </c>
      <c r="N323" s="7">
        <v>0</v>
      </c>
      <c r="O323" s="7">
        <v>0</v>
      </c>
      <c r="P323" s="7">
        <v>3</v>
      </c>
      <c r="Q323" s="7">
        <v>15</v>
      </c>
      <c r="R323" s="7">
        <f t="shared" si="32"/>
        <v>18</v>
      </c>
      <c r="S323" t="e">
        <v>#N/A</v>
      </c>
      <c r="T323" s="7">
        <v>0</v>
      </c>
      <c r="U323" s="7">
        <v>0</v>
      </c>
      <c r="V323" s="7">
        <v>3</v>
      </c>
      <c r="W323" s="7">
        <v>15</v>
      </c>
      <c r="X323" s="7">
        <f t="shared" si="33"/>
        <v>18</v>
      </c>
      <c r="Y323" t="e">
        <v>#N/A</v>
      </c>
      <c r="Z323">
        <v>2335.53965784</v>
      </c>
      <c r="AA323" t="s">
        <v>228</v>
      </c>
      <c r="AB323">
        <v>39</v>
      </c>
      <c r="AC323">
        <v>0</v>
      </c>
      <c r="AD323" t="s">
        <v>99</v>
      </c>
      <c r="AE323" t="s">
        <v>41</v>
      </c>
      <c r="AF323">
        <v>120</v>
      </c>
      <c r="AG323" s="8">
        <v>0</v>
      </c>
      <c r="AH323">
        <v>0</v>
      </c>
      <c r="AI323">
        <v>-59</v>
      </c>
      <c r="AJ323">
        <v>0</v>
      </c>
      <c r="AK323" t="e">
        <v>#N/A</v>
      </c>
      <c r="AL323" t="e">
        <v>#N/A</v>
      </c>
      <c r="AM323">
        <v>-59</v>
      </c>
      <c r="AN323">
        <v>1</v>
      </c>
      <c r="AO323">
        <v>0</v>
      </c>
      <c r="AP323">
        <v>0</v>
      </c>
      <c r="AQ323">
        <v>0.19480519480519481</v>
      </c>
      <c r="AR323">
        <v>0.23376623376623376</v>
      </c>
      <c r="AS323">
        <v>0.45454545454545453</v>
      </c>
      <c r="AT323">
        <v>0.11688311688311688</v>
      </c>
      <c r="AU323">
        <v>18137.713107060001</v>
      </c>
      <c r="AV323">
        <v>3</v>
      </c>
      <c r="AW323">
        <f t="shared" ref="AW323:AW386" si="34">IF(AV323="n/a","n/a",IF(AV323&gt;=10,1,0))</f>
        <v>0</v>
      </c>
      <c r="AX323">
        <v>0</v>
      </c>
      <c r="AY323">
        <f t="shared" ref="AY323:AY386" si="35">IF(
  ISBLANK(AX323),
  NA(),
  IF(AX323&gt;0, 1, 0)
)</f>
        <v>0</v>
      </c>
      <c r="AZ323">
        <v>0</v>
      </c>
      <c r="BA323">
        <v>1</v>
      </c>
      <c r="BB323">
        <v>2020</v>
      </c>
      <c r="BC323">
        <v>5</v>
      </c>
      <c r="BD323">
        <v>2020</v>
      </c>
      <c r="BE323">
        <v>6</v>
      </c>
      <c r="BF323">
        <v>2020</v>
      </c>
    </row>
    <row r="324" spans="1:58" x14ac:dyDescent="0.2">
      <c r="A324" s="7">
        <v>11</v>
      </c>
      <c r="B324" s="7">
        <v>35</v>
      </c>
      <c r="C324" s="7">
        <v>4</v>
      </c>
      <c r="D324" s="7">
        <v>6</v>
      </c>
      <c r="E324" s="7">
        <f t="shared" si="30"/>
        <v>56</v>
      </c>
      <c r="F324" s="11" t="s">
        <v>36</v>
      </c>
      <c r="G324">
        <v>11</v>
      </c>
      <c r="H324">
        <v>35</v>
      </c>
      <c r="I324">
        <v>4</v>
      </c>
      <c r="J324">
        <v>6</v>
      </c>
      <c r="K324">
        <f t="shared" si="31"/>
        <v>56</v>
      </c>
      <c r="L324" t="s">
        <v>36</v>
      </c>
      <c r="M324">
        <v>16938.654411150001</v>
      </c>
      <c r="N324" s="7">
        <v>13</v>
      </c>
      <c r="O324" s="7">
        <v>35</v>
      </c>
      <c r="P324" s="7">
        <v>6</v>
      </c>
      <c r="Q324" s="7">
        <v>5</v>
      </c>
      <c r="R324" s="7">
        <f t="shared" si="32"/>
        <v>59</v>
      </c>
      <c r="S324" t="s">
        <v>65</v>
      </c>
      <c r="T324" s="7">
        <v>11</v>
      </c>
      <c r="U324" s="7">
        <v>35</v>
      </c>
      <c r="V324" s="7">
        <v>4</v>
      </c>
      <c r="W324" s="7">
        <v>6</v>
      </c>
      <c r="X324" s="7">
        <f t="shared" si="33"/>
        <v>56</v>
      </c>
      <c r="Y324" t="s">
        <v>36</v>
      </c>
      <c r="Z324">
        <v>21334.169157159999</v>
      </c>
      <c r="AA324" t="s">
        <v>730</v>
      </c>
      <c r="AB324" t="e">
        <v>#N/A</v>
      </c>
      <c r="AF324">
        <v>103</v>
      </c>
      <c r="AG324" s="8">
        <v>257</v>
      </c>
      <c r="AH324">
        <v>-3</v>
      </c>
      <c r="AI324">
        <v>0</v>
      </c>
      <c r="AJ324">
        <v>0</v>
      </c>
      <c r="AK324">
        <v>-1.1673151750972763E-2</v>
      </c>
      <c r="AL324">
        <v>-0.18713485846554159</v>
      </c>
      <c r="AM324">
        <v>3</v>
      </c>
      <c r="AN324">
        <v>0</v>
      </c>
      <c r="AO324">
        <v>-5.0847457627118647E-2</v>
      </c>
      <c r="AP324">
        <v>-5.3571428571428568E-2</v>
      </c>
      <c r="AQ324">
        <v>0.10714285714285714</v>
      </c>
      <c r="AR324">
        <v>0.19642857142857142</v>
      </c>
      <c r="AS324">
        <v>0.625</v>
      </c>
      <c r="AT324">
        <v>7.1428571428571425E-2</v>
      </c>
      <c r="AU324">
        <v>38272.823568309999</v>
      </c>
      <c r="AV324" t="s">
        <v>489</v>
      </c>
      <c r="AW324" t="str">
        <f t="shared" si="34"/>
        <v>n/a</v>
      </c>
      <c r="AY324" t="e">
        <f t="shared" si="35"/>
        <v>#N/A</v>
      </c>
      <c r="AZ324" t="e">
        <v>#N/A</v>
      </c>
      <c r="BA324">
        <v>8</v>
      </c>
      <c r="BB324">
        <v>2018</v>
      </c>
      <c r="BC324">
        <v>12</v>
      </c>
      <c r="BD324">
        <v>2018</v>
      </c>
      <c r="BE324">
        <v>1</v>
      </c>
      <c r="BF324">
        <v>2018</v>
      </c>
    </row>
    <row r="325" spans="1:58" x14ac:dyDescent="0.2">
      <c r="A325" s="7">
        <v>11</v>
      </c>
      <c r="B325" s="7">
        <v>40</v>
      </c>
      <c r="C325" s="7">
        <v>8</v>
      </c>
      <c r="D325" s="7">
        <v>3</v>
      </c>
      <c r="E325" s="7">
        <f t="shared" si="30"/>
        <v>62</v>
      </c>
      <c r="F325" s="11" t="s">
        <v>36</v>
      </c>
      <c r="G325">
        <v>11</v>
      </c>
      <c r="H325">
        <v>40</v>
      </c>
      <c r="I325">
        <v>8</v>
      </c>
      <c r="J325">
        <v>3</v>
      </c>
      <c r="K325">
        <f t="shared" si="31"/>
        <v>62</v>
      </c>
      <c r="L325" t="s">
        <v>36</v>
      </c>
      <c r="M325">
        <v>8771.9318626200002</v>
      </c>
      <c r="N325" s="7">
        <v>0</v>
      </c>
      <c r="O325" s="7">
        <v>0</v>
      </c>
      <c r="P325" s="7">
        <v>0</v>
      </c>
      <c r="Q325" s="7">
        <v>0</v>
      </c>
      <c r="R325" s="7">
        <f t="shared" si="32"/>
        <v>0</v>
      </c>
      <c r="S325" t="e">
        <v>#N/A</v>
      </c>
      <c r="T325" s="7">
        <v>0</v>
      </c>
      <c r="U325" s="7">
        <v>0</v>
      </c>
      <c r="V325" s="7">
        <v>0</v>
      </c>
      <c r="W325" s="7">
        <v>0</v>
      </c>
      <c r="X325" s="7">
        <f t="shared" si="33"/>
        <v>0</v>
      </c>
      <c r="Y325" t="e">
        <v>#N/A</v>
      </c>
      <c r="AA325" t="s">
        <v>731</v>
      </c>
      <c r="AB325">
        <v>56</v>
      </c>
      <c r="AC325">
        <v>0</v>
      </c>
      <c r="AD325" t="s">
        <v>229</v>
      </c>
      <c r="AE325" t="s">
        <v>41</v>
      </c>
      <c r="AF325" t="e">
        <v>#N/A</v>
      </c>
      <c r="AG325" s="8"/>
      <c r="AH325">
        <v>0</v>
      </c>
      <c r="AI325">
        <v>-62</v>
      </c>
      <c r="AJ325">
        <v>0</v>
      </c>
      <c r="AK325" t="e">
        <v>#N/A</v>
      </c>
      <c r="AL325" t="e">
        <v>#N/A</v>
      </c>
      <c r="AM325">
        <v>-62</v>
      </c>
      <c r="AN325">
        <v>1</v>
      </c>
      <c r="AO325" t="e">
        <v>#N/A</v>
      </c>
      <c r="AP325">
        <v>0</v>
      </c>
      <c r="AQ325">
        <v>4.8387096774193547E-2</v>
      </c>
      <c r="AR325">
        <v>0.17741935483870969</v>
      </c>
      <c r="AS325">
        <v>0.64516129032258063</v>
      </c>
      <c r="AT325">
        <v>0.12903225806451613</v>
      </c>
      <c r="AU325">
        <v>8771.9318626200002</v>
      </c>
      <c r="AV325">
        <v>4</v>
      </c>
      <c r="AW325">
        <f t="shared" si="34"/>
        <v>0</v>
      </c>
      <c r="AX325">
        <v>0</v>
      </c>
      <c r="AY325">
        <f t="shared" si="35"/>
        <v>0</v>
      </c>
      <c r="AZ325" t="e">
        <v>#N/A</v>
      </c>
      <c r="BA325">
        <v>2</v>
      </c>
      <c r="BB325">
        <v>2019</v>
      </c>
      <c r="BC325">
        <v>2</v>
      </c>
      <c r="BD325">
        <v>2019</v>
      </c>
      <c r="BE325" t="e">
        <v>#N/A</v>
      </c>
      <c r="BF325" t="e">
        <v>#N/A</v>
      </c>
    </row>
    <row r="326" spans="1:58" x14ac:dyDescent="0.2">
      <c r="A326" s="7">
        <v>0</v>
      </c>
      <c r="B326" s="7">
        <v>0</v>
      </c>
      <c r="C326" s="7">
        <v>0</v>
      </c>
      <c r="D326" s="7">
        <v>0</v>
      </c>
      <c r="E326" s="7">
        <f t="shared" si="30"/>
        <v>0</v>
      </c>
      <c r="F326" s="11" t="e">
        <v>#N/A</v>
      </c>
      <c r="G326">
        <v>0</v>
      </c>
      <c r="H326">
        <v>0</v>
      </c>
      <c r="I326">
        <v>0</v>
      </c>
      <c r="J326">
        <v>0</v>
      </c>
      <c r="K326">
        <f t="shared" si="31"/>
        <v>0</v>
      </c>
      <c r="L326" t="e">
        <v>#N/A</v>
      </c>
      <c r="N326" s="7">
        <v>0</v>
      </c>
      <c r="O326" s="7">
        <v>15</v>
      </c>
      <c r="P326" s="7">
        <v>0</v>
      </c>
      <c r="Q326" s="7">
        <v>3</v>
      </c>
      <c r="R326" s="7">
        <f t="shared" si="32"/>
        <v>18</v>
      </c>
      <c r="S326" t="s">
        <v>36</v>
      </c>
      <c r="T326" s="7">
        <v>0</v>
      </c>
      <c r="U326" s="7">
        <v>15</v>
      </c>
      <c r="V326" s="7">
        <v>0</v>
      </c>
      <c r="W326" s="7">
        <v>3</v>
      </c>
      <c r="X326" s="7">
        <f t="shared" si="33"/>
        <v>18</v>
      </c>
      <c r="Y326" t="s">
        <v>36</v>
      </c>
      <c r="Z326">
        <v>6323.4575775699996</v>
      </c>
      <c r="AA326" t="s">
        <v>732</v>
      </c>
      <c r="AB326" t="e">
        <v>#N/A</v>
      </c>
      <c r="AF326" t="e">
        <v>#N/A</v>
      </c>
      <c r="AG326" s="8">
        <v>139</v>
      </c>
      <c r="AH326">
        <v>0</v>
      </c>
      <c r="AI326">
        <v>18</v>
      </c>
      <c r="AJ326">
        <v>0</v>
      </c>
      <c r="AK326">
        <v>0</v>
      </c>
      <c r="AL326">
        <v>0</v>
      </c>
      <c r="AM326">
        <v>18</v>
      </c>
      <c r="AN326">
        <v>0</v>
      </c>
      <c r="AO326">
        <v>0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>
        <v>6323.4575775699996</v>
      </c>
      <c r="AV326" t="s">
        <v>489</v>
      </c>
      <c r="AW326" t="str">
        <f t="shared" si="34"/>
        <v>n/a</v>
      </c>
      <c r="AY326" t="e">
        <f t="shared" si="35"/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>
        <v>2</v>
      </c>
      <c r="BF326">
        <v>2018</v>
      </c>
    </row>
    <row r="327" spans="1:58" x14ac:dyDescent="0.2">
      <c r="A327" s="7">
        <v>0</v>
      </c>
      <c r="B327" s="7">
        <v>11</v>
      </c>
      <c r="C327" s="7">
        <v>0</v>
      </c>
      <c r="D327" s="7">
        <v>3</v>
      </c>
      <c r="E327" s="7">
        <f t="shared" si="30"/>
        <v>14</v>
      </c>
      <c r="F327" s="11" t="s">
        <v>36</v>
      </c>
      <c r="G327">
        <v>0</v>
      </c>
      <c r="H327">
        <v>11</v>
      </c>
      <c r="I327">
        <v>0</v>
      </c>
      <c r="J327">
        <v>3</v>
      </c>
      <c r="K327">
        <f t="shared" si="31"/>
        <v>14</v>
      </c>
      <c r="L327" t="s">
        <v>36</v>
      </c>
      <c r="M327">
        <v>27044.44932406001</v>
      </c>
      <c r="N327" s="7">
        <v>0</v>
      </c>
      <c r="O327" s="7">
        <v>11</v>
      </c>
      <c r="P327" s="7">
        <v>0</v>
      </c>
      <c r="Q327" s="7">
        <v>3</v>
      </c>
      <c r="R327" s="7">
        <f t="shared" si="32"/>
        <v>14</v>
      </c>
      <c r="S327" t="s">
        <v>36</v>
      </c>
      <c r="T327" s="7">
        <v>2</v>
      </c>
      <c r="U327" s="7">
        <v>11</v>
      </c>
      <c r="V327" s="7">
        <v>0</v>
      </c>
      <c r="W327" s="7">
        <v>3</v>
      </c>
      <c r="X327" s="7">
        <f t="shared" si="33"/>
        <v>16</v>
      </c>
      <c r="Y327" t="s">
        <v>36</v>
      </c>
      <c r="Z327">
        <v>75975.456842590007</v>
      </c>
      <c r="AA327" t="s">
        <v>733</v>
      </c>
      <c r="AB327" t="e">
        <v>#N/A</v>
      </c>
      <c r="AF327" t="e">
        <v>#N/A</v>
      </c>
      <c r="AG327" s="8">
        <v>2</v>
      </c>
      <c r="AH327">
        <v>2</v>
      </c>
      <c r="AI327">
        <v>2</v>
      </c>
      <c r="AJ327">
        <v>0</v>
      </c>
      <c r="AK327">
        <v>1</v>
      </c>
      <c r="AL327">
        <v>1.4142135623730949</v>
      </c>
      <c r="AM327">
        <v>0</v>
      </c>
      <c r="AN327">
        <v>0</v>
      </c>
      <c r="AO327">
        <v>0.14285714285714285</v>
      </c>
      <c r="AP327">
        <v>0.14285714285714285</v>
      </c>
      <c r="AQ327">
        <v>0.21428571428571427</v>
      </c>
      <c r="AR327">
        <v>0</v>
      </c>
      <c r="AS327">
        <v>0.7857142857142857</v>
      </c>
      <c r="AT327">
        <v>0</v>
      </c>
      <c r="AU327">
        <v>103019.90616665002</v>
      </c>
      <c r="AV327" t="s">
        <v>489</v>
      </c>
      <c r="AW327" t="str">
        <f t="shared" si="34"/>
        <v>n/a</v>
      </c>
      <c r="AY327" t="e">
        <f t="shared" si="35"/>
        <v>#N/A</v>
      </c>
      <c r="AZ327" t="e">
        <v>#N/A</v>
      </c>
      <c r="BA327">
        <v>5</v>
      </c>
      <c r="BB327">
        <v>2018</v>
      </c>
      <c r="BC327">
        <v>5</v>
      </c>
      <c r="BD327">
        <v>2018</v>
      </c>
      <c r="BE327">
        <v>11</v>
      </c>
      <c r="BF327">
        <v>2018</v>
      </c>
    </row>
    <row r="328" spans="1:58" x14ac:dyDescent="0.2">
      <c r="A328" s="7">
        <v>1</v>
      </c>
      <c r="B328" s="7">
        <v>11</v>
      </c>
      <c r="C328" s="7">
        <v>0</v>
      </c>
      <c r="D328" s="7">
        <v>3</v>
      </c>
      <c r="E328" s="7">
        <f t="shared" si="30"/>
        <v>15</v>
      </c>
      <c r="F328" s="11" t="s">
        <v>36</v>
      </c>
      <c r="G328">
        <v>0</v>
      </c>
      <c r="H328">
        <v>13</v>
      </c>
      <c r="I328">
        <v>0</v>
      </c>
      <c r="J328">
        <v>3</v>
      </c>
      <c r="K328">
        <f t="shared" si="31"/>
        <v>16</v>
      </c>
      <c r="L328" t="s">
        <v>36</v>
      </c>
      <c r="M328">
        <v>20766.44011571</v>
      </c>
      <c r="N328" s="7">
        <v>0</v>
      </c>
      <c r="O328" s="7">
        <v>11</v>
      </c>
      <c r="P328" s="7">
        <v>0</v>
      </c>
      <c r="Q328" s="7">
        <v>3</v>
      </c>
      <c r="R328" s="7">
        <f t="shared" si="32"/>
        <v>14</v>
      </c>
      <c r="S328" t="s">
        <v>36</v>
      </c>
      <c r="T328" s="7">
        <v>2</v>
      </c>
      <c r="U328" s="7">
        <v>9</v>
      </c>
      <c r="V328" s="7">
        <v>0</v>
      </c>
      <c r="W328" s="7">
        <v>3</v>
      </c>
      <c r="X328" s="7">
        <f t="shared" si="33"/>
        <v>14</v>
      </c>
      <c r="Y328" t="s">
        <v>36</v>
      </c>
      <c r="Z328">
        <v>97312.024027459993</v>
      </c>
      <c r="AA328" t="s">
        <v>734</v>
      </c>
      <c r="AB328">
        <v>66</v>
      </c>
      <c r="AC328">
        <v>0</v>
      </c>
      <c r="AD328" t="s">
        <v>82</v>
      </c>
      <c r="AE328" t="s">
        <v>75</v>
      </c>
      <c r="AF328">
        <v>106</v>
      </c>
      <c r="AG328" s="8">
        <v>50</v>
      </c>
      <c r="AH328">
        <v>0</v>
      </c>
      <c r="AI328">
        <v>-1</v>
      </c>
      <c r="AJ328">
        <v>1</v>
      </c>
      <c r="AK328">
        <v>0</v>
      </c>
      <c r="AL328">
        <v>0</v>
      </c>
      <c r="AM328">
        <v>-2</v>
      </c>
      <c r="AN328">
        <v>1</v>
      </c>
      <c r="AO328">
        <v>0</v>
      </c>
      <c r="AP328">
        <v>0</v>
      </c>
      <c r="AQ328">
        <v>0.2</v>
      </c>
      <c r="AR328">
        <v>6.6666666666666666E-2</v>
      </c>
      <c r="AS328">
        <v>0.73333333333333328</v>
      </c>
      <c r="AT328">
        <v>0</v>
      </c>
      <c r="AU328">
        <v>118078.46414316999</v>
      </c>
      <c r="AV328">
        <v>8</v>
      </c>
      <c r="AW328">
        <f t="shared" si="34"/>
        <v>0</v>
      </c>
      <c r="AX328">
        <v>0</v>
      </c>
      <c r="AY328">
        <f t="shared" si="35"/>
        <v>0</v>
      </c>
      <c r="AZ328">
        <v>0</v>
      </c>
      <c r="BA328">
        <v>7</v>
      </c>
      <c r="BB328">
        <v>2018</v>
      </c>
      <c r="BC328">
        <v>10</v>
      </c>
      <c r="BD328">
        <v>2018</v>
      </c>
      <c r="BE328">
        <v>12</v>
      </c>
      <c r="BF328">
        <v>2018</v>
      </c>
    </row>
    <row r="329" spans="1:58" x14ac:dyDescent="0.2">
      <c r="A329" s="7">
        <v>0</v>
      </c>
      <c r="B329" s="7">
        <v>15</v>
      </c>
      <c r="C329" s="7">
        <v>0</v>
      </c>
      <c r="D329" s="7">
        <v>3</v>
      </c>
      <c r="E329" s="7">
        <f t="shared" si="30"/>
        <v>18</v>
      </c>
      <c r="F329" s="11" t="e">
        <v>#N/A</v>
      </c>
      <c r="G329">
        <v>0</v>
      </c>
      <c r="H329">
        <v>15</v>
      </c>
      <c r="I329">
        <v>0</v>
      </c>
      <c r="J329">
        <v>3</v>
      </c>
      <c r="K329">
        <f t="shared" si="31"/>
        <v>18</v>
      </c>
      <c r="L329" t="e">
        <v>#N/A</v>
      </c>
      <c r="M329">
        <v>16285.184443440001</v>
      </c>
      <c r="N329" s="7">
        <v>0</v>
      </c>
      <c r="O329" s="7">
        <v>0</v>
      </c>
      <c r="P329" s="7">
        <v>0</v>
      </c>
      <c r="Q329" s="7">
        <v>0</v>
      </c>
      <c r="R329" s="7">
        <f t="shared" si="32"/>
        <v>0</v>
      </c>
      <c r="S329" t="e">
        <v>#N/A</v>
      </c>
      <c r="T329" s="7">
        <v>0</v>
      </c>
      <c r="U329" s="7">
        <v>0</v>
      </c>
      <c r="V329" s="7">
        <v>0</v>
      </c>
      <c r="W329" s="7">
        <v>0</v>
      </c>
      <c r="X329" s="7">
        <f t="shared" si="33"/>
        <v>0</v>
      </c>
      <c r="Y329" t="e">
        <v>#N/A</v>
      </c>
      <c r="AA329" t="s">
        <v>230</v>
      </c>
      <c r="AB329">
        <v>68</v>
      </c>
      <c r="AC329">
        <v>0</v>
      </c>
      <c r="AD329" t="s">
        <v>82</v>
      </c>
      <c r="AE329" t="s">
        <v>75</v>
      </c>
      <c r="AF329" t="e">
        <v>#N/A</v>
      </c>
      <c r="AG329" s="8"/>
      <c r="AH329">
        <v>0</v>
      </c>
      <c r="AI329">
        <v>-18</v>
      </c>
      <c r="AJ329">
        <v>0</v>
      </c>
      <c r="AK329" t="e">
        <v>#N/A</v>
      </c>
      <c r="AL329" t="e">
        <v>#N/A</v>
      </c>
      <c r="AM329">
        <v>-18</v>
      </c>
      <c r="AN329">
        <v>1</v>
      </c>
      <c r="AO329" t="e">
        <v>#N/A</v>
      </c>
      <c r="AP329">
        <v>0</v>
      </c>
      <c r="AQ329">
        <v>0.16666666666666666</v>
      </c>
      <c r="AR329">
        <v>0</v>
      </c>
      <c r="AS329">
        <v>0.83333333333333337</v>
      </c>
      <c r="AT329">
        <v>0</v>
      </c>
      <c r="AU329">
        <v>16285.184443440001</v>
      </c>
      <c r="AV329">
        <v>11</v>
      </c>
      <c r="AW329">
        <f t="shared" si="34"/>
        <v>1</v>
      </c>
      <c r="AX329">
        <v>0</v>
      </c>
      <c r="AY329">
        <f t="shared" si="35"/>
        <v>0</v>
      </c>
      <c r="AZ329" t="e">
        <v>#N/A</v>
      </c>
      <c r="BA329">
        <v>7</v>
      </c>
      <c r="BB329">
        <v>2020</v>
      </c>
      <c r="BC329">
        <v>7</v>
      </c>
      <c r="BD329">
        <v>2020</v>
      </c>
      <c r="BE329" t="e">
        <v>#N/A</v>
      </c>
      <c r="BF329" t="e">
        <v>#N/A</v>
      </c>
    </row>
    <row r="330" spans="1:58" x14ac:dyDescent="0.2">
      <c r="A330" s="7">
        <v>0</v>
      </c>
      <c r="B330" s="7">
        <v>13</v>
      </c>
      <c r="C330" s="7">
        <v>0</v>
      </c>
      <c r="D330" s="7">
        <v>0</v>
      </c>
      <c r="E330" s="7">
        <f t="shared" si="30"/>
        <v>13</v>
      </c>
      <c r="F330" s="11" t="e">
        <v>#N/A</v>
      </c>
      <c r="G330">
        <v>0</v>
      </c>
      <c r="H330">
        <v>13</v>
      </c>
      <c r="I330">
        <v>0</v>
      </c>
      <c r="J330">
        <v>0</v>
      </c>
      <c r="K330">
        <f t="shared" si="31"/>
        <v>13</v>
      </c>
      <c r="L330" t="e">
        <v>#N/A</v>
      </c>
      <c r="M330">
        <v>28581.809701760001</v>
      </c>
      <c r="N330" s="7">
        <v>0</v>
      </c>
      <c r="O330" s="7">
        <v>11</v>
      </c>
      <c r="P330" s="7">
        <v>0</v>
      </c>
      <c r="Q330" s="7">
        <v>0</v>
      </c>
      <c r="R330" s="7">
        <f t="shared" si="32"/>
        <v>11</v>
      </c>
      <c r="S330" t="e">
        <v>#N/A</v>
      </c>
      <c r="T330" s="7">
        <v>0</v>
      </c>
      <c r="U330" s="7">
        <v>11</v>
      </c>
      <c r="V330" s="7">
        <v>0</v>
      </c>
      <c r="W330" s="7">
        <v>1</v>
      </c>
      <c r="X330" s="7">
        <f t="shared" si="33"/>
        <v>12</v>
      </c>
      <c r="Y330" t="e">
        <v>#N/A</v>
      </c>
      <c r="Z330">
        <v>14855.514512039999</v>
      </c>
      <c r="AA330" t="s">
        <v>230</v>
      </c>
      <c r="AB330">
        <v>68</v>
      </c>
      <c r="AC330">
        <v>383</v>
      </c>
      <c r="AD330" t="s">
        <v>231</v>
      </c>
      <c r="AE330" t="s">
        <v>75</v>
      </c>
      <c r="AF330">
        <v>25</v>
      </c>
      <c r="AG330" s="8">
        <v>7</v>
      </c>
      <c r="AH330">
        <v>1</v>
      </c>
      <c r="AI330">
        <v>-1</v>
      </c>
      <c r="AJ330">
        <v>0</v>
      </c>
      <c r="AK330">
        <v>0.14285714285714285</v>
      </c>
      <c r="AL330">
        <v>0.3779644730092272</v>
      </c>
      <c r="AM330">
        <v>-2</v>
      </c>
      <c r="AN330">
        <v>1</v>
      </c>
      <c r="AO330">
        <v>9.0909090909090912E-2</v>
      </c>
      <c r="AP330">
        <v>7.6923076923076927E-2</v>
      </c>
      <c r="AQ330">
        <v>0</v>
      </c>
      <c r="AR330">
        <v>0</v>
      </c>
      <c r="AS330">
        <v>1</v>
      </c>
      <c r="AT330">
        <v>0</v>
      </c>
      <c r="AU330">
        <v>43437.324213799999</v>
      </c>
      <c r="AV330">
        <v>18</v>
      </c>
      <c r="AW330">
        <f t="shared" si="34"/>
        <v>1</v>
      </c>
      <c r="AX330">
        <v>383</v>
      </c>
      <c r="AY330">
        <f t="shared" si="35"/>
        <v>1</v>
      </c>
      <c r="AZ330">
        <v>15.32</v>
      </c>
      <c r="BA330">
        <v>11</v>
      </c>
      <c r="BB330">
        <v>2020</v>
      </c>
      <c r="BC330">
        <v>12</v>
      </c>
      <c r="BD330">
        <v>2020</v>
      </c>
      <c r="BE330">
        <v>12</v>
      </c>
      <c r="BF330">
        <v>2020</v>
      </c>
    </row>
    <row r="331" spans="1:58" x14ac:dyDescent="0.2">
      <c r="A331" s="7">
        <v>15</v>
      </c>
      <c r="B331" s="7">
        <v>40</v>
      </c>
      <c r="C331" s="7">
        <v>8</v>
      </c>
      <c r="D331" s="7">
        <v>5</v>
      </c>
      <c r="E331" s="7">
        <f t="shared" si="30"/>
        <v>68</v>
      </c>
      <c r="F331" s="11" t="s">
        <v>36</v>
      </c>
      <c r="G331">
        <v>10</v>
      </c>
      <c r="H331">
        <v>38</v>
      </c>
      <c r="I331">
        <v>7</v>
      </c>
      <c r="J331">
        <v>5</v>
      </c>
      <c r="K331">
        <f t="shared" si="31"/>
        <v>60</v>
      </c>
      <c r="L331" t="s">
        <v>36</v>
      </c>
      <c r="M331">
        <v>12444.86711053</v>
      </c>
      <c r="N331" s="7">
        <v>10</v>
      </c>
      <c r="O331" s="7">
        <v>38</v>
      </c>
      <c r="P331" s="7">
        <v>7</v>
      </c>
      <c r="Q331" s="7">
        <v>5</v>
      </c>
      <c r="R331" s="7">
        <f t="shared" si="32"/>
        <v>60</v>
      </c>
      <c r="S331" t="s">
        <v>36</v>
      </c>
      <c r="T331" s="7">
        <v>20</v>
      </c>
      <c r="U331" s="7">
        <v>40</v>
      </c>
      <c r="V331" s="7">
        <v>9</v>
      </c>
      <c r="W331" s="7">
        <v>16</v>
      </c>
      <c r="X331" s="7">
        <f t="shared" si="33"/>
        <v>85</v>
      </c>
      <c r="Y331" t="s">
        <v>36</v>
      </c>
      <c r="Z331">
        <v>114544.29159248</v>
      </c>
      <c r="AA331" t="s">
        <v>735</v>
      </c>
      <c r="AB331" t="e">
        <v>#N/A</v>
      </c>
      <c r="AF331">
        <v>227</v>
      </c>
      <c r="AG331" s="8">
        <v>177</v>
      </c>
      <c r="AH331">
        <v>25</v>
      </c>
      <c r="AI331">
        <v>17</v>
      </c>
      <c r="AJ331">
        <v>-8</v>
      </c>
      <c r="AK331">
        <v>0.14124293785310735</v>
      </c>
      <c r="AL331">
        <v>1.8791150700070722</v>
      </c>
      <c r="AM331">
        <v>0</v>
      </c>
      <c r="AN331">
        <v>0</v>
      </c>
      <c r="AO331">
        <v>0.41666666666666669</v>
      </c>
      <c r="AP331">
        <v>0.36764705882352944</v>
      </c>
      <c r="AQ331">
        <v>7.3529411764705885E-2</v>
      </c>
      <c r="AR331">
        <v>0.22058823529411764</v>
      </c>
      <c r="AS331">
        <v>0.58823529411764708</v>
      </c>
      <c r="AT331">
        <v>0.11764705882352941</v>
      </c>
      <c r="AU331">
        <v>126989.15870301001</v>
      </c>
      <c r="AV331" t="s">
        <v>489</v>
      </c>
      <c r="AW331" t="str">
        <f t="shared" si="34"/>
        <v>n/a</v>
      </c>
      <c r="AY331" t="e">
        <f t="shared" si="35"/>
        <v>#N/A</v>
      </c>
      <c r="AZ331" t="e">
        <v>#N/A</v>
      </c>
      <c r="BA331">
        <v>3</v>
      </c>
      <c r="BB331">
        <v>2018</v>
      </c>
      <c r="BC331">
        <v>11</v>
      </c>
      <c r="BD331">
        <v>2018</v>
      </c>
      <c r="BE331">
        <v>4</v>
      </c>
      <c r="BF331">
        <v>2018</v>
      </c>
    </row>
    <row r="332" spans="1:58" x14ac:dyDescent="0.2">
      <c r="A332" s="7">
        <v>9</v>
      </c>
      <c r="B332" s="7">
        <v>21</v>
      </c>
      <c r="C332" s="7">
        <v>1</v>
      </c>
      <c r="D332" s="7">
        <v>5</v>
      </c>
      <c r="E332" s="7">
        <f t="shared" si="30"/>
        <v>36</v>
      </c>
      <c r="F332" s="11" t="s">
        <v>36</v>
      </c>
      <c r="G332">
        <v>9</v>
      </c>
      <c r="H332">
        <v>21</v>
      </c>
      <c r="I332">
        <v>0</v>
      </c>
      <c r="J332">
        <v>5</v>
      </c>
      <c r="K332">
        <f t="shared" si="31"/>
        <v>35</v>
      </c>
      <c r="L332" t="s">
        <v>36</v>
      </c>
      <c r="M332">
        <v>10331.683039199999</v>
      </c>
      <c r="N332" s="7">
        <v>15</v>
      </c>
      <c r="O332" s="7">
        <v>25</v>
      </c>
      <c r="P332" s="7">
        <v>5</v>
      </c>
      <c r="Q332" s="7">
        <v>6</v>
      </c>
      <c r="R332" s="7">
        <f t="shared" si="32"/>
        <v>51</v>
      </c>
      <c r="S332" t="s">
        <v>36</v>
      </c>
      <c r="T332" s="7">
        <v>9</v>
      </c>
      <c r="U332" s="7">
        <v>21</v>
      </c>
      <c r="V332" s="7">
        <v>1</v>
      </c>
      <c r="W332" s="7">
        <v>5</v>
      </c>
      <c r="X332" s="7">
        <f t="shared" si="33"/>
        <v>36</v>
      </c>
      <c r="Y332" t="s">
        <v>36</v>
      </c>
      <c r="Z332">
        <v>17654.171350000001</v>
      </c>
      <c r="AA332" t="s">
        <v>736</v>
      </c>
      <c r="AB332" t="e">
        <v>#N/A</v>
      </c>
      <c r="AF332">
        <v>44</v>
      </c>
      <c r="AG332" s="8">
        <v>204</v>
      </c>
      <c r="AH332">
        <v>-15</v>
      </c>
      <c r="AI332">
        <v>0</v>
      </c>
      <c r="AJ332">
        <v>-1</v>
      </c>
      <c r="AK332">
        <v>-7.3529411764705885E-2</v>
      </c>
      <c r="AL332">
        <v>-1.0502100630210074</v>
      </c>
      <c r="AM332">
        <v>16</v>
      </c>
      <c r="AN332">
        <v>0</v>
      </c>
      <c r="AO332">
        <v>-0.29411764705882354</v>
      </c>
      <c r="AP332">
        <v>-0.41666666666666669</v>
      </c>
      <c r="AQ332">
        <v>0.1388888888888889</v>
      </c>
      <c r="AR332">
        <v>0.25</v>
      </c>
      <c r="AS332">
        <v>0.58333333333333337</v>
      </c>
      <c r="AT332">
        <v>2.7777777777777776E-2</v>
      </c>
      <c r="AU332">
        <v>27985.854389200002</v>
      </c>
      <c r="AV332" t="s">
        <v>489</v>
      </c>
      <c r="AW332" t="str">
        <f t="shared" si="34"/>
        <v>n/a</v>
      </c>
      <c r="AY332" t="e">
        <f t="shared" si="35"/>
        <v>#N/A</v>
      </c>
      <c r="AZ332" t="e">
        <v>#N/A</v>
      </c>
      <c r="BA332">
        <v>2</v>
      </c>
      <c r="BB332">
        <v>2018</v>
      </c>
      <c r="BC332">
        <v>3</v>
      </c>
      <c r="BD332">
        <v>2018</v>
      </c>
      <c r="BE332">
        <v>5</v>
      </c>
      <c r="BF332">
        <v>2018</v>
      </c>
    </row>
    <row r="333" spans="1:58" x14ac:dyDescent="0.2">
      <c r="A333" s="7">
        <v>0</v>
      </c>
      <c r="B333" s="7">
        <v>0</v>
      </c>
      <c r="C333" s="7">
        <v>0</v>
      </c>
      <c r="D333" s="7">
        <v>0</v>
      </c>
      <c r="E333" s="7">
        <f t="shared" si="30"/>
        <v>0</v>
      </c>
      <c r="F333" s="11" t="e">
        <v>#N/A</v>
      </c>
      <c r="G333">
        <v>0</v>
      </c>
      <c r="H333">
        <v>0</v>
      </c>
      <c r="I333">
        <v>0</v>
      </c>
      <c r="J333">
        <v>0</v>
      </c>
      <c r="K333">
        <f t="shared" si="31"/>
        <v>0</v>
      </c>
      <c r="L333" t="e">
        <v>#N/A</v>
      </c>
      <c r="N333" s="7">
        <v>5</v>
      </c>
      <c r="O333" s="7">
        <v>18</v>
      </c>
      <c r="P333" s="7">
        <v>0</v>
      </c>
      <c r="Q333" s="7">
        <v>5</v>
      </c>
      <c r="R333" s="7">
        <f t="shared" si="32"/>
        <v>28</v>
      </c>
      <c r="S333" t="s">
        <v>36</v>
      </c>
      <c r="T333" s="7">
        <v>6</v>
      </c>
      <c r="U333" s="7">
        <v>18</v>
      </c>
      <c r="V333" s="7">
        <v>0</v>
      </c>
      <c r="W333" s="7">
        <v>5</v>
      </c>
      <c r="X333" s="7">
        <f t="shared" si="33"/>
        <v>29</v>
      </c>
      <c r="Y333" t="s">
        <v>36</v>
      </c>
      <c r="Z333">
        <v>12468.43922</v>
      </c>
      <c r="AA333" t="s">
        <v>737</v>
      </c>
      <c r="AB333" t="e">
        <v>#N/A</v>
      </c>
      <c r="AF333" t="e">
        <v>#N/A</v>
      </c>
      <c r="AG333" s="8">
        <v>251</v>
      </c>
      <c r="AH333">
        <v>1</v>
      </c>
      <c r="AI333">
        <v>29</v>
      </c>
      <c r="AJ333">
        <v>0</v>
      </c>
      <c r="AK333">
        <v>3.9840637450199202E-3</v>
      </c>
      <c r="AL333">
        <v>6.3119440309780311E-2</v>
      </c>
      <c r="AM333">
        <v>28</v>
      </c>
      <c r="AN333">
        <v>0</v>
      </c>
      <c r="AO333">
        <v>3.5714285714285712E-2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>
        <v>12468.43922</v>
      </c>
      <c r="AV333" t="s">
        <v>489</v>
      </c>
      <c r="AW333" t="str">
        <f t="shared" si="34"/>
        <v>n/a</v>
      </c>
      <c r="AY333" t="e">
        <f t="shared" si="35"/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>
        <v>2</v>
      </c>
      <c r="BF333">
        <v>2018</v>
      </c>
    </row>
    <row r="334" spans="1:58" x14ac:dyDescent="0.2">
      <c r="A334" s="7">
        <v>10</v>
      </c>
      <c r="B334" s="7">
        <v>24</v>
      </c>
      <c r="C334" s="7">
        <v>4</v>
      </c>
      <c r="D334" s="7">
        <v>5</v>
      </c>
      <c r="E334" s="7">
        <f t="shared" si="30"/>
        <v>43</v>
      </c>
      <c r="F334" s="11" t="s">
        <v>36</v>
      </c>
      <c r="G334">
        <v>10</v>
      </c>
      <c r="H334">
        <v>24</v>
      </c>
      <c r="I334">
        <v>4</v>
      </c>
      <c r="J334">
        <v>5</v>
      </c>
      <c r="K334">
        <f t="shared" si="31"/>
        <v>43</v>
      </c>
      <c r="L334" t="s">
        <v>36</v>
      </c>
      <c r="M334">
        <v>12986.28848626</v>
      </c>
      <c r="N334" s="7">
        <v>7</v>
      </c>
      <c r="O334" s="7">
        <v>24</v>
      </c>
      <c r="P334" s="7">
        <v>4</v>
      </c>
      <c r="Q334" s="7">
        <v>5</v>
      </c>
      <c r="R334" s="7">
        <f t="shared" si="32"/>
        <v>40</v>
      </c>
      <c r="S334" t="s">
        <v>36</v>
      </c>
      <c r="T334" s="7">
        <v>7</v>
      </c>
      <c r="U334" s="7">
        <v>24</v>
      </c>
      <c r="V334" s="7">
        <v>4</v>
      </c>
      <c r="W334" s="7">
        <v>5</v>
      </c>
      <c r="X334" s="7">
        <f t="shared" si="33"/>
        <v>40</v>
      </c>
      <c r="Y334" t="s">
        <v>36</v>
      </c>
      <c r="Z334">
        <v>15776.057248040001</v>
      </c>
      <c r="AA334" t="s">
        <v>738</v>
      </c>
      <c r="AB334">
        <v>21</v>
      </c>
      <c r="AC334">
        <v>0</v>
      </c>
      <c r="AD334" t="s">
        <v>82</v>
      </c>
      <c r="AE334" t="s">
        <v>41</v>
      </c>
      <c r="AF334" t="e">
        <v>#N/A</v>
      </c>
      <c r="AG334" s="8">
        <v>0</v>
      </c>
      <c r="AH334">
        <v>0</v>
      </c>
      <c r="AI334">
        <v>-3</v>
      </c>
      <c r="AJ334">
        <v>0</v>
      </c>
      <c r="AK334" t="e">
        <v>#N/A</v>
      </c>
      <c r="AL334" t="e">
        <v>#N/A</v>
      </c>
      <c r="AM334">
        <v>-3</v>
      </c>
      <c r="AN334">
        <v>1</v>
      </c>
      <c r="AO334">
        <v>0</v>
      </c>
      <c r="AP334">
        <v>0</v>
      </c>
      <c r="AQ334">
        <v>0.11627906976744186</v>
      </c>
      <c r="AR334">
        <v>0.23255813953488372</v>
      </c>
      <c r="AS334">
        <v>0.55813953488372092</v>
      </c>
      <c r="AT334">
        <v>9.3023255813953487E-2</v>
      </c>
      <c r="AU334">
        <v>28762.345734300001</v>
      </c>
      <c r="AV334">
        <v>6</v>
      </c>
      <c r="AW334">
        <f t="shared" si="34"/>
        <v>0</v>
      </c>
      <c r="AX334">
        <v>0</v>
      </c>
      <c r="AY334">
        <f t="shared" si="35"/>
        <v>0</v>
      </c>
      <c r="AZ334" t="e">
        <v>#N/A</v>
      </c>
      <c r="BA334">
        <v>10</v>
      </c>
      <c r="BB334">
        <v>2019</v>
      </c>
      <c r="BC334">
        <v>10</v>
      </c>
      <c r="BD334">
        <v>2019</v>
      </c>
      <c r="BE334">
        <v>10</v>
      </c>
      <c r="BF334">
        <v>2019</v>
      </c>
    </row>
    <row r="335" spans="1:58" x14ac:dyDescent="0.2">
      <c r="A335" s="7">
        <v>20</v>
      </c>
      <c r="B335" s="7">
        <v>40</v>
      </c>
      <c r="C335" s="7">
        <v>9</v>
      </c>
      <c r="D335" s="7">
        <v>7</v>
      </c>
      <c r="E335" s="7">
        <f t="shared" si="30"/>
        <v>76</v>
      </c>
      <c r="F335" s="11" t="s">
        <v>36</v>
      </c>
      <c r="G335">
        <v>6</v>
      </c>
      <c r="H335">
        <v>15</v>
      </c>
      <c r="I335">
        <v>4</v>
      </c>
      <c r="J335">
        <v>6</v>
      </c>
      <c r="K335">
        <f t="shared" si="31"/>
        <v>31</v>
      </c>
      <c r="L335" t="s">
        <v>36</v>
      </c>
      <c r="M335">
        <v>24998.597687959991</v>
      </c>
      <c r="N335" s="7">
        <v>9</v>
      </c>
      <c r="O335" s="7">
        <v>35</v>
      </c>
      <c r="P335" s="7">
        <v>6</v>
      </c>
      <c r="Q335" s="7">
        <v>7</v>
      </c>
      <c r="R335" s="7">
        <f t="shared" si="32"/>
        <v>57</v>
      </c>
      <c r="S335" t="s">
        <v>36</v>
      </c>
      <c r="T335" s="7">
        <v>18</v>
      </c>
      <c r="U335" s="7">
        <v>40</v>
      </c>
      <c r="V335" s="7">
        <v>6</v>
      </c>
      <c r="W335" s="7">
        <v>7</v>
      </c>
      <c r="X335" s="7">
        <f t="shared" si="33"/>
        <v>71</v>
      </c>
      <c r="Y335" t="s">
        <v>36</v>
      </c>
      <c r="Z335">
        <v>30763.706484400002</v>
      </c>
      <c r="AA335" t="s">
        <v>739</v>
      </c>
      <c r="AB335">
        <v>49</v>
      </c>
      <c r="AC335">
        <v>5</v>
      </c>
      <c r="AD335" t="s">
        <v>232</v>
      </c>
      <c r="AE335" t="s">
        <v>75</v>
      </c>
      <c r="AF335">
        <v>132</v>
      </c>
      <c r="AG335" s="8">
        <v>121</v>
      </c>
      <c r="AH335">
        <v>14</v>
      </c>
      <c r="AI335">
        <v>-5</v>
      </c>
      <c r="AJ335">
        <v>-45</v>
      </c>
      <c r="AK335">
        <v>0.11570247933884298</v>
      </c>
      <c r="AL335">
        <v>1.2727272727272727</v>
      </c>
      <c r="AM335">
        <v>26</v>
      </c>
      <c r="AN335">
        <v>0</v>
      </c>
      <c r="AO335">
        <v>0.24561403508771928</v>
      </c>
      <c r="AP335">
        <v>0.18421052631578946</v>
      </c>
      <c r="AQ335">
        <v>9.2105263157894732E-2</v>
      </c>
      <c r="AR335">
        <v>0.26315789473684209</v>
      </c>
      <c r="AS335">
        <v>0.52631578947368418</v>
      </c>
      <c r="AT335">
        <v>0.11842105263157894</v>
      </c>
      <c r="AU335">
        <v>55762.304172359989</v>
      </c>
      <c r="AV335">
        <v>13</v>
      </c>
      <c r="AW335">
        <f t="shared" si="34"/>
        <v>1</v>
      </c>
      <c r="AX335">
        <v>5</v>
      </c>
      <c r="AY335">
        <f t="shared" si="35"/>
        <v>1</v>
      </c>
      <c r="AZ335">
        <v>3.787878787878788E-2</v>
      </c>
      <c r="BA335">
        <v>1</v>
      </c>
      <c r="BB335">
        <v>2019</v>
      </c>
      <c r="BC335">
        <v>6</v>
      </c>
      <c r="BD335">
        <v>2019</v>
      </c>
      <c r="BE335">
        <v>1</v>
      </c>
      <c r="BF335">
        <v>2019</v>
      </c>
    </row>
    <row r="336" spans="1:58" x14ac:dyDescent="0.2">
      <c r="A336" s="7">
        <v>0</v>
      </c>
      <c r="B336" s="7">
        <v>15</v>
      </c>
      <c r="C336" s="7">
        <v>0</v>
      </c>
      <c r="D336" s="7">
        <v>3</v>
      </c>
      <c r="E336" s="7">
        <f t="shared" si="30"/>
        <v>18</v>
      </c>
      <c r="F336" s="11" t="s">
        <v>42</v>
      </c>
      <c r="G336">
        <v>0</v>
      </c>
      <c r="H336">
        <v>15</v>
      </c>
      <c r="I336">
        <v>0</v>
      </c>
      <c r="J336">
        <v>1</v>
      </c>
      <c r="K336">
        <f t="shared" si="31"/>
        <v>16</v>
      </c>
      <c r="L336" t="s">
        <v>42</v>
      </c>
      <c r="M336">
        <v>9945.9240445699998</v>
      </c>
      <c r="N336" s="7">
        <v>0</v>
      </c>
      <c r="O336" s="7">
        <v>15</v>
      </c>
      <c r="P336" s="7">
        <v>0</v>
      </c>
      <c r="Q336" s="7">
        <v>3</v>
      </c>
      <c r="R336" s="7">
        <f t="shared" si="32"/>
        <v>18</v>
      </c>
      <c r="S336" t="s">
        <v>42</v>
      </c>
      <c r="T336" s="7">
        <v>0</v>
      </c>
      <c r="U336" s="7">
        <v>15</v>
      </c>
      <c r="V336" s="7">
        <v>0</v>
      </c>
      <c r="W336" s="7">
        <v>1</v>
      </c>
      <c r="X336" s="7">
        <f t="shared" si="33"/>
        <v>16</v>
      </c>
      <c r="Y336" t="s">
        <v>42</v>
      </c>
      <c r="Z336">
        <v>32157.35709288</v>
      </c>
      <c r="AA336" t="s">
        <v>740</v>
      </c>
      <c r="AB336" t="e">
        <v>#N/A</v>
      </c>
      <c r="AF336">
        <v>95</v>
      </c>
      <c r="AG336" s="8">
        <v>70</v>
      </c>
      <c r="AH336">
        <v>-2</v>
      </c>
      <c r="AI336">
        <v>-2</v>
      </c>
      <c r="AJ336">
        <v>-2</v>
      </c>
      <c r="AK336">
        <v>-2.8571428571428571E-2</v>
      </c>
      <c r="AL336">
        <v>-0.23904572186687872</v>
      </c>
      <c r="AM336">
        <v>2</v>
      </c>
      <c r="AN336">
        <v>0</v>
      </c>
      <c r="AO336">
        <v>-0.1111111111111111</v>
      </c>
      <c r="AP336">
        <v>-0.1111111111111111</v>
      </c>
      <c r="AQ336">
        <v>0.16666666666666666</v>
      </c>
      <c r="AR336">
        <v>0</v>
      </c>
      <c r="AS336">
        <v>0.83333333333333337</v>
      </c>
      <c r="AT336">
        <v>0</v>
      </c>
      <c r="AU336">
        <v>42103.281137450002</v>
      </c>
      <c r="AV336" t="s">
        <v>489</v>
      </c>
      <c r="AW336" t="str">
        <f t="shared" si="34"/>
        <v>n/a</v>
      </c>
      <c r="AY336" t="e">
        <f t="shared" si="35"/>
        <v>#N/A</v>
      </c>
      <c r="AZ336" t="e">
        <v>#N/A</v>
      </c>
      <c r="BA336">
        <v>2</v>
      </c>
      <c r="BB336">
        <v>2018</v>
      </c>
      <c r="BC336">
        <v>6</v>
      </c>
      <c r="BD336">
        <v>2018</v>
      </c>
      <c r="BE336">
        <v>1</v>
      </c>
      <c r="BF336">
        <v>2018</v>
      </c>
    </row>
    <row r="337" spans="1:58" x14ac:dyDescent="0.2">
      <c r="A337" s="7">
        <v>3</v>
      </c>
      <c r="B337" s="7">
        <v>15</v>
      </c>
      <c r="C337" s="7">
        <v>0</v>
      </c>
      <c r="D337" s="7">
        <v>3</v>
      </c>
      <c r="E337" s="7">
        <f t="shared" si="30"/>
        <v>21</v>
      </c>
      <c r="F337" s="11" t="s">
        <v>39</v>
      </c>
      <c r="G337">
        <v>3</v>
      </c>
      <c r="H337">
        <v>15</v>
      </c>
      <c r="I337">
        <v>0</v>
      </c>
      <c r="J337">
        <v>3</v>
      </c>
      <c r="K337">
        <f t="shared" si="31"/>
        <v>21</v>
      </c>
      <c r="L337" t="s">
        <v>39</v>
      </c>
      <c r="M337">
        <v>17294.103170359998</v>
      </c>
      <c r="N337" s="7">
        <v>2</v>
      </c>
      <c r="O337" s="7">
        <v>15</v>
      </c>
      <c r="P337" s="7">
        <v>0</v>
      </c>
      <c r="Q337" s="7">
        <v>3</v>
      </c>
      <c r="R337" s="7">
        <f t="shared" si="32"/>
        <v>20</v>
      </c>
      <c r="S337" t="e">
        <v>#N/A</v>
      </c>
      <c r="T337" s="7">
        <v>2</v>
      </c>
      <c r="U337" s="7">
        <v>15</v>
      </c>
      <c r="V337" s="7">
        <v>0</v>
      </c>
      <c r="W337" s="7">
        <v>3</v>
      </c>
      <c r="X337" s="7">
        <f t="shared" si="33"/>
        <v>20</v>
      </c>
      <c r="Y337" t="e">
        <v>#N/A</v>
      </c>
      <c r="Z337">
        <v>16529.90908691</v>
      </c>
      <c r="AA337" t="s">
        <v>233</v>
      </c>
      <c r="AB337">
        <v>75</v>
      </c>
      <c r="AC337">
        <v>0</v>
      </c>
      <c r="AD337" t="s">
        <v>217</v>
      </c>
      <c r="AE337" t="s">
        <v>75</v>
      </c>
      <c r="AF337" t="e">
        <v>#N/A</v>
      </c>
      <c r="AG337" s="8">
        <v>152</v>
      </c>
      <c r="AH337">
        <v>0</v>
      </c>
      <c r="AI337">
        <v>-1</v>
      </c>
      <c r="AJ337">
        <v>0</v>
      </c>
      <c r="AK337">
        <v>0</v>
      </c>
      <c r="AL337">
        <v>0</v>
      </c>
      <c r="AM337">
        <v>-1</v>
      </c>
      <c r="AN337">
        <v>1</v>
      </c>
      <c r="AO337">
        <v>0</v>
      </c>
      <c r="AP337">
        <v>0</v>
      </c>
      <c r="AQ337">
        <v>0.14285714285714285</v>
      </c>
      <c r="AR337">
        <v>0.14285714285714285</v>
      </c>
      <c r="AS337">
        <v>0.7142857142857143</v>
      </c>
      <c r="AT337">
        <v>0</v>
      </c>
      <c r="AU337">
        <v>33824.012257269998</v>
      </c>
      <c r="AV337">
        <v>8</v>
      </c>
      <c r="AW337">
        <f t="shared" si="34"/>
        <v>0</v>
      </c>
      <c r="AX337">
        <v>0</v>
      </c>
      <c r="AY337">
        <f t="shared" si="35"/>
        <v>0</v>
      </c>
      <c r="AZ337" t="e">
        <v>#N/A</v>
      </c>
      <c r="BA337">
        <v>9</v>
      </c>
      <c r="BB337">
        <v>2020</v>
      </c>
      <c r="BC337">
        <v>9</v>
      </c>
      <c r="BD337">
        <v>2020</v>
      </c>
      <c r="BE337">
        <v>1</v>
      </c>
      <c r="BF337">
        <v>2020</v>
      </c>
    </row>
    <row r="338" spans="1:58" x14ac:dyDescent="0.2">
      <c r="A338" s="7">
        <v>15</v>
      </c>
      <c r="B338" s="7">
        <v>40</v>
      </c>
      <c r="C338" s="7">
        <v>10</v>
      </c>
      <c r="D338" s="7">
        <v>24</v>
      </c>
      <c r="E338" s="7">
        <f t="shared" si="30"/>
        <v>89</v>
      </c>
      <c r="F338" s="11" t="s">
        <v>38</v>
      </c>
      <c r="G338">
        <v>15</v>
      </c>
      <c r="H338">
        <v>40</v>
      </c>
      <c r="I338">
        <v>10</v>
      </c>
      <c r="J338">
        <v>24</v>
      </c>
      <c r="K338">
        <f t="shared" si="31"/>
        <v>89</v>
      </c>
      <c r="L338" t="s">
        <v>38</v>
      </c>
      <c r="M338">
        <v>11787.273378960001</v>
      </c>
      <c r="N338" s="7">
        <v>15</v>
      </c>
      <c r="O338" s="7">
        <v>40</v>
      </c>
      <c r="P338" s="7">
        <v>9</v>
      </c>
      <c r="Q338" s="7">
        <v>24</v>
      </c>
      <c r="R338" s="7">
        <f t="shared" si="32"/>
        <v>88</v>
      </c>
      <c r="S338" t="s">
        <v>38</v>
      </c>
      <c r="T338" s="7">
        <v>15</v>
      </c>
      <c r="U338" s="7">
        <v>40</v>
      </c>
      <c r="V338" s="7">
        <v>9</v>
      </c>
      <c r="W338" s="7">
        <v>24</v>
      </c>
      <c r="X338" s="7">
        <f t="shared" si="33"/>
        <v>88</v>
      </c>
      <c r="Y338" t="s">
        <v>38</v>
      </c>
      <c r="Z338">
        <v>6363.2864200000004</v>
      </c>
      <c r="AA338" t="s">
        <v>741</v>
      </c>
      <c r="AB338" t="e">
        <v>#N/A</v>
      </c>
      <c r="AF338" t="e">
        <v>#N/A</v>
      </c>
      <c r="AG338" s="8">
        <v>0</v>
      </c>
      <c r="AH338">
        <v>0</v>
      </c>
      <c r="AI338">
        <v>-1</v>
      </c>
      <c r="AJ338">
        <v>0</v>
      </c>
      <c r="AK338" t="e">
        <v>#N/A</v>
      </c>
      <c r="AL338" t="e">
        <v>#N/A</v>
      </c>
      <c r="AM338">
        <v>-1</v>
      </c>
      <c r="AN338">
        <v>1</v>
      </c>
      <c r="AO338">
        <v>0</v>
      </c>
      <c r="AP338">
        <v>0</v>
      </c>
      <c r="AQ338">
        <v>0.2696629213483146</v>
      </c>
      <c r="AR338">
        <v>0.16853932584269662</v>
      </c>
      <c r="AS338">
        <v>0.449438202247191</v>
      </c>
      <c r="AT338">
        <v>0.11235955056179775</v>
      </c>
      <c r="AU338">
        <v>18150.559798959999</v>
      </c>
      <c r="AV338" t="s">
        <v>489</v>
      </c>
      <c r="AW338" t="str">
        <f t="shared" si="34"/>
        <v>n/a</v>
      </c>
      <c r="AY338" t="e">
        <f t="shared" si="35"/>
        <v>#N/A</v>
      </c>
      <c r="AZ338" t="e">
        <v>#N/A</v>
      </c>
      <c r="BA338">
        <v>4</v>
      </c>
      <c r="BB338">
        <v>2018</v>
      </c>
      <c r="BC338">
        <v>4</v>
      </c>
      <c r="BD338">
        <v>2018</v>
      </c>
      <c r="BE338">
        <v>4</v>
      </c>
      <c r="BF338">
        <v>2018</v>
      </c>
    </row>
    <row r="339" spans="1:58" x14ac:dyDescent="0.2">
      <c r="A339" s="7">
        <v>11</v>
      </c>
      <c r="B339" s="7">
        <v>10</v>
      </c>
      <c r="C339" s="7">
        <v>2</v>
      </c>
      <c r="D339" s="7">
        <v>5</v>
      </c>
      <c r="E339" s="7">
        <f t="shared" si="30"/>
        <v>28</v>
      </c>
      <c r="F339" s="11" t="s">
        <v>36</v>
      </c>
      <c r="G339">
        <v>11</v>
      </c>
      <c r="H339">
        <v>10</v>
      </c>
      <c r="I339">
        <v>2</v>
      </c>
      <c r="J339">
        <v>5</v>
      </c>
      <c r="K339">
        <f t="shared" si="31"/>
        <v>28</v>
      </c>
      <c r="L339" t="s">
        <v>36</v>
      </c>
      <c r="M339">
        <v>12454.40876552</v>
      </c>
      <c r="N339" s="7">
        <v>11</v>
      </c>
      <c r="O339" s="7">
        <v>18</v>
      </c>
      <c r="P339" s="7">
        <v>2</v>
      </c>
      <c r="Q339" s="7">
        <v>2</v>
      </c>
      <c r="R339" s="7">
        <f t="shared" si="32"/>
        <v>33</v>
      </c>
      <c r="S339" t="s">
        <v>36</v>
      </c>
      <c r="T339" s="7">
        <v>11</v>
      </c>
      <c r="U339" s="7">
        <v>18</v>
      </c>
      <c r="V339" s="7">
        <v>2</v>
      </c>
      <c r="W339" s="7">
        <v>2</v>
      </c>
      <c r="X339" s="7">
        <f t="shared" si="33"/>
        <v>33</v>
      </c>
      <c r="Y339" t="s">
        <v>36</v>
      </c>
      <c r="Z339">
        <v>16447.965592969998</v>
      </c>
      <c r="AA339" t="s">
        <v>742</v>
      </c>
      <c r="AB339">
        <v>73</v>
      </c>
      <c r="AC339">
        <v>0</v>
      </c>
      <c r="AD339" t="s">
        <v>67</v>
      </c>
      <c r="AE339" t="s">
        <v>41</v>
      </c>
      <c r="AF339" t="e">
        <v>#N/A</v>
      </c>
      <c r="AG339" s="8">
        <v>0</v>
      </c>
      <c r="AH339">
        <v>0</v>
      </c>
      <c r="AI339">
        <v>5</v>
      </c>
      <c r="AJ339">
        <v>0</v>
      </c>
      <c r="AK339" t="e">
        <v>#N/A</v>
      </c>
      <c r="AL339" t="e">
        <v>#N/A</v>
      </c>
      <c r="AM339">
        <v>5</v>
      </c>
      <c r="AN339">
        <v>0</v>
      </c>
      <c r="AO339">
        <v>0</v>
      </c>
      <c r="AP339">
        <v>0</v>
      </c>
      <c r="AQ339">
        <v>0.17857142857142858</v>
      </c>
      <c r="AR339">
        <v>0.39285714285714285</v>
      </c>
      <c r="AS339">
        <v>0.35714285714285715</v>
      </c>
      <c r="AT339">
        <v>7.1428571428571425E-2</v>
      </c>
      <c r="AU339">
        <v>28902.37435849</v>
      </c>
      <c r="AV339">
        <v>12</v>
      </c>
      <c r="AW339">
        <f t="shared" si="34"/>
        <v>1</v>
      </c>
      <c r="AX339">
        <v>0</v>
      </c>
      <c r="AY339">
        <f t="shared" si="35"/>
        <v>0</v>
      </c>
      <c r="AZ339" t="e">
        <v>#N/A</v>
      </c>
      <c r="BA339">
        <v>1</v>
      </c>
      <c r="BB339">
        <v>2019</v>
      </c>
      <c r="BC339">
        <v>1</v>
      </c>
      <c r="BD339">
        <v>2019</v>
      </c>
      <c r="BE339">
        <v>1</v>
      </c>
      <c r="BF339">
        <v>2019</v>
      </c>
    </row>
    <row r="340" spans="1:58" x14ac:dyDescent="0.2">
      <c r="A340" s="7">
        <v>20</v>
      </c>
      <c r="B340" s="7">
        <v>38</v>
      </c>
      <c r="C340" s="7">
        <v>8</v>
      </c>
      <c r="D340" s="7">
        <v>8</v>
      </c>
      <c r="E340" s="7">
        <f t="shared" si="30"/>
        <v>74</v>
      </c>
      <c r="F340" s="11" t="s">
        <v>36</v>
      </c>
      <c r="G340">
        <v>20</v>
      </c>
      <c r="H340">
        <v>38</v>
      </c>
      <c r="I340">
        <v>8</v>
      </c>
      <c r="J340">
        <v>8</v>
      </c>
      <c r="K340">
        <f t="shared" si="31"/>
        <v>74</v>
      </c>
      <c r="L340" t="s">
        <v>36</v>
      </c>
      <c r="M340">
        <v>7559.0365459099994</v>
      </c>
      <c r="N340" s="7">
        <v>20</v>
      </c>
      <c r="O340" s="7">
        <v>38</v>
      </c>
      <c r="P340" s="7">
        <v>8</v>
      </c>
      <c r="Q340" s="7">
        <v>8</v>
      </c>
      <c r="R340" s="7">
        <f t="shared" si="32"/>
        <v>74</v>
      </c>
      <c r="S340" t="s">
        <v>36</v>
      </c>
      <c r="T340" s="7">
        <v>20</v>
      </c>
      <c r="U340" s="7">
        <v>38</v>
      </c>
      <c r="V340" s="7">
        <v>8</v>
      </c>
      <c r="W340" s="7">
        <v>8</v>
      </c>
      <c r="X340" s="7">
        <f t="shared" si="33"/>
        <v>74</v>
      </c>
      <c r="Y340" t="s">
        <v>36</v>
      </c>
      <c r="Z340">
        <v>8918.8871752600007</v>
      </c>
      <c r="AA340" t="s">
        <v>743</v>
      </c>
      <c r="AB340">
        <v>29</v>
      </c>
      <c r="AC340">
        <v>0</v>
      </c>
      <c r="AD340" t="s">
        <v>234</v>
      </c>
      <c r="AE340" t="s">
        <v>41</v>
      </c>
      <c r="AF340">
        <v>73</v>
      </c>
      <c r="AG340" s="8">
        <v>0</v>
      </c>
      <c r="AH340">
        <v>0</v>
      </c>
      <c r="AI340">
        <v>0</v>
      </c>
      <c r="AJ340">
        <v>0</v>
      </c>
      <c r="AK340" t="e">
        <v>#N/A</v>
      </c>
      <c r="AL340" t="e">
        <v>#N/A</v>
      </c>
      <c r="AM340">
        <v>0</v>
      </c>
      <c r="AN340">
        <v>0</v>
      </c>
      <c r="AO340">
        <v>0</v>
      </c>
      <c r="AP340">
        <v>0</v>
      </c>
      <c r="AQ340">
        <v>0.10810810810810811</v>
      </c>
      <c r="AR340">
        <v>0.27027027027027029</v>
      </c>
      <c r="AS340">
        <v>0.51351351351351349</v>
      </c>
      <c r="AT340">
        <v>0.10810810810810811</v>
      </c>
      <c r="AU340">
        <v>16477.923721170002</v>
      </c>
      <c r="AV340">
        <v>4</v>
      </c>
      <c r="AW340">
        <f t="shared" si="34"/>
        <v>0</v>
      </c>
      <c r="AX340">
        <v>0</v>
      </c>
      <c r="AY340">
        <f t="shared" si="35"/>
        <v>0</v>
      </c>
      <c r="AZ340">
        <v>0</v>
      </c>
      <c r="BA340">
        <v>1</v>
      </c>
      <c r="BB340">
        <v>2019</v>
      </c>
      <c r="BC340">
        <v>3</v>
      </c>
      <c r="BD340">
        <v>2019</v>
      </c>
      <c r="BE340">
        <v>4</v>
      </c>
      <c r="BF340">
        <v>2019</v>
      </c>
    </row>
    <row r="341" spans="1:58" x14ac:dyDescent="0.2">
      <c r="A341" s="7">
        <v>6</v>
      </c>
      <c r="B341" s="7">
        <v>24</v>
      </c>
      <c r="C341" s="7">
        <v>2</v>
      </c>
      <c r="D341" s="7">
        <v>3</v>
      </c>
      <c r="E341" s="7">
        <f t="shared" si="30"/>
        <v>35</v>
      </c>
      <c r="F341" s="11" t="s">
        <v>36</v>
      </c>
      <c r="G341">
        <v>5</v>
      </c>
      <c r="H341">
        <v>31</v>
      </c>
      <c r="I341">
        <v>0</v>
      </c>
      <c r="J341">
        <v>3</v>
      </c>
      <c r="K341">
        <f t="shared" si="31"/>
        <v>39</v>
      </c>
      <c r="L341" t="s">
        <v>36</v>
      </c>
      <c r="M341">
        <v>33523.48523536</v>
      </c>
      <c r="N341" s="7">
        <v>18</v>
      </c>
      <c r="O341" s="7">
        <v>37</v>
      </c>
      <c r="P341" s="7">
        <v>9</v>
      </c>
      <c r="Q341" s="7">
        <v>4</v>
      </c>
      <c r="R341" s="7">
        <f t="shared" si="32"/>
        <v>68</v>
      </c>
      <c r="S341" t="s">
        <v>36</v>
      </c>
      <c r="T341" s="7">
        <v>18</v>
      </c>
      <c r="U341" s="7">
        <v>37</v>
      </c>
      <c r="V341" s="7">
        <v>9</v>
      </c>
      <c r="W341" s="7">
        <v>6</v>
      </c>
      <c r="X341" s="7">
        <f t="shared" si="33"/>
        <v>70</v>
      </c>
      <c r="Y341" t="s">
        <v>36</v>
      </c>
      <c r="Z341">
        <v>17616.708720480001</v>
      </c>
      <c r="AA341" t="s">
        <v>743</v>
      </c>
      <c r="AB341">
        <v>29</v>
      </c>
      <c r="AC341">
        <v>0</v>
      </c>
      <c r="AD341" t="s">
        <v>73</v>
      </c>
      <c r="AE341" t="s">
        <v>41</v>
      </c>
      <c r="AF341">
        <v>110</v>
      </c>
      <c r="AG341" s="8">
        <v>252</v>
      </c>
      <c r="AH341">
        <v>2</v>
      </c>
      <c r="AI341">
        <v>35</v>
      </c>
      <c r="AJ341">
        <v>4</v>
      </c>
      <c r="AK341">
        <v>7.9365079365079361E-3</v>
      </c>
      <c r="AL341">
        <v>0.12598815766974239</v>
      </c>
      <c r="AM341">
        <v>29</v>
      </c>
      <c r="AN341">
        <v>0</v>
      </c>
      <c r="AO341">
        <v>2.9411764705882353E-2</v>
      </c>
      <c r="AP341">
        <v>5.7142857142857141E-2</v>
      </c>
      <c r="AQ341">
        <v>8.5714285714285715E-2</v>
      </c>
      <c r="AR341">
        <v>0.17142857142857143</v>
      </c>
      <c r="AS341">
        <v>0.68571428571428572</v>
      </c>
      <c r="AT341">
        <v>5.7142857142857141E-2</v>
      </c>
      <c r="AU341">
        <v>51140.193955840004</v>
      </c>
      <c r="AV341">
        <v>6</v>
      </c>
      <c r="AW341">
        <f t="shared" si="34"/>
        <v>0</v>
      </c>
      <c r="AX341">
        <v>0</v>
      </c>
      <c r="AY341">
        <f t="shared" si="35"/>
        <v>0</v>
      </c>
      <c r="AZ341">
        <v>0</v>
      </c>
      <c r="BA341">
        <v>3</v>
      </c>
      <c r="BB341">
        <v>2019</v>
      </c>
      <c r="BC341">
        <v>6</v>
      </c>
      <c r="BD341">
        <v>2019</v>
      </c>
      <c r="BE341">
        <v>1</v>
      </c>
      <c r="BF341">
        <v>2019</v>
      </c>
    </row>
    <row r="342" spans="1:58" x14ac:dyDescent="0.2">
      <c r="A342" s="7">
        <v>0</v>
      </c>
      <c r="B342" s="7">
        <v>10</v>
      </c>
      <c r="C342" s="7">
        <v>0</v>
      </c>
      <c r="D342" s="7">
        <v>2</v>
      </c>
      <c r="E342" s="7">
        <f t="shared" si="30"/>
        <v>12</v>
      </c>
      <c r="F342" s="11" t="s">
        <v>84</v>
      </c>
      <c r="G342">
        <v>0</v>
      </c>
      <c r="H342">
        <v>10</v>
      </c>
      <c r="I342">
        <v>0</v>
      </c>
      <c r="J342">
        <v>2</v>
      </c>
      <c r="K342">
        <f t="shared" si="31"/>
        <v>12</v>
      </c>
      <c r="L342" t="s">
        <v>84</v>
      </c>
      <c r="M342">
        <v>14194.09337896</v>
      </c>
      <c r="N342" s="7">
        <v>0</v>
      </c>
      <c r="O342" s="7">
        <v>19</v>
      </c>
      <c r="P342" s="7">
        <v>0</v>
      </c>
      <c r="Q342" s="7">
        <v>2</v>
      </c>
      <c r="R342" s="7">
        <f t="shared" si="32"/>
        <v>21</v>
      </c>
      <c r="S342" t="s">
        <v>84</v>
      </c>
      <c r="T342" s="7">
        <v>0</v>
      </c>
      <c r="U342" s="7">
        <v>16</v>
      </c>
      <c r="V342" s="7">
        <v>0</v>
      </c>
      <c r="W342" s="7">
        <v>2</v>
      </c>
      <c r="X342" s="7">
        <f t="shared" si="33"/>
        <v>18</v>
      </c>
      <c r="Y342" t="s">
        <v>84</v>
      </c>
      <c r="Z342">
        <v>11037.516985910001</v>
      </c>
      <c r="AA342" t="s">
        <v>744</v>
      </c>
      <c r="AB342" t="e">
        <v>#N/A</v>
      </c>
      <c r="AF342">
        <v>7</v>
      </c>
      <c r="AG342" s="8">
        <v>31</v>
      </c>
      <c r="AH342">
        <v>-3</v>
      </c>
      <c r="AI342">
        <v>6</v>
      </c>
      <c r="AJ342">
        <v>0</v>
      </c>
      <c r="AK342">
        <v>-9.6774193548387094E-2</v>
      </c>
      <c r="AL342">
        <v>-0.5388159060803247</v>
      </c>
      <c r="AM342">
        <v>9</v>
      </c>
      <c r="AN342">
        <v>0</v>
      </c>
      <c r="AO342">
        <v>-0.14285714285714285</v>
      </c>
      <c r="AP342">
        <v>-0.25</v>
      </c>
      <c r="AQ342">
        <v>0.16666666666666666</v>
      </c>
      <c r="AR342">
        <v>0</v>
      </c>
      <c r="AS342">
        <v>0.83333333333333337</v>
      </c>
      <c r="AT342">
        <v>0</v>
      </c>
      <c r="AU342">
        <v>25231.610364870001</v>
      </c>
      <c r="AV342" t="s">
        <v>489</v>
      </c>
      <c r="AW342" t="str">
        <f t="shared" si="34"/>
        <v>n/a</v>
      </c>
      <c r="AY342" t="e">
        <f t="shared" si="35"/>
        <v>#N/A</v>
      </c>
      <c r="AZ342" t="e">
        <v>#N/A</v>
      </c>
      <c r="BA342">
        <v>1</v>
      </c>
      <c r="BB342">
        <v>2018</v>
      </c>
      <c r="BC342">
        <v>1</v>
      </c>
      <c r="BD342">
        <v>2018</v>
      </c>
      <c r="BE342">
        <v>1</v>
      </c>
      <c r="BF342">
        <v>2018</v>
      </c>
    </row>
    <row r="343" spans="1:58" x14ac:dyDescent="0.2">
      <c r="A343" s="7">
        <v>0</v>
      </c>
      <c r="B343" s="7">
        <v>15</v>
      </c>
      <c r="C343" s="7">
        <v>2</v>
      </c>
      <c r="D343" s="7">
        <v>7</v>
      </c>
      <c r="E343" s="7">
        <f t="shared" si="30"/>
        <v>24</v>
      </c>
      <c r="F343" s="11" t="s">
        <v>36</v>
      </c>
      <c r="G343">
        <v>0</v>
      </c>
      <c r="H343">
        <v>15</v>
      </c>
      <c r="I343">
        <v>2</v>
      </c>
      <c r="J343">
        <v>7</v>
      </c>
      <c r="K343">
        <f t="shared" si="31"/>
        <v>24</v>
      </c>
      <c r="L343" t="s">
        <v>36</v>
      </c>
      <c r="M343">
        <v>14466.893253140001</v>
      </c>
      <c r="N343" s="7">
        <v>1</v>
      </c>
      <c r="O343" s="7">
        <v>11</v>
      </c>
      <c r="P343" s="7">
        <v>2</v>
      </c>
      <c r="Q343" s="7">
        <v>6</v>
      </c>
      <c r="R343" s="7">
        <f t="shared" si="32"/>
        <v>20</v>
      </c>
      <c r="S343" t="s">
        <v>36</v>
      </c>
      <c r="T343" s="7">
        <v>0</v>
      </c>
      <c r="U343" s="7">
        <v>15</v>
      </c>
      <c r="V343" s="7">
        <v>0</v>
      </c>
      <c r="W343" s="7">
        <v>5</v>
      </c>
      <c r="X343" s="7">
        <f t="shared" si="33"/>
        <v>20</v>
      </c>
      <c r="Y343" t="s">
        <v>36</v>
      </c>
      <c r="Z343">
        <v>35693.24827702</v>
      </c>
      <c r="AA343" t="s">
        <v>745</v>
      </c>
      <c r="AB343" t="e">
        <v>#N/A</v>
      </c>
      <c r="AF343" t="e">
        <v>#N/A</v>
      </c>
      <c r="AG343" s="8">
        <v>278</v>
      </c>
      <c r="AH343">
        <v>0</v>
      </c>
      <c r="AI343">
        <v>-4</v>
      </c>
      <c r="AJ343">
        <v>0</v>
      </c>
      <c r="AK343">
        <v>0</v>
      </c>
      <c r="AL343">
        <v>0</v>
      </c>
      <c r="AM343">
        <v>-4</v>
      </c>
      <c r="AN343">
        <v>1</v>
      </c>
      <c r="AO343">
        <v>0</v>
      </c>
      <c r="AP343">
        <v>0</v>
      </c>
      <c r="AQ343">
        <v>0.29166666666666669</v>
      </c>
      <c r="AR343">
        <v>0</v>
      </c>
      <c r="AS343">
        <v>0.625</v>
      </c>
      <c r="AT343">
        <v>8.3333333333333329E-2</v>
      </c>
      <c r="AU343">
        <v>50160.141530159999</v>
      </c>
      <c r="AV343" t="s">
        <v>489</v>
      </c>
      <c r="AW343" t="str">
        <f t="shared" si="34"/>
        <v>n/a</v>
      </c>
      <c r="AY343" t="e">
        <f t="shared" si="35"/>
        <v>#N/A</v>
      </c>
      <c r="AZ343" t="e">
        <v>#N/A</v>
      </c>
      <c r="BA343">
        <v>2</v>
      </c>
      <c r="BB343">
        <v>2018</v>
      </c>
      <c r="BC343">
        <v>2</v>
      </c>
      <c r="BD343">
        <v>2018</v>
      </c>
      <c r="BE343">
        <v>1</v>
      </c>
      <c r="BF343">
        <v>2018</v>
      </c>
    </row>
    <row r="344" spans="1:58" x14ac:dyDescent="0.2">
      <c r="A344" s="7">
        <v>0</v>
      </c>
      <c r="B344" s="7">
        <v>0</v>
      </c>
      <c r="C344" s="7">
        <v>0</v>
      </c>
      <c r="D344" s="7">
        <v>0</v>
      </c>
      <c r="E344" s="7">
        <f t="shared" si="30"/>
        <v>0</v>
      </c>
      <c r="F344" s="11" t="e">
        <v>#N/A</v>
      </c>
      <c r="G344">
        <v>0</v>
      </c>
      <c r="H344">
        <v>0</v>
      </c>
      <c r="I344">
        <v>0</v>
      </c>
      <c r="J344">
        <v>0</v>
      </c>
      <c r="K344">
        <f t="shared" si="31"/>
        <v>0</v>
      </c>
      <c r="L344" t="e">
        <v>#N/A</v>
      </c>
      <c r="N344" s="7">
        <v>4</v>
      </c>
      <c r="O344" s="7">
        <v>11</v>
      </c>
      <c r="P344" s="7">
        <v>0</v>
      </c>
      <c r="Q344" s="7">
        <v>3</v>
      </c>
      <c r="R344" s="7">
        <f t="shared" si="32"/>
        <v>18</v>
      </c>
      <c r="S344" t="s">
        <v>36</v>
      </c>
      <c r="T344" s="7">
        <v>4</v>
      </c>
      <c r="U344" s="7">
        <v>11</v>
      </c>
      <c r="V344" s="7">
        <v>0</v>
      </c>
      <c r="W344" s="7">
        <v>6</v>
      </c>
      <c r="X344" s="7">
        <f t="shared" si="33"/>
        <v>21</v>
      </c>
      <c r="Y344" t="s">
        <v>36</v>
      </c>
      <c r="Z344">
        <v>57124.037282060002</v>
      </c>
      <c r="AA344" t="s">
        <v>746</v>
      </c>
      <c r="AB344">
        <v>60</v>
      </c>
      <c r="AC344">
        <v>0</v>
      </c>
      <c r="AD344" t="s">
        <v>99</v>
      </c>
      <c r="AE344" t="s">
        <v>41</v>
      </c>
      <c r="AF344" t="e">
        <v>#N/A</v>
      </c>
      <c r="AG344" s="8">
        <v>51</v>
      </c>
      <c r="AH344">
        <v>3</v>
      </c>
      <c r="AI344">
        <v>21</v>
      </c>
      <c r="AJ344">
        <v>0</v>
      </c>
      <c r="AK344">
        <v>5.8823529411764705E-2</v>
      </c>
      <c r="AL344">
        <v>0.42008402520840293</v>
      </c>
      <c r="AM344">
        <v>18</v>
      </c>
      <c r="AN344">
        <v>0</v>
      </c>
      <c r="AO344">
        <v>0.16666666666666666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>
        <v>57124.037282060002</v>
      </c>
      <c r="AV344">
        <v>9</v>
      </c>
      <c r="AW344">
        <f t="shared" si="34"/>
        <v>0</v>
      </c>
      <c r="AX344">
        <v>0</v>
      </c>
      <c r="AY344">
        <f t="shared" si="35"/>
        <v>0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>
        <v>2</v>
      </c>
      <c r="BF344">
        <v>2019</v>
      </c>
    </row>
    <row r="345" spans="1:58" x14ac:dyDescent="0.2">
      <c r="A345" s="7">
        <v>18</v>
      </c>
      <c r="B345" s="7">
        <v>38</v>
      </c>
      <c r="C345" s="7">
        <v>9</v>
      </c>
      <c r="D345" s="7">
        <v>7</v>
      </c>
      <c r="E345" s="7">
        <f t="shared" si="30"/>
        <v>72</v>
      </c>
      <c r="F345" s="11" t="s">
        <v>36</v>
      </c>
      <c r="G345">
        <v>18</v>
      </c>
      <c r="H345">
        <v>38</v>
      </c>
      <c r="I345">
        <v>9</v>
      </c>
      <c r="J345">
        <v>7</v>
      </c>
      <c r="K345">
        <f t="shared" si="31"/>
        <v>72</v>
      </c>
      <c r="L345" t="s">
        <v>36</v>
      </c>
      <c r="M345">
        <v>9001.4968279200002</v>
      </c>
      <c r="N345" s="7">
        <v>18</v>
      </c>
      <c r="O345" s="7">
        <v>38</v>
      </c>
      <c r="P345" s="7">
        <v>9</v>
      </c>
      <c r="Q345" s="7">
        <v>7</v>
      </c>
      <c r="R345" s="7">
        <f t="shared" si="32"/>
        <v>72</v>
      </c>
      <c r="S345" t="s">
        <v>36</v>
      </c>
      <c r="T345" s="7">
        <v>18</v>
      </c>
      <c r="U345" s="7">
        <v>39</v>
      </c>
      <c r="V345" s="7">
        <v>9</v>
      </c>
      <c r="W345" s="7">
        <v>12</v>
      </c>
      <c r="X345" s="7">
        <f t="shared" si="33"/>
        <v>78</v>
      </c>
      <c r="Y345" t="s">
        <v>36</v>
      </c>
      <c r="Z345">
        <v>43774.770554939998</v>
      </c>
      <c r="AA345" t="s">
        <v>747</v>
      </c>
      <c r="AB345" t="e">
        <v>#N/A</v>
      </c>
      <c r="AF345" t="e">
        <v>#N/A</v>
      </c>
      <c r="AG345" s="8">
        <v>89</v>
      </c>
      <c r="AH345">
        <v>6</v>
      </c>
      <c r="AI345">
        <v>6</v>
      </c>
      <c r="AJ345">
        <v>0</v>
      </c>
      <c r="AK345">
        <v>6.741573033707865E-2</v>
      </c>
      <c r="AL345">
        <v>0.63599872800381607</v>
      </c>
      <c r="AM345">
        <v>0</v>
      </c>
      <c r="AN345">
        <v>0</v>
      </c>
      <c r="AO345">
        <v>8.3333333333333329E-2</v>
      </c>
      <c r="AP345">
        <v>8.3333333333333329E-2</v>
      </c>
      <c r="AQ345">
        <v>9.7222222222222224E-2</v>
      </c>
      <c r="AR345">
        <v>0.25</v>
      </c>
      <c r="AS345">
        <v>0.52777777777777779</v>
      </c>
      <c r="AT345">
        <v>0.125</v>
      </c>
      <c r="AU345">
        <v>52776.267382859995</v>
      </c>
      <c r="AV345" t="s">
        <v>489</v>
      </c>
      <c r="AW345" t="str">
        <f t="shared" si="34"/>
        <v>n/a</v>
      </c>
      <c r="AY345" t="e">
        <f t="shared" si="35"/>
        <v>#N/A</v>
      </c>
      <c r="AZ345" t="e">
        <v>#N/A</v>
      </c>
      <c r="BA345">
        <v>5</v>
      </c>
      <c r="BB345">
        <v>2018</v>
      </c>
      <c r="BC345">
        <v>5</v>
      </c>
      <c r="BD345">
        <v>2018</v>
      </c>
      <c r="BE345">
        <v>5</v>
      </c>
      <c r="BF345">
        <v>2018</v>
      </c>
    </row>
    <row r="346" spans="1:58" x14ac:dyDescent="0.2">
      <c r="A346" s="7">
        <v>0</v>
      </c>
      <c r="B346" s="7">
        <v>13</v>
      </c>
      <c r="C346" s="7">
        <v>0</v>
      </c>
      <c r="D346" s="7">
        <v>0</v>
      </c>
      <c r="E346" s="7">
        <f t="shared" si="30"/>
        <v>13</v>
      </c>
      <c r="F346" s="11" t="s">
        <v>36</v>
      </c>
      <c r="G346">
        <v>0</v>
      </c>
      <c r="H346">
        <v>13</v>
      </c>
      <c r="I346">
        <v>0</v>
      </c>
      <c r="J346">
        <v>0</v>
      </c>
      <c r="K346">
        <f t="shared" si="31"/>
        <v>13</v>
      </c>
      <c r="L346" t="s">
        <v>36</v>
      </c>
      <c r="M346">
        <v>13365.943784859999</v>
      </c>
      <c r="N346" s="7">
        <v>0</v>
      </c>
      <c r="O346" s="7">
        <v>13</v>
      </c>
      <c r="P346" s="7">
        <v>0</v>
      </c>
      <c r="Q346" s="7">
        <v>0</v>
      </c>
      <c r="R346" s="7">
        <f t="shared" si="32"/>
        <v>13</v>
      </c>
      <c r="S346" t="s">
        <v>36</v>
      </c>
      <c r="T346" s="7">
        <v>0</v>
      </c>
      <c r="U346" s="7">
        <v>13</v>
      </c>
      <c r="V346" s="7">
        <v>0</v>
      </c>
      <c r="W346" s="7">
        <v>0</v>
      </c>
      <c r="X346" s="7">
        <f t="shared" si="33"/>
        <v>13</v>
      </c>
      <c r="Y346" t="s">
        <v>36</v>
      </c>
      <c r="Z346">
        <v>10443.29039197</v>
      </c>
      <c r="AA346" t="s">
        <v>748</v>
      </c>
      <c r="AB346" t="e">
        <v>#N/A</v>
      </c>
      <c r="AF346" t="e">
        <v>#N/A</v>
      </c>
      <c r="AG346" s="8">
        <v>92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23809.234176829999</v>
      </c>
      <c r="AV346" t="s">
        <v>489</v>
      </c>
      <c r="AW346" t="str">
        <f t="shared" si="34"/>
        <v>n/a</v>
      </c>
      <c r="AY346" t="e">
        <f t="shared" si="35"/>
        <v>#N/A</v>
      </c>
      <c r="AZ346" t="e">
        <v>#N/A</v>
      </c>
      <c r="BA346">
        <v>7</v>
      </c>
      <c r="BB346">
        <v>2018</v>
      </c>
      <c r="BC346">
        <v>7</v>
      </c>
      <c r="BD346">
        <v>2018</v>
      </c>
      <c r="BE346">
        <v>7</v>
      </c>
      <c r="BF346">
        <v>2018</v>
      </c>
    </row>
    <row r="347" spans="1:58" x14ac:dyDescent="0.2">
      <c r="A347" s="7">
        <v>2</v>
      </c>
      <c r="B347" s="7">
        <v>26</v>
      </c>
      <c r="C347" s="7">
        <v>0</v>
      </c>
      <c r="D347" s="7">
        <v>6</v>
      </c>
      <c r="E347" s="7">
        <f t="shared" si="30"/>
        <v>34</v>
      </c>
      <c r="F347" s="11" t="s">
        <v>36</v>
      </c>
      <c r="G347">
        <v>2</v>
      </c>
      <c r="H347">
        <v>26</v>
      </c>
      <c r="I347">
        <v>0</v>
      </c>
      <c r="J347">
        <v>6</v>
      </c>
      <c r="K347">
        <f t="shared" si="31"/>
        <v>34</v>
      </c>
      <c r="L347" t="s">
        <v>36</v>
      </c>
      <c r="M347">
        <v>8764.5565100000003</v>
      </c>
      <c r="N347" s="7">
        <v>5</v>
      </c>
      <c r="O347" s="7">
        <v>19</v>
      </c>
      <c r="P347" s="7">
        <v>0</v>
      </c>
      <c r="Q347" s="7">
        <v>6</v>
      </c>
      <c r="R347" s="7">
        <f t="shared" si="32"/>
        <v>30</v>
      </c>
      <c r="S347" t="s">
        <v>36</v>
      </c>
      <c r="T347" s="7">
        <v>2</v>
      </c>
      <c r="U347" s="7">
        <v>26</v>
      </c>
      <c r="V347" s="7">
        <v>0</v>
      </c>
      <c r="W347" s="7">
        <v>6</v>
      </c>
      <c r="X347" s="7">
        <f t="shared" si="33"/>
        <v>34</v>
      </c>
      <c r="Y347" t="s">
        <v>36</v>
      </c>
      <c r="Z347">
        <v>33880.131358099999</v>
      </c>
      <c r="AA347" t="s">
        <v>749</v>
      </c>
      <c r="AB347" t="e">
        <v>#N/A</v>
      </c>
      <c r="AF347">
        <v>92</v>
      </c>
      <c r="AG347" s="8">
        <v>98</v>
      </c>
      <c r="AH347">
        <v>4</v>
      </c>
      <c r="AI347">
        <v>0</v>
      </c>
      <c r="AJ347">
        <v>0</v>
      </c>
      <c r="AK347">
        <v>4.0816326530612242E-2</v>
      </c>
      <c r="AL347">
        <v>0.40406101782088427</v>
      </c>
      <c r="AM347">
        <v>-4</v>
      </c>
      <c r="AN347">
        <v>1</v>
      </c>
      <c r="AO347">
        <v>0.13333333333333333</v>
      </c>
      <c r="AP347">
        <v>0.11764705882352941</v>
      </c>
      <c r="AQ347">
        <v>0.17647058823529413</v>
      </c>
      <c r="AR347">
        <v>5.8823529411764705E-2</v>
      </c>
      <c r="AS347">
        <v>0.76470588235294112</v>
      </c>
      <c r="AT347">
        <v>0</v>
      </c>
      <c r="AU347">
        <v>42644.687868100002</v>
      </c>
      <c r="AV347" t="s">
        <v>489</v>
      </c>
      <c r="AW347" t="str">
        <f t="shared" si="34"/>
        <v>n/a</v>
      </c>
      <c r="AY347" t="e">
        <f t="shared" si="35"/>
        <v>#N/A</v>
      </c>
      <c r="AZ347" t="e">
        <v>#N/A</v>
      </c>
      <c r="BA347">
        <v>8</v>
      </c>
      <c r="BB347">
        <v>2018</v>
      </c>
      <c r="BC347">
        <v>11</v>
      </c>
      <c r="BD347">
        <v>2018</v>
      </c>
      <c r="BE347">
        <v>2</v>
      </c>
      <c r="BF347">
        <v>2018</v>
      </c>
    </row>
    <row r="348" spans="1:58" x14ac:dyDescent="0.2">
      <c r="A348" s="7">
        <v>2</v>
      </c>
      <c r="B348" s="7">
        <v>15</v>
      </c>
      <c r="C348" s="7">
        <v>0</v>
      </c>
      <c r="D348" s="7">
        <v>3</v>
      </c>
      <c r="E348" s="7">
        <f t="shared" si="30"/>
        <v>20</v>
      </c>
      <c r="F348" s="11" t="s">
        <v>36</v>
      </c>
      <c r="G348">
        <v>2</v>
      </c>
      <c r="H348">
        <v>15</v>
      </c>
      <c r="I348">
        <v>0</v>
      </c>
      <c r="J348">
        <v>3</v>
      </c>
      <c r="K348">
        <f t="shared" si="31"/>
        <v>20</v>
      </c>
      <c r="L348" t="s">
        <v>36</v>
      </c>
      <c r="M348">
        <v>10045.83892</v>
      </c>
      <c r="N348" s="7">
        <v>6</v>
      </c>
      <c r="O348" s="7">
        <v>18</v>
      </c>
      <c r="P348" s="7">
        <v>0</v>
      </c>
      <c r="Q348" s="7">
        <v>3</v>
      </c>
      <c r="R348" s="7">
        <f t="shared" si="32"/>
        <v>27</v>
      </c>
      <c r="S348" t="s">
        <v>36</v>
      </c>
      <c r="T348" s="7">
        <v>6</v>
      </c>
      <c r="U348" s="7">
        <v>18</v>
      </c>
      <c r="V348" s="7">
        <v>0</v>
      </c>
      <c r="W348" s="7">
        <v>5</v>
      </c>
      <c r="X348" s="7">
        <f t="shared" si="33"/>
        <v>29</v>
      </c>
      <c r="Y348" t="s">
        <v>36</v>
      </c>
      <c r="Z348">
        <v>44192.154847220001</v>
      </c>
      <c r="AA348" t="s">
        <v>750</v>
      </c>
      <c r="AB348">
        <v>33</v>
      </c>
      <c r="AC348">
        <v>0</v>
      </c>
      <c r="AD348" t="s">
        <v>99</v>
      </c>
      <c r="AE348" t="s">
        <v>41</v>
      </c>
      <c r="AF348" t="e">
        <v>#N/A</v>
      </c>
      <c r="AG348" s="8">
        <v>305</v>
      </c>
      <c r="AH348">
        <v>2</v>
      </c>
      <c r="AI348">
        <v>9</v>
      </c>
      <c r="AJ348">
        <v>0</v>
      </c>
      <c r="AK348">
        <v>6.5573770491803279E-3</v>
      </c>
      <c r="AL348">
        <v>0.11451966686277365</v>
      </c>
      <c r="AM348">
        <v>7</v>
      </c>
      <c r="AN348">
        <v>0</v>
      </c>
      <c r="AO348">
        <v>7.407407407407407E-2</v>
      </c>
      <c r="AP348">
        <v>0.1</v>
      </c>
      <c r="AQ348">
        <v>0.15</v>
      </c>
      <c r="AR348">
        <v>0.1</v>
      </c>
      <c r="AS348">
        <v>0.75</v>
      </c>
      <c r="AT348">
        <v>0</v>
      </c>
      <c r="AU348">
        <v>54237.993767220003</v>
      </c>
      <c r="AV348">
        <v>6</v>
      </c>
      <c r="AW348">
        <f t="shared" si="34"/>
        <v>0</v>
      </c>
      <c r="AX348">
        <v>0</v>
      </c>
      <c r="AY348">
        <f t="shared" si="35"/>
        <v>0</v>
      </c>
      <c r="AZ348" t="e">
        <v>#N/A</v>
      </c>
      <c r="BA348">
        <v>12</v>
      </c>
      <c r="BB348">
        <v>2019</v>
      </c>
      <c r="BC348">
        <v>12</v>
      </c>
      <c r="BD348">
        <v>2019</v>
      </c>
      <c r="BE348">
        <v>1</v>
      </c>
      <c r="BF348">
        <v>2019</v>
      </c>
    </row>
    <row r="349" spans="1:58" x14ac:dyDescent="0.2">
      <c r="A349" s="7">
        <v>2</v>
      </c>
      <c r="B349" s="7">
        <v>35</v>
      </c>
      <c r="C349" s="7">
        <v>0</v>
      </c>
      <c r="D349" s="7">
        <v>3</v>
      </c>
      <c r="E349" s="7">
        <f t="shared" si="30"/>
        <v>40</v>
      </c>
      <c r="F349" s="11" t="s">
        <v>44</v>
      </c>
      <c r="G349">
        <v>2</v>
      </c>
      <c r="H349">
        <v>35</v>
      </c>
      <c r="I349">
        <v>0</v>
      </c>
      <c r="J349">
        <v>3</v>
      </c>
      <c r="K349">
        <f t="shared" si="31"/>
        <v>40</v>
      </c>
      <c r="L349" t="s">
        <v>44</v>
      </c>
      <c r="M349">
        <v>8875.0370985600002</v>
      </c>
      <c r="N349" s="7">
        <v>2</v>
      </c>
      <c r="O349" s="7">
        <v>35</v>
      </c>
      <c r="P349" s="7">
        <v>0</v>
      </c>
      <c r="Q349" s="7">
        <v>3</v>
      </c>
      <c r="R349" s="7">
        <f t="shared" si="32"/>
        <v>40</v>
      </c>
      <c r="S349" t="s">
        <v>44</v>
      </c>
      <c r="T349" s="7">
        <v>2</v>
      </c>
      <c r="U349" s="7">
        <v>30</v>
      </c>
      <c r="V349" s="7">
        <v>0</v>
      </c>
      <c r="W349" s="7">
        <v>3</v>
      </c>
      <c r="X349" s="7">
        <f t="shared" si="33"/>
        <v>35</v>
      </c>
      <c r="Y349" t="s">
        <v>44</v>
      </c>
      <c r="Z349">
        <v>12296.17346</v>
      </c>
      <c r="AA349" t="s">
        <v>751</v>
      </c>
      <c r="AB349" t="e">
        <v>#N/A</v>
      </c>
      <c r="AF349" t="e">
        <v>#N/A</v>
      </c>
      <c r="AG349" s="8">
        <v>78</v>
      </c>
      <c r="AH349">
        <v>-5</v>
      </c>
      <c r="AI349">
        <v>-5</v>
      </c>
      <c r="AJ349">
        <v>0</v>
      </c>
      <c r="AK349">
        <v>-6.4102564102564097E-2</v>
      </c>
      <c r="AL349">
        <v>-0.56613851707229779</v>
      </c>
      <c r="AM349">
        <v>0</v>
      </c>
      <c r="AN349">
        <v>0</v>
      </c>
      <c r="AO349">
        <v>-0.125</v>
      </c>
      <c r="AP349">
        <v>-0.125</v>
      </c>
      <c r="AQ349">
        <v>7.4999999999999997E-2</v>
      </c>
      <c r="AR349">
        <v>0.05</v>
      </c>
      <c r="AS349">
        <v>0.875</v>
      </c>
      <c r="AT349">
        <v>0</v>
      </c>
      <c r="AU349">
        <v>21171.21055856</v>
      </c>
      <c r="AV349" t="s">
        <v>489</v>
      </c>
      <c r="AW349" t="str">
        <f t="shared" si="34"/>
        <v>n/a</v>
      </c>
      <c r="AY349" t="e">
        <f t="shared" si="35"/>
        <v>#N/A</v>
      </c>
      <c r="AZ349" t="e">
        <v>#N/A</v>
      </c>
      <c r="BA349">
        <v>4</v>
      </c>
      <c r="BB349">
        <v>2018</v>
      </c>
      <c r="BC349">
        <v>4</v>
      </c>
      <c r="BD349">
        <v>2018</v>
      </c>
      <c r="BE349">
        <v>4</v>
      </c>
      <c r="BF349">
        <v>2018</v>
      </c>
    </row>
    <row r="350" spans="1:58" x14ac:dyDescent="0.2">
      <c r="A350" s="7">
        <v>3</v>
      </c>
      <c r="B350" s="7">
        <v>37</v>
      </c>
      <c r="C350" s="7">
        <v>7</v>
      </c>
      <c r="D350" s="7">
        <v>2</v>
      </c>
      <c r="E350" s="7">
        <f t="shared" si="30"/>
        <v>49</v>
      </c>
      <c r="F350" s="11" t="s">
        <v>36</v>
      </c>
      <c r="G350">
        <v>3</v>
      </c>
      <c r="H350">
        <v>37</v>
      </c>
      <c r="I350">
        <v>7</v>
      </c>
      <c r="J350">
        <v>2</v>
      </c>
      <c r="K350">
        <f t="shared" si="31"/>
        <v>49</v>
      </c>
      <c r="L350" t="s">
        <v>36</v>
      </c>
      <c r="M350">
        <v>9640.8139512800008</v>
      </c>
      <c r="N350" s="7">
        <v>3</v>
      </c>
      <c r="O350" s="7">
        <v>37</v>
      </c>
      <c r="P350" s="7">
        <v>7</v>
      </c>
      <c r="Q350" s="7">
        <v>2</v>
      </c>
      <c r="R350" s="7">
        <f t="shared" si="32"/>
        <v>49</v>
      </c>
      <c r="S350" t="s">
        <v>36</v>
      </c>
      <c r="T350" s="7">
        <v>6</v>
      </c>
      <c r="U350" s="7">
        <v>37</v>
      </c>
      <c r="V350" s="7">
        <v>9</v>
      </c>
      <c r="W350" s="7">
        <v>4</v>
      </c>
      <c r="X350" s="7">
        <f t="shared" si="33"/>
        <v>56</v>
      </c>
      <c r="Y350" t="s">
        <v>36</v>
      </c>
      <c r="Z350">
        <v>19550.502757279999</v>
      </c>
      <c r="AA350" t="s">
        <v>752</v>
      </c>
      <c r="AB350" t="e">
        <v>#N/A</v>
      </c>
      <c r="AF350" t="e">
        <v>#N/A</v>
      </c>
      <c r="AG350" s="8">
        <v>34</v>
      </c>
      <c r="AH350">
        <v>7</v>
      </c>
      <c r="AI350">
        <v>7</v>
      </c>
      <c r="AJ350">
        <v>0</v>
      </c>
      <c r="AK350">
        <v>0.20588235294117646</v>
      </c>
      <c r="AL350">
        <v>1.2004900959975617</v>
      </c>
      <c r="AM350">
        <v>0</v>
      </c>
      <c r="AN350">
        <v>0</v>
      </c>
      <c r="AO350">
        <v>0.14285714285714285</v>
      </c>
      <c r="AP350">
        <v>0.14285714285714285</v>
      </c>
      <c r="AQ350">
        <v>4.0816326530612242E-2</v>
      </c>
      <c r="AR350">
        <v>6.1224489795918366E-2</v>
      </c>
      <c r="AS350">
        <v>0.75510204081632648</v>
      </c>
      <c r="AT350">
        <v>0.14285714285714285</v>
      </c>
      <c r="AU350">
        <v>29191.31670856</v>
      </c>
      <c r="AV350" t="s">
        <v>489</v>
      </c>
      <c r="AW350" t="str">
        <f t="shared" si="34"/>
        <v>n/a</v>
      </c>
      <c r="AY350" t="e">
        <f t="shared" si="35"/>
        <v>#N/A</v>
      </c>
      <c r="AZ350" t="e">
        <v>#N/A</v>
      </c>
      <c r="BA350">
        <v>7</v>
      </c>
      <c r="BB350">
        <v>2018</v>
      </c>
      <c r="BC350">
        <v>7</v>
      </c>
      <c r="BD350">
        <v>2018</v>
      </c>
      <c r="BE350">
        <v>3</v>
      </c>
      <c r="BF350">
        <v>2018</v>
      </c>
    </row>
    <row r="351" spans="1:58" x14ac:dyDescent="0.2">
      <c r="A351" s="7">
        <v>5</v>
      </c>
      <c r="B351" s="7">
        <v>22</v>
      </c>
      <c r="C351" s="7">
        <v>4</v>
      </c>
      <c r="D351" s="7">
        <v>5</v>
      </c>
      <c r="E351" s="7">
        <f t="shared" si="30"/>
        <v>36</v>
      </c>
      <c r="F351" s="11" t="e">
        <v>#N/A</v>
      </c>
      <c r="G351">
        <v>5</v>
      </c>
      <c r="H351">
        <v>22</v>
      </c>
      <c r="I351">
        <v>4</v>
      </c>
      <c r="J351">
        <v>5</v>
      </c>
      <c r="K351">
        <f t="shared" si="31"/>
        <v>36</v>
      </c>
      <c r="L351" t="e">
        <v>#N/A</v>
      </c>
      <c r="M351">
        <v>31040.255650399999</v>
      </c>
      <c r="N351" s="7">
        <v>6</v>
      </c>
      <c r="O351" s="7">
        <v>22</v>
      </c>
      <c r="P351" s="7">
        <v>4</v>
      </c>
      <c r="Q351" s="7">
        <v>5</v>
      </c>
      <c r="R351" s="7">
        <f t="shared" si="32"/>
        <v>37</v>
      </c>
      <c r="S351" t="e">
        <v>#N/A</v>
      </c>
      <c r="T351" s="7">
        <v>6</v>
      </c>
      <c r="U351" s="7">
        <v>22</v>
      </c>
      <c r="V351" s="7">
        <v>4</v>
      </c>
      <c r="W351" s="7">
        <v>5</v>
      </c>
      <c r="X351" s="7">
        <f t="shared" si="33"/>
        <v>37</v>
      </c>
      <c r="Y351" t="e">
        <v>#N/A</v>
      </c>
      <c r="Z351">
        <v>5100.2026226499993</v>
      </c>
      <c r="AA351" t="s">
        <v>235</v>
      </c>
      <c r="AB351">
        <v>47</v>
      </c>
      <c r="AC351">
        <v>0</v>
      </c>
      <c r="AD351" t="s">
        <v>138</v>
      </c>
      <c r="AE351" t="s">
        <v>41</v>
      </c>
      <c r="AF351" t="e">
        <v>#N/A</v>
      </c>
      <c r="AG351" s="8">
        <v>0</v>
      </c>
      <c r="AH351">
        <v>0</v>
      </c>
      <c r="AI351">
        <v>1</v>
      </c>
      <c r="AJ351">
        <v>0</v>
      </c>
      <c r="AK351" t="e">
        <v>#N/A</v>
      </c>
      <c r="AL351" t="e">
        <v>#N/A</v>
      </c>
      <c r="AM351">
        <v>1</v>
      </c>
      <c r="AN351">
        <v>0</v>
      </c>
      <c r="AO351">
        <v>0</v>
      </c>
      <c r="AP351">
        <v>0</v>
      </c>
      <c r="AQ351">
        <v>0.1388888888888889</v>
      </c>
      <c r="AR351">
        <v>0.1388888888888889</v>
      </c>
      <c r="AS351">
        <v>0.61111111111111116</v>
      </c>
      <c r="AT351">
        <v>0.1111111111111111</v>
      </c>
      <c r="AU351">
        <v>36140.458273049997</v>
      </c>
      <c r="AV351">
        <v>5</v>
      </c>
      <c r="AW351">
        <f t="shared" si="34"/>
        <v>0</v>
      </c>
      <c r="AX351">
        <v>0</v>
      </c>
      <c r="AY351">
        <f t="shared" si="35"/>
        <v>0</v>
      </c>
      <c r="AZ351" t="e">
        <v>#N/A</v>
      </c>
      <c r="BA351">
        <v>5</v>
      </c>
      <c r="BB351">
        <v>2020</v>
      </c>
      <c r="BC351">
        <v>5</v>
      </c>
      <c r="BD351">
        <v>2020</v>
      </c>
      <c r="BE351">
        <v>5</v>
      </c>
      <c r="BF351">
        <v>2020</v>
      </c>
    </row>
    <row r="352" spans="1:58" x14ac:dyDescent="0.2">
      <c r="A352" s="7">
        <v>15</v>
      </c>
      <c r="B352" s="7">
        <v>27</v>
      </c>
      <c r="C352" s="7">
        <v>9</v>
      </c>
      <c r="D352" s="7">
        <v>6</v>
      </c>
      <c r="E352" s="7">
        <f t="shared" si="30"/>
        <v>57</v>
      </c>
      <c r="F352" s="11" t="s">
        <v>39</v>
      </c>
      <c r="G352">
        <v>15</v>
      </c>
      <c r="H352">
        <v>27</v>
      </c>
      <c r="I352">
        <v>9</v>
      </c>
      <c r="J352">
        <v>6</v>
      </c>
      <c r="K352">
        <f t="shared" si="31"/>
        <v>57</v>
      </c>
      <c r="L352" t="s">
        <v>39</v>
      </c>
      <c r="M352">
        <v>16774.458491220001</v>
      </c>
      <c r="N352" s="7">
        <v>14</v>
      </c>
      <c r="O352" s="7">
        <v>26</v>
      </c>
      <c r="P352" s="7">
        <v>9</v>
      </c>
      <c r="Q352" s="7">
        <v>6</v>
      </c>
      <c r="R352" s="7">
        <f t="shared" si="32"/>
        <v>55</v>
      </c>
      <c r="S352" t="s">
        <v>39</v>
      </c>
      <c r="T352" s="7">
        <v>14</v>
      </c>
      <c r="U352" s="7">
        <v>26</v>
      </c>
      <c r="V352" s="7">
        <v>9</v>
      </c>
      <c r="W352" s="7">
        <v>6</v>
      </c>
      <c r="X352" s="7">
        <f t="shared" si="33"/>
        <v>55</v>
      </c>
      <c r="Y352" t="s">
        <v>39</v>
      </c>
      <c r="Z352">
        <v>14879.724115409999</v>
      </c>
      <c r="AA352" t="s">
        <v>753</v>
      </c>
      <c r="AB352">
        <v>62</v>
      </c>
      <c r="AC352">
        <v>20</v>
      </c>
      <c r="AD352" t="s">
        <v>165</v>
      </c>
      <c r="AE352" t="s">
        <v>41</v>
      </c>
      <c r="AF352" t="e">
        <v>#N/A</v>
      </c>
      <c r="AG352" s="8">
        <v>0</v>
      </c>
      <c r="AH352">
        <v>0</v>
      </c>
      <c r="AI352">
        <v>-2</v>
      </c>
      <c r="AJ352">
        <v>0</v>
      </c>
      <c r="AK352" t="e">
        <v>#N/A</v>
      </c>
      <c r="AL352" t="e">
        <v>#N/A</v>
      </c>
      <c r="AM352">
        <v>-2</v>
      </c>
      <c r="AN352">
        <v>1</v>
      </c>
      <c r="AO352">
        <v>0</v>
      </c>
      <c r="AP352">
        <v>0</v>
      </c>
      <c r="AQ352">
        <v>0.10526315789473684</v>
      </c>
      <c r="AR352">
        <v>0.26315789473684209</v>
      </c>
      <c r="AS352">
        <v>0.47368421052631576</v>
      </c>
      <c r="AT352">
        <v>0.15789473684210525</v>
      </c>
      <c r="AU352">
        <v>31654.182606629998</v>
      </c>
      <c r="AV352">
        <v>10</v>
      </c>
      <c r="AW352">
        <f t="shared" si="34"/>
        <v>1</v>
      </c>
      <c r="AX352">
        <v>20</v>
      </c>
      <c r="AY352">
        <f t="shared" si="35"/>
        <v>1</v>
      </c>
      <c r="AZ352" t="e">
        <v>#N/A</v>
      </c>
      <c r="BA352">
        <v>3</v>
      </c>
      <c r="BB352">
        <v>2019</v>
      </c>
      <c r="BC352">
        <v>3</v>
      </c>
      <c r="BD352">
        <v>2019</v>
      </c>
      <c r="BE352">
        <v>1</v>
      </c>
      <c r="BF352">
        <v>2019</v>
      </c>
    </row>
    <row r="353" spans="1:58" x14ac:dyDescent="0.2">
      <c r="A353" s="7">
        <v>12</v>
      </c>
      <c r="B353" s="7">
        <v>27</v>
      </c>
      <c r="C353" s="7">
        <v>5</v>
      </c>
      <c r="D353" s="7">
        <v>3</v>
      </c>
      <c r="E353" s="7">
        <f t="shared" si="30"/>
        <v>47</v>
      </c>
      <c r="F353" s="11" t="e">
        <v>#N/A</v>
      </c>
      <c r="G353">
        <v>15</v>
      </c>
      <c r="H353">
        <v>29</v>
      </c>
      <c r="I353">
        <v>6</v>
      </c>
      <c r="J353">
        <v>5</v>
      </c>
      <c r="K353">
        <f t="shared" si="31"/>
        <v>55</v>
      </c>
      <c r="L353" t="e">
        <v>#N/A</v>
      </c>
      <c r="M353">
        <v>24321.969331820001</v>
      </c>
      <c r="N353" s="7">
        <v>14</v>
      </c>
      <c r="O353" s="7">
        <v>27</v>
      </c>
      <c r="P353" s="7">
        <v>6</v>
      </c>
      <c r="Q353" s="7">
        <v>4</v>
      </c>
      <c r="R353" s="7">
        <f t="shared" si="32"/>
        <v>51</v>
      </c>
      <c r="S353" t="e">
        <v>#N/A</v>
      </c>
      <c r="T353" s="7">
        <v>16</v>
      </c>
      <c r="U353" s="7">
        <v>34</v>
      </c>
      <c r="V353" s="7">
        <v>6</v>
      </c>
      <c r="W353" s="7">
        <v>7</v>
      </c>
      <c r="X353" s="7">
        <f t="shared" si="33"/>
        <v>63</v>
      </c>
      <c r="Y353" t="e">
        <v>#N/A</v>
      </c>
      <c r="Z353">
        <v>62530.585445329998</v>
      </c>
      <c r="AA353" t="s">
        <v>236</v>
      </c>
      <c r="AB353">
        <v>63</v>
      </c>
      <c r="AC353">
        <v>0</v>
      </c>
      <c r="AD353" t="s">
        <v>237</v>
      </c>
      <c r="AE353" t="s">
        <v>41</v>
      </c>
      <c r="AF353">
        <v>273</v>
      </c>
      <c r="AG353" s="8">
        <v>60</v>
      </c>
      <c r="AH353">
        <v>12</v>
      </c>
      <c r="AI353">
        <v>16</v>
      </c>
      <c r="AJ353">
        <v>8</v>
      </c>
      <c r="AK353">
        <v>0.2</v>
      </c>
      <c r="AL353">
        <v>1.5491933384829668</v>
      </c>
      <c r="AM353">
        <v>-4</v>
      </c>
      <c r="AN353">
        <v>1</v>
      </c>
      <c r="AO353">
        <v>0.23529411764705882</v>
      </c>
      <c r="AP353">
        <v>0.25531914893617019</v>
      </c>
      <c r="AQ353">
        <v>6.3829787234042548E-2</v>
      </c>
      <c r="AR353">
        <v>0.25531914893617019</v>
      </c>
      <c r="AS353">
        <v>0.57446808510638303</v>
      </c>
      <c r="AT353">
        <v>0.10638297872340426</v>
      </c>
      <c r="AU353">
        <v>86852.554777149999</v>
      </c>
      <c r="AV353">
        <v>13</v>
      </c>
      <c r="AW353">
        <f t="shared" si="34"/>
        <v>1</v>
      </c>
      <c r="AX353">
        <v>0</v>
      </c>
      <c r="AY353">
        <f t="shared" si="35"/>
        <v>0</v>
      </c>
      <c r="AZ353">
        <v>0</v>
      </c>
      <c r="BA353">
        <v>1</v>
      </c>
      <c r="BB353">
        <v>2020</v>
      </c>
      <c r="BC353">
        <v>10</v>
      </c>
      <c r="BD353">
        <v>2020</v>
      </c>
      <c r="BE353">
        <v>7</v>
      </c>
      <c r="BF353">
        <v>2020</v>
      </c>
    </row>
    <row r="354" spans="1:58" x14ac:dyDescent="0.2">
      <c r="A354" s="7">
        <v>0</v>
      </c>
      <c r="B354" s="7">
        <v>21</v>
      </c>
      <c r="C354" s="7">
        <v>0</v>
      </c>
      <c r="D354" s="7">
        <v>3</v>
      </c>
      <c r="E354" s="7">
        <f t="shared" si="30"/>
        <v>24</v>
      </c>
      <c r="F354" s="11" t="e">
        <v>#N/A</v>
      </c>
      <c r="G354">
        <v>0</v>
      </c>
      <c r="H354">
        <v>21</v>
      </c>
      <c r="I354">
        <v>2</v>
      </c>
      <c r="J354">
        <v>5</v>
      </c>
      <c r="K354">
        <f t="shared" si="31"/>
        <v>28</v>
      </c>
      <c r="L354" t="e">
        <v>#N/A</v>
      </c>
      <c r="M354">
        <v>33673.328573040002</v>
      </c>
      <c r="N354" s="7">
        <v>0</v>
      </c>
      <c r="O354" s="7">
        <v>0</v>
      </c>
      <c r="P354" s="7">
        <v>0</v>
      </c>
      <c r="Q354" s="7">
        <v>0</v>
      </c>
      <c r="R354" s="7">
        <f t="shared" si="32"/>
        <v>0</v>
      </c>
      <c r="S354" t="e">
        <v>#N/A</v>
      </c>
      <c r="T354" s="7">
        <v>0</v>
      </c>
      <c r="U354" s="7">
        <v>0</v>
      </c>
      <c r="V354" s="7">
        <v>0</v>
      </c>
      <c r="W354" s="7">
        <v>0</v>
      </c>
      <c r="X354" s="7">
        <f t="shared" si="33"/>
        <v>0</v>
      </c>
      <c r="Y354" t="e">
        <v>#N/A</v>
      </c>
      <c r="AA354" t="s">
        <v>238</v>
      </c>
      <c r="AB354">
        <v>28</v>
      </c>
      <c r="AC354">
        <v>0</v>
      </c>
      <c r="AD354" t="s">
        <v>138</v>
      </c>
      <c r="AE354" t="s">
        <v>41</v>
      </c>
      <c r="AF354">
        <v>254</v>
      </c>
      <c r="AG354" s="8"/>
      <c r="AH354">
        <v>0</v>
      </c>
      <c r="AI354">
        <v>-24</v>
      </c>
      <c r="AJ354">
        <v>4</v>
      </c>
      <c r="AK354" t="e">
        <v>#N/A</v>
      </c>
      <c r="AL354" t="e">
        <v>#N/A</v>
      </c>
      <c r="AM354">
        <v>-28</v>
      </c>
      <c r="AN354">
        <v>1</v>
      </c>
      <c r="AO354" t="e">
        <v>#N/A</v>
      </c>
      <c r="AP354">
        <v>0</v>
      </c>
      <c r="AQ354">
        <v>0.125</v>
      </c>
      <c r="AR354">
        <v>0</v>
      </c>
      <c r="AS354">
        <v>0.875</v>
      </c>
      <c r="AT354">
        <v>0</v>
      </c>
      <c r="AU354">
        <v>33673.328573040002</v>
      </c>
      <c r="AV354">
        <v>8</v>
      </c>
      <c r="AW354">
        <f t="shared" si="34"/>
        <v>0</v>
      </c>
      <c r="AX354">
        <v>0</v>
      </c>
      <c r="AY354">
        <f t="shared" si="35"/>
        <v>0</v>
      </c>
      <c r="AZ354">
        <v>0</v>
      </c>
      <c r="BA354">
        <v>1</v>
      </c>
      <c r="BB354">
        <v>2020</v>
      </c>
      <c r="BC354">
        <v>9</v>
      </c>
      <c r="BD354">
        <v>2020</v>
      </c>
      <c r="BE354" t="e">
        <v>#N/A</v>
      </c>
      <c r="BF354" t="e">
        <v>#N/A</v>
      </c>
    </row>
    <row r="355" spans="1:58" x14ac:dyDescent="0.2">
      <c r="A355" s="7">
        <v>6</v>
      </c>
      <c r="B355" s="7">
        <v>10</v>
      </c>
      <c r="C355" s="7">
        <v>0</v>
      </c>
      <c r="D355" s="7">
        <v>0</v>
      </c>
      <c r="E355" s="7">
        <f t="shared" si="30"/>
        <v>16</v>
      </c>
      <c r="F355" s="11" t="s">
        <v>36</v>
      </c>
      <c r="G355">
        <v>6</v>
      </c>
      <c r="H355">
        <v>13</v>
      </c>
      <c r="I355">
        <v>0</v>
      </c>
      <c r="J355">
        <v>0</v>
      </c>
      <c r="K355">
        <f t="shared" si="31"/>
        <v>19</v>
      </c>
      <c r="L355" t="s">
        <v>36</v>
      </c>
      <c r="M355">
        <v>30159.189070889999</v>
      </c>
      <c r="N355" s="7">
        <v>6</v>
      </c>
      <c r="O355" s="7">
        <v>13</v>
      </c>
      <c r="P355" s="7">
        <v>0</v>
      </c>
      <c r="Q355" s="7">
        <v>0</v>
      </c>
      <c r="R355" s="7">
        <f t="shared" si="32"/>
        <v>19</v>
      </c>
      <c r="S355" t="s">
        <v>36</v>
      </c>
      <c r="T355" s="7">
        <v>11</v>
      </c>
      <c r="U355" s="7">
        <v>15</v>
      </c>
      <c r="V355" s="7">
        <v>2</v>
      </c>
      <c r="W355" s="7">
        <v>5</v>
      </c>
      <c r="X355" s="7">
        <f t="shared" si="33"/>
        <v>33</v>
      </c>
      <c r="Y355" t="s">
        <v>36</v>
      </c>
      <c r="Z355">
        <v>111986.66618539</v>
      </c>
      <c r="AA355" t="s">
        <v>754</v>
      </c>
      <c r="AB355" t="e">
        <v>#N/A</v>
      </c>
      <c r="AF355">
        <v>1</v>
      </c>
      <c r="AG355" s="8">
        <v>24</v>
      </c>
      <c r="AH355">
        <v>14</v>
      </c>
      <c r="AI355">
        <v>17</v>
      </c>
      <c r="AJ355">
        <v>3</v>
      </c>
      <c r="AK355">
        <v>0.58333333333333337</v>
      </c>
      <c r="AL355">
        <v>2.8577380332470415</v>
      </c>
      <c r="AM355">
        <v>0</v>
      </c>
      <c r="AN355">
        <v>0</v>
      </c>
      <c r="AO355">
        <v>0.73684210526315785</v>
      </c>
      <c r="AP355">
        <v>0.875</v>
      </c>
      <c r="AQ355">
        <v>0</v>
      </c>
      <c r="AR355">
        <v>0.375</v>
      </c>
      <c r="AS355">
        <v>0.625</v>
      </c>
      <c r="AT355">
        <v>0</v>
      </c>
      <c r="AU355">
        <v>142145.85525627999</v>
      </c>
      <c r="AV355" t="s">
        <v>489</v>
      </c>
      <c r="AW355" t="str">
        <f t="shared" si="34"/>
        <v>n/a</v>
      </c>
      <c r="AY355" t="e">
        <f t="shared" si="35"/>
        <v>#N/A</v>
      </c>
      <c r="AZ355" t="e">
        <v>#N/A</v>
      </c>
      <c r="BA355">
        <v>1</v>
      </c>
      <c r="BB355">
        <v>2018</v>
      </c>
      <c r="BC355">
        <v>1</v>
      </c>
      <c r="BD355">
        <v>2018</v>
      </c>
      <c r="BE355">
        <v>7</v>
      </c>
      <c r="BF355">
        <v>2018</v>
      </c>
    </row>
    <row r="356" spans="1:58" x14ac:dyDescent="0.2">
      <c r="A356" s="7">
        <v>7</v>
      </c>
      <c r="B356" s="7">
        <v>16</v>
      </c>
      <c r="C356" s="7">
        <v>2</v>
      </c>
      <c r="D356" s="7">
        <v>4</v>
      </c>
      <c r="E356" s="7">
        <f t="shared" si="30"/>
        <v>29</v>
      </c>
      <c r="F356" s="11" t="s">
        <v>36</v>
      </c>
      <c r="G356">
        <v>7</v>
      </c>
      <c r="H356">
        <v>16</v>
      </c>
      <c r="I356">
        <v>2</v>
      </c>
      <c r="J356">
        <v>4</v>
      </c>
      <c r="K356">
        <f t="shared" si="31"/>
        <v>29</v>
      </c>
      <c r="L356" t="s">
        <v>36</v>
      </c>
      <c r="M356">
        <v>6546.2768076700004</v>
      </c>
      <c r="N356" s="7">
        <v>20</v>
      </c>
      <c r="O356" s="7">
        <v>36</v>
      </c>
      <c r="P356" s="7">
        <v>9</v>
      </c>
      <c r="Q356" s="7">
        <v>6</v>
      </c>
      <c r="R356" s="7">
        <f t="shared" si="32"/>
        <v>71</v>
      </c>
      <c r="S356" t="s">
        <v>36</v>
      </c>
      <c r="T356" s="7">
        <v>7</v>
      </c>
      <c r="U356" s="7">
        <v>16</v>
      </c>
      <c r="V356" s="7">
        <v>2</v>
      </c>
      <c r="W356" s="7">
        <v>4</v>
      </c>
      <c r="X356" s="7">
        <f t="shared" si="33"/>
        <v>29</v>
      </c>
      <c r="Y356" t="s">
        <v>36</v>
      </c>
      <c r="Z356">
        <v>22961.48700501</v>
      </c>
      <c r="AA356" t="s">
        <v>755</v>
      </c>
      <c r="AB356" t="e">
        <v>#N/A</v>
      </c>
      <c r="AF356" t="e">
        <v>#N/A</v>
      </c>
      <c r="AG356" s="8">
        <v>131</v>
      </c>
      <c r="AH356">
        <v>-42</v>
      </c>
      <c r="AI356">
        <v>0</v>
      </c>
      <c r="AJ356">
        <v>0</v>
      </c>
      <c r="AK356">
        <v>-0.32061068702290074</v>
      </c>
      <c r="AL356">
        <v>-3.6695570379763591</v>
      </c>
      <c r="AM356">
        <v>42</v>
      </c>
      <c r="AN356">
        <v>0</v>
      </c>
      <c r="AO356">
        <v>-0.59154929577464788</v>
      </c>
      <c r="AP356">
        <v>-1.4482758620689655</v>
      </c>
      <c r="AQ356">
        <v>0.13793103448275862</v>
      </c>
      <c r="AR356">
        <v>0.2413793103448276</v>
      </c>
      <c r="AS356">
        <v>0.55172413793103448</v>
      </c>
      <c r="AT356">
        <v>6.8965517241379309E-2</v>
      </c>
      <c r="AU356">
        <v>29507.763812680001</v>
      </c>
      <c r="AV356" t="s">
        <v>489</v>
      </c>
      <c r="AW356" t="str">
        <f t="shared" si="34"/>
        <v>n/a</v>
      </c>
      <c r="AY356" t="e">
        <f t="shared" si="35"/>
        <v>#N/A</v>
      </c>
      <c r="AZ356" t="e">
        <v>#N/A</v>
      </c>
      <c r="BA356">
        <v>1</v>
      </c>
      <c r="BB356">
        <v>2018</v>
      </c>
      <c r="BC356">
        <v>1</v>
      </c>
      <c r="BD356">
        <v>2018</v>
      </c>
      <c r="BE356">
        <v>3</v>
      </c>
      <c r="BF356">
        <v>2018</v>
      </c>
    </row>
    <row r="357" spans="1:58" x14ac:dyDescent="0.2">
      <c r="A357" s="7">
        <v>0</v>
      </c>
      <c r="B357" s="7">
        <v>0</v>
      </c>
      <c r="C357" s="7">
        <v>2</v>
      </c>
      <c r="D357" s="7">
        <v>2</v>
      </c>
      <c r="E357" s="7">
        <f t="shared" si="30"/>
        <v>4</v>
      </c>
      <c r="F357" s="11" t="s">
        <v>44</v>
      </c>
      <c r="G357">
        <v>0</v>
      </c>
      <c r="H357">
        <v>0</v>
      </c>
      <c r="I357">
        <v>2</v>
      </c>
      <c r="J357">
        <v>2</v>
      </c>
      <c r="K357">
        <f t="shared" si="31"/>
        <v>4</v>
      </c>
      <c r="L357" t="s">
        <v>44</v>
      </c>
      <c r="M357">
        <v>23278.226588559999</v>
      </c>
      <c r="N357" s="7">
        <v>1</v>
      </c>
      <c r="O357" s="7">
        <v>0</v>
      </c>
      <c r="P357" s="7">
        <v>0</v>
      </c>
      <c r="Q357" s="7">
        <v>2</v>
      </c>
      <c r="R357" s="7">
        <f t="shared" si="32"/>
        <v>3</v>
      </c>
      <c r="S357" t="s">
        <v>44</v>
      </c>
      <c r="T357" s="7">
        <v>3</v>
      </c>
      <c r="U357" s="7">
        <v>6</v>
      </c>
      <c r="V357" s="7">
        <v>2</v>
      </c>
      <c r="W357" s="7">
        <v>1</v>
      </c>
      <c r="X357" s="7">
        <f t="shared" si="33"/>
        <v>12</v>
      </c>
      <c r="Y357" t="s">
        <v>44</v>
      </c>
      <c r="Z357">
        <v>188518.88421334999</v>
      </c>
      <c r="AA357" t="s">
        <v>756</v>
      </c>
      <c r="AB357" t="e">
        <v>#N/A</v>
      </c>
      <c r="AF357" t="e">
        <v>#N/A</v>
      </c>
      <c r="AG357" s="8">
        <v>158</v>
      </c>
      <c r="AH357">
        <v>9</v>
      </c>
      <c r="AI357">
        <v>8</v>
      </c>
      <c r="AJ357">
        <v>0</v>
      </c>
      <c r="AK357">
        <v>5.6962025316455694E-2</v>
      </c>
      <c r="AL357">
        <v>0.71600155575815705</v>
      </c>
      <c r="AM357">
        <v>-1</v>
      </c>
      <c r="AN357">
        <v>1</v>
      </c>
      <c r="AO357">
        <v>3</v>
      </c>
      <c r="AP357">
        <v>2.25</v>
      </c>
      <c r="AQ357">
        <v>0.5</v>
      </c>
      <c r="AR357">
        <v>0</v>
      </c>
      <c r="AS357">
        <v>0</v>
      </c>
      <c r="AT357">
        <v>0.5</v>
      </c>
      <c r="AU357">
        <v>211797.11080190999</v>
      </c>
      <c r="AV357" t="s">
        <v>489</v>
      </c>
      <c r="AW357" t="str">
        <f t="shared" si="34"/>
        <v>n/a</v>
      </c>
      <c r="AY357" t="e">
        <f t="shared" si="35"/>
        <v>#N/A</v>
      </c>
      <c r="AZ357" t="e">
        <v>#N/A</v>
      </c>
      <c r="BA357">
        <v>1</v>
      </c>
      <c r="BB357">
        <v>2018</v>
      </c>
      <c r="BC357">
        <v>1</v>
      </c>
      <c r="BD357">
        <v>2018</v>
      </c>
      <c r="BE357">
        <v>1</v>
      </c>
      <c r="BF357">
        <v>2018</v>
      </c>
    </row>
    <row r="358" spans="1:58" x14ac:dyDescent="0.2">
      <c r="A358" s="7">
        <v>0</v>
      </c>
      <c r="B358" s="7">
        <v>0</v>
      </c>
      <c r="C358" s="7">
        <v>0</v>
      </c>
      <c r="D358" s="7">
        <v>0</v>
      </c>
      <c r="E358" s="7">
        <f t="shared" si="30"/>
        <v>0</v>
      </c>
      <c r="F358" s="11" t="e">
        <v>#N/A</v>
      </c>
      <c r="G358">
        <v>0</v>
      </c>
      <c r="H358">
        <v>0</v>
      </c>
      <c r="I358">
        <v>0</v>
      </c>
      <c r="J358">
        <v>0</v>
      </c>
      <c r="K358">
        <f t="shared" si="31"/>
        <v>0</v>
      </c>
      <c r="L358" t="e">
        <v>#N/A</v>
      </c>
      <c r="N358" s="7">
        <v>0</v>
      </c>
      <c r="O358" s="7">
        <v>18</v>
      </c>
      <c r="P358" s="7">
        <v>0</v>
      </c>
      <c r="Q358" s="7">
        <v>0</v>
      </c>
      <c r="R358" s="7">
        <f t="shared" si="32"/>
        <v>18</v>
      </c>
      <c r="S358" t="s">
        <v>31</v>
      </c>
      <c r="T358" s="7">
        <v>0</v>
      </c>
      <c r="U358" s="7">
        <v>16</v>
      </c>
      <c r="V358" s="7">
        <v>0</v>
      </c>
      <c r="W358" s="7">
        <v>0</v>
      </c>
      <c r="X358" s="7">
        <f t="shared" si="33"/>
        <v>16</v>
      </c>
      <c r="Y358" t="s">
        <v>31</v>
      </c>
      <c r="Z358">
        <v>10332.94262835</v>
      </c>
      <c r="AA358" t="s">
        <v>757</v>
      </c>
      <c r="AB358" t="e">
        <v>#N/A</v>
      </c>
      <c r="AF358" t="e">
        <v>#N/A</v>
      </c>
      <c r="AG358" s="8">
        <v>9</v>
      </c>
      <c r="AH358">
        <v>-2</v>
      </c>
      <c r="AI358">
        <v>16</v>
      </c>
      <c r="AJ358">
        <v>0</v>
      </c>
      <c r="AK358">
        <v>-0.22222222222222221</v>
      </c>
      <c r="AL358">
        <v>-0.66666666666666663</v>
      </c>
      <c r="AM358">
        <v>18</v>
      </c>
      <c r="AN358">
        <v>0</v>
      </c>
      <c r="AO358">
        <v>-0.1111111111111111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>
        <v>10332.94262835</v>
      </c>
      <c r="AV358" t="s">
        <v>489</v>
      </c>
      <c r="AW358" t="str">
        <f t="shared" si="34"/>
        <v>n/a</v>
      </c>
      <c r="AY358" t="e">
        <f t="shared" si="35"/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>
        <v>3</v>
      </c>
      <c r="BF358">
        <v>2018</v>
      </c>
    </row>
    <row r="359" spans="1:58" x14ac:dyDescent="0.2">
      <c r="A359" s="7">
        <v>0</v>
      </c>
      <c r="B359" s="7">
        <v>21</v>
      </c>
      <c r="C359" s="7">
        <v>0</v>
      </c>
      <c r="D359" s="7">
        <v>0</v>
      </c>
      <c r="E359" s="7">
        <f t="shared" si="30"/>
        <v>21</v>
      </c>
      <c r="F359" s="11" t="s">
        <v>37</v>
      </c>
      <c r="G359">
        <v>0</v>
      </c>
      <c r="H359">
        <v>21</v>
      </c>
      <c r="I359">
        <v>0</v>
      </c>
      <c r="J359">
        <v>0</v>
      </c>
      <c r="K359">
        <f t="shared" si="31"/>
        <v>21</v>
      </c>
      <c r="L359" t="s">
        <v>37</v>
      </c>
      <c r="M359">
        <v>15130.28993889</v>
      </c>
      <c r="N359" s="7">
        <v>0</v>
      </c>
      <c r="O359" s="7">
        <v>21</v>
      </c>
      <c r="P359" s="7">
        <v>0</v>
      </c>
      <c r="Q359" s="7">
        <v>0</v>
      </c>
      <c r="R359" s="7">
        <f t="shared" si="32"/>
        <v>21</v>
      </c>
      <c r="S359" t="s">
        <v>37</v>
      </c>
      <c r="T359" s="7">
        <v>0</v>
      </c>
      <c r="U359" s="7">
        <v>21</v>
      </c>
      <c r="V359" s="7">
        <v>0</v>
      </c>
      <c r="W359" s="7">
        <v>0</v>
      </c>
      <c r="X359" s="7">
        <f t="shared" si="33"/>
        <v>21</v>
      </c>
      <c r="Y359" t="s">
        <v>37</v>
      </c>
      <c r="Z359">
        <v>8278.2466752799992</v>
      </c>
      <c r="AA359" t="s">
        <v>758</v>
      </c>
      <c r="AB359" t="e">
        <v>#N/A</v>
      </c>
      <c r="AF359" t="e">
        <v>#N/A</v>
      </c>
      <c r="AG359" s="8">
        <v>11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23408.53661417</v>
      </c>
      <c r="AV359" t="s">
        <v>489</v>
      </c>
      <c r="AW359" t="str">
        <f t="shared" si="34"/>
        <v>n/a</v>
      </c>
      <c r="AY359" t="e">
        <f t="shared" si="35"/>
        <v>#N/A</v>
      </c>
      <c r="AZ359" t="e">
        <v>#N/A</v>
      </c>
      <c r="BA359">
        <v>12</v>
      </c>
      <c r="BB359">
        <v>2018</v>
      </c>
      <c r="BC359">
        <v>12</v>
      </c>
      <c r="BD359">
        <v>2018</v>
      </c>
      <c r="BE359">
        <v>10</v>
      </c>
      <c r="BF359">
        <v>2018</v>
      </c>
    </row>
    <row r="360" spans="1:58" x14ac:dyDescent="0.2">
      <c r="A360" s="7">
        <v>16</v>
      </c>
      <c r="B360" s="7">
        <v>35</v>
      </c>
      <c r="C360" s="7">
        <v>9</v>
      </c>
      <c r="D360" s="7">
        <v>8</v>
      </c>
      <c r="E360" s="7">
        <f t="shared" si="30"/>
        <v>68</v>
      </c>
      <c r="F360" s="11" t="s">
        <v>36</v>
      </c>
      <c r="G360">
        <v>16</v>
      </c>
      <c r="H360">
        <v>35</v>
      </c>
      <c r="I360">
        <v>9</v>
      </c>
      <c r="J360">
        <v>8</v>
      </c>
      <c r="K360">
        <f t="shared" si="31"/>
        <v>68</v>
      </c>
      <c r="L360" t="s">
        <v>36</v>
      </c>
      <c r="M360">
        <v>10279.78735015</v>
      </c>
      <c r="N360" s="7">
        <v>16</v>
      </c>
      <c r="O360" s="7">
        <v>35</v>
      </c>
      <c r="P360" s="7">
        <v>9</v>
      </c>
      <c r="Q360" s="7">
        <v>8</v>
      </c>
      <c r="R360" s="7">
        <f t="shared" si="32"/>
        <v>68</v>
      </c>
      <c r="S360" t="s">
        <v>36</v>
      </c>
      <c r="T360" s="7">
        <v>17</v>
      </c>
      <c r="U360" s="7">
        <v>35</v>
      </c>
      <c r="V360" s="7">
        <v>9</v>
      </c>
      <c r="W360" s="7">
        <v>8</v>
      </c>
      <c r="X360" s="7">
        <f t="shared" si="33"/>
        <v>69</v>
      </c>
      <c r="Y360" t="s">
        <v>36</v>
      </c>
      <c r="Z360">
        <v>34301.36218982</v>
      </c>
      <c r="AA360" t="s">
        <v>759</v>
      </c>
      <c r="AB360">
        <v>27</v>
      </c>
      <c r="AC360">
        <v>0</v>
      </c>
      <c r="AD360" t="s">
        <v>239</v>
      </c>
      <c r="AE360" t="s">
        <v>41</v>
      </c>
      <c r="AF360" t="e">
        <v>#N/A</v>
      </c>
      <c r="AG360" s="8">
        <v>154</v>
      </c>
      <c r="AH360">
        <v>1</v>
      </c>
      <c r="AI360">
        <v>1</v>
      </c>
      <c r="AJ360">
        <v>0</v>
      </c>
      <c r="AK360">
        <v>6.4935064935064939E-3</v>
      </c>
      <c r="AL360">
        <v>8.0582296402538028E-2</v>
      </c>
      <c r="AM360">
        <v>0</v>
      </c>
      <c r="AN360">
        <v>0</v>
      </c>
      <c r="AO360">
        <v>1.4705882352941176E-2</v>
      </c>
      <c r="AP360">
        <v>1.4705882352941176E-2</v>
      </c>
      <c r="AQ360">
        <v>0.11764705882352941</v>
      </c>
      <c r="AR360">
        <v>0.23529411764705882</v>
      </c>
      <c r="AS360">
        <v>0.51470588235294112</v>
      </c>
      <c r="AT360">
        <v>0.13235294117647059</v>
      </c>
      <c r="AU360">
        <v>44581.14953997</v>
      </c>
      <c r="AV360">
        <v>4</v>
      </c>
      <c r="AW360">
        <f t="shared" si="34"/>
        <v>0</v>
      </c>
      <c r="AX360">
        <v>0</v>
      </c>
      <c r="AY360">
        <f t="shared" si="35"/>
        <v>0</v>
      </c>
      <c r="AZ360" t="e">
        <v>#N/A</v>
      </c>
      <c r="BA360">
        <v>2</v>
      </c>
      <c r="BB360">
        <v>2019</v>
      </c>
      <c r="BC360">
        <v>2</v>
      </c>
      <c r="BD360">
        <v>2019</v>
      </c>
      <c r="BE360">
        <v>1</v>
      </c>
      <c r="BF360">
        <v>2020</v>
      </c>
    </row>
    <row r="361" spans="1:58" x14ac:dyDescent="0.2">
      <c r="A361" s="7">
        <v>19</v>
      </c>
      <c r="B361" s="7">
        <v>40</v>
      </c>
      <c r="C361" s="7">
        <v>9</v>
      </c>
      <c r="D361" s="7">
        <v>3</v>
      </c>
      <c r="E361" s="7">
        <f t="shared" si="30"/>
        <v>71</v>
      </c>
      <c r="F361" s="11" t="e">
        <v>#N/A</v>
      </c>
      <c r="G361">
        <v>19</v>
      </c>
      <c r="H361">
        <v>40</v>
      </c>
      <c r="I361">
        <v>9</v>
      </c>
      <c r="J361">
        <v>3</v>
      </c>
      <c r="K361">
        <f t="shared" si="31"/>
        <v>71</v>
      </c>
      <c r="L361" t="e">
        <v>#N/A</v>
      </c>
      <c r="M361">
        <v>11602.629718300001</v>
      </c>
      <c r="N361" s="7">
        <v>19</v>
      </c>
      <c r="O361" s="7">
        <v>40</v>
      </c>
      <c r="P361" s="7">
        <v>9</v>
      </c>
      <c r="Q361" s="7">
        <v>6</v>
      </c>
      <c r="R361" s="7">
        <f t="shared" si="32"/>
        <v>74</v>
      </c>
      <c r="S361" t="e">
        <v>#N/A</v>
      </c>
      <c r="T361" s="7">
        <v>20</v>
      </c>
      <c r="U361" s="7">
        <v>40</v>
      </c>
      <c r="V361" s="7">
        <v>9</v>
      </c>
      <c r="W361" s="7">
        <v>20</v>
      </c>
      <c r="X361" s="7">
        <f t="shared" si="33"/>
        <v>89</v>
      </c>
      <c r="Y361" t="e">
        <v>#N/A</v>
      </c>
      <c r="Z361">
        <v>57288.378320100011</v>
      </c>
      <c r="AA361" t="s">
        <v>240</v>
      </c>
      <c r="AB361">
        <v>41</v>
      </c>
      <c r="AC361">
        <v>0</v>
      </c>
      <c r="AD361" t="s">
        <v>241</v>
      </c>
      <c r="AE361" t="s">
        <v>41</v>
      </c>
      <c r="AF361" t="e">
        <v>#N/A</v>
      </c>
      <c r="AG361" s="8">
        <v>236</v>
      </c>
      <c r="AH361">
        <v>15</v>
      </c>
      <c r="AI361">
        <v>18</v>
      </c>
      <c r="AJ361">
        <v>0</v>
      </c>
      <c r="AK361">
        <v>6.3559322033898302E-2</v>
      </c>
      <c r="AL361">
        <v>0.97641683235617904</v>
      </c>
      <c r="AM361">
        <v>3</v>
      </c>
      <c r="AN361">
        <v>0</v>
      </c>
      <c r="AO361">
        <v>0.20270270270270271</v>
      </c>
      <c r="AP361">
        <v>0.21126760563380281</v>
      </c>
      <c r="AQ361">
        <v>4.2253521126760563E-2</v>
      </c>
      <c r="AR361">
        <v>0.26760563380281688</v>
      </c>
      <c r="AS361">
        <v>0.56338028169014087</v>
      </c>
      <c r="AT361">
        <v>0.12676056338028169</v>
      </c>
      <c r="AU361">
        <v>68891.008038400018</v>
      </c>
      <c r="AV361">
        <v>7</v>
      </c>
      <c r="AW361">
        <f t="shared" si="34"/>
        <v>0</v>
      </c>
      <c r="AX361">
        <v>0</v>
      </c>
      <c r="AY361">
        <f t="shared" si="35"/>
        <v>0</v>
      </c>
      <c r="AZ361" t="e">
        <v>#N/A</v>
      </c>
      <c r="BA361">
        <v>7</v>
      </c>
      <c r="BB361">
        <v>2020</v>
      </c>
      <c r="BC361">
        <v>7</v>
      </c>
      <c r="BD361">
        <v>2020</v>
      </c>
      <c r="BE361">
        <v>1</v>
      </c>
      <c r="BF361">
        <v>2020</v>
      </c>
    </row>
    <row r="362" spans="1:58" x14ac:dyDescent="0.2">
      <c r="A362" s="7">
        <v>15</v>
      </c>
      <c r="B362" s="7">
        <v>15</v>
      </c>
      <c r="C362" s="7">
        <v>6</v>
      </c>
      <c r="D362" s="7">
        <v>0</v>
      </c>
      <c r="E362" s="7">
        <f t="shared" si="30"/>
        <v>36</v>
      </c>
      <c r="F362" s="11" t="s">
        <v>36</v>
      </c>
      <c r="G362">
        <v>15</v>
      </c>
      <c r="H362">
        <v>15</v>
      </c>
      <c r="I362">
        <v>6</v>
      </c>
      <c r="J362">
        <v>0</v>
      </c>
      <c r="K362">
        <f t="shared" si="31"/>
        <v>36</v>
      </c>
      <c r="L362" t="s">
        <v>36</v>
      </c>
      <c r="M362">
        <v>13523.288612640001</v>
      </c>
      <c r="N362" s="7">
        <v>20</v>
      </c>
      <c r="O362" s="7">
        <v>15</v>
      </c>
      <c r="P362" s="7">
        <v>9</v>
      </c>
      <c r="Q362" s="7">
        <v>7</v>
      </c>
      <c r="R362" s="7">
        <f t="shared" si="32"/>
        <v>51</v>
      </c>
      <c r="S362" t="s">
        <v>36</v>
      </c>
      <c r="T362" s="7">
        <v>20</v>
      </c>
      <c r="U362" s="7">
        <v>36</v>
      </c>
      <c r="V362" s="7">
        <v>9</v>
      </c>
      <c r="W362" s="7">
        <v>8</v>
      </c>
      <c r="X362" s="7">
        <f t="shared" si="33"/>
        <v>73</v>
      </c>
      <c r="Y362" t="s">
        <v>36</v>
      </c>
      <c r="Z362">
        <v>34013.914958790003</v>
      </c>
      <c r="AA362" t="s">
        <v>760</v>
      </c>
      <c r="AB362">
        <v>31</v>
      </c>
      <c r="AC362">
        <v>0</v>
      </c>
      <c r="AD362" t="s">
        <v>158</v>
      </c>
      <c r="AE362" t="s">
        <v>75</v>
      </c>
      <c r="AF362" t="e">
        <v>#N/A</v>
      </c>
      <c r="AG362" s="8">
        <v>145</v>
      </c>
      <c r="AH362">
        <v>22</v>
      </c>
      <c r="AI362">
        <v>37</v>
      </c>
      <c r="AJ362">
        <v>0</v>
      </c>
      <c r="AK362">
        <v>0.15172413793103448</v>
      </c>
      <c r="AL362">
        <v>1.8270005567822794</v>
      </c>
      <c r="AM362">
        <v>15</v>
      </c>
      <c r="AN362">
        <v>0</v>
      </c>
      <c r="AO362">
        <v>0.43137254901960786</v>
      </c>
      <c r="AP362">
        <v>0.61111111111111116</v>
      </c>
      <c r="AQ362">
        <v>0</v>
      </c>
      <c r="AR362">
        <v>0.41666666666666669</v>
      </c>
      <c r="AS362">
        <v>0.41666666666666669</v>
      </c>
      <c r="AT362">
        <v>0.16666666666666666</v>
      </c>
      <c r="AU362">
        <v>47537.20357143</v>
      </c>
      <c r="AV362">
        <v>9</v>
      </c>
      <c r="AW362">
        <f t="shared" si="34"/>
        <v>0</v>
      </c>
      <c r="AX362">
        <v>0</v>
      </c>
      <c r="AY362">
        <f t="shared" si="35"/>
        <v>0</v>
      </c>
      <c r="AZ362" t="e">
        <v>#N/A</v>
      </c>
      <c r="BA362">
        <v>3</v>
      </c>
      <c r="BB362">
        <v>2019</v>
      </c>
      <c r="BC362">
        <v>3</v>
      </c>
      <c r="BD362">
        <v>2019</v>
      </c>
      <c r="BE362">
        <v>1</v>
      </c>
      <c r="BF362">
        <v>2019</v>
      </c>
    </row>
    <row r="363" spans="1:58" x14ac:dyDescent="0.2">
      <c r="A363" s="7">
        <v>1</v>
      </c>
      <c r="B363" s="7">
        <v>8</v>
      </c>
      <c r="C363" s="7">
        <v>0</v>
      </c>
      <c r="D363" s="7">
        <v>0</v>
      </c>
      <c r="E363" s="7">
        <f t="shared" si="30"/>
        <v>9</v>
      </c>
      <c r="F363" s="11" t="s">
        <v>58</v>
      </c>
      <c r="G363">
        <v>1</v>
      </c>
      <c r="H363">
        <v>8</v>
      </c>
      <c r="I363">
        <v>0</v>
      </c>
      <c r="J363">
        <v>0</v>
      </c>
      <c r="K363">
        <f t="shared" si="31"/>
        <v>9</v>
      </c>
      <c r="L363" t="s">
        <v>58</v>
      </c>
      <c r="M363">
        <v>36047.130379599999</v>
      </c>
      <c r="N363" s="7">
        <v>1</v>
      </c>
      <c r="O363" s="7">
        <v>8</v>
      </c>
      <c r="P363" s="7">
        <v>0</v>
      </c>
      <c r="Q363" s="7">
        <v>0</v>
      </c>
      <c r="R363" s="7">
        <f t="shared" si="32"/>
        <v>9</v>
      </c>
      <c r="S363" t="s">
        <v>58</v>
      </c>
      <c r="T363" s="7">
        <v>8</v>
      </c>
      <c r="U363" s="7">
        <v>27</v>
      </c>
      <c r="V363" s="7">
        <v>6</v>
      </c>
      <c r="W363" s="7">
        <v>8</v>
      </c>
      <c r="X363" s="7">
        <f t="shared" si="33"/>
        <v>49</v>
      </c>
      <c r="Y363" t="s">
        <v>68</v>
      </c>
      <c r="Z363">
        <v>264719.19109558</v>
      </c>
      <c r="AA363" t="s">
        <v>761</v>
      </c>
      <c r="AB363" t="e">
        <v>#N/A</v>
      </c>
      <c r="AF363" t="e">
        <v>#N/A</v>
      </c>
      <c r="AG363" s="8">
        <v>274</v>
      </c>
      <c r="AH363">
        <v>40</v>
      </c>
      <c r="AI363">
        <v>40</v>
      </c>
      <c r="AJ363">
        <v>0</v>
      </c>
      <c r="AK363">
        <v>0.145985401459854</v>
      </c>
      <c r="AL363">
        <v>2.4164883733207079</v>
      </c>
      <c r="AM363">
        <v>0</v>
      </c>
      <c r="AN363">
        <v>0</v>
      </c>
      <c r="AO363">
        <v>4.4444444444444446</v>
      </c>
      <c r="AP363">
        <v>4.4444444444444446</v>
      </c>
      <c r="AQ363">
        <v>0</v>
      </c>
      <c r="AR363">
        <v>0.1111111111111111</v>
      </c>
      <c r="AS363">
        <v>0.88888888888888884</v>
      </c>
      <c r="AT363">
        <v>0</v>
      </c>
      <c r="AU363">
        <v>300766.32147517998</v>
      </c>
      <c r="AV363" t="s">
        <v>489</v>
      </c>
      <c r="AW363" t="str">
        <f t="shared" si="34"/>
        <v>n/a</v>
      </c>
      <c r="AY363" t="e">
        <f t="shared" si="35"/>
        <v>#N/A</v>
      </c>
      <c r="AZ363" t="e">
        <v>#N/A</v>
      </c>
      <c r="BA363">
        <v>1</v>
      </c>
      <c r="BB363">
        <v>2018</v>
      </c>
      <c r="BC363">
        <v>1</v>
      </c>
      <c r="BD363">
        <v>2018</v>
      </c>
      <c r="BE363">
        <v>1</v>
      </c>
      <c r="BF363">
        <v>2018</v>
      </c>
    </row>
    <row r="364" spans="1:58" x14ac:dyDescent="0.2">
      <c r="A364" s="7">
        <v>2</v>
      </c>
      <c r="B364" s="7">
        <v>10</v>
      </c>
      <c r="C364" s="7">
        <v>2</v>
      </c>
      <c r="D364" s="7">
        <v>1</v>
      </c>
      <c r="E364" s="7">
        <f t="shared" si="30"/>
        <v>15</v>
      </c>
      <c r="F364" s="11" t="s">
        <v>39</v>
      </c>
      <c r="G364">
        <v>2</v>
      </c>
      <c r="H364">
        <v>10</v>
      </c>
      <c r="I364">
        <v>2</v>
      </c>
      <c r="J364">
        <v>1</v>
      </c>
      <c r="K364">
        <f t="shared" si="31"/>
        <v>15</v>
      </c>
      <c r="L364" t="s">
        <v>39</v>
      </c>
      <c r="M364">
        <v>43234.440730000002</v>
      </c>
      <c r="N364" s="7">
        <v>19</v>
      </c>
      <c r="O364" s="7">
        <v>40</v>
      </c>
      <c r="P364" s="7">
        <v>6</v>
      </c>
      <c r="Q364" s="7">
        <v>1</v>
      </c>
      <c r="R364" s="7">
        <f t="shared" si="32"/>
        <v>66</v>
      </c>
      <c r="S364" t="e">
        <v>#N/A</v>
      </c>
      <c r="T364" s="7">
        <v>2</v>
      </c>
      <c r="U364" s="7">
        <v>10</v>
      </c>
      <c r="V364" s="7">
        <v>2</v>
      </c>
      <c r="W364" s="7">
        <v>1</v>
      </c>
      <c r="X364" s="7">
        <f t="shared" si="33"/>
        <v>15</v>
      </c>
      <c r="Y364" t="s">
        <v>39</v>
      </c>
      <c r="Z364">
        <v>67659.391753969991</v>
      </c>
      <c r="AA364" t="s">
        <v>762</v>
      </c>
      <c r="AB364" t="e">
        <v>#N/A</v>
      </c>
      <c r="AF364" t="e">
        <v>#N/A</v>
      </c>
      <c r="AG364" s="8">
        <v>26</v>
      </c>
      <c r="AH364">
        <v>-51</v>
      </c>
      <c r="AI364">
        <v>0</v>
      </c>
      <c r="AJ364">
        <v>0</v>
      </c>
      <c r="AK364">
        <v>-1.9615384615384615</v>
      </c>
      <c r="AL364">
        <v>-10.001922892047386</v>
      </c>
      <c r="AM364">
        <v>51</v>
      </c>
      <c r="AN364">
        <v>0</v>
      </c>
      <c r="AO364">
        <v>-0.77272727272727271</v>
      </c>
      <c r="AP364">
        <v>-3.4</v>
      </c>
      <c r="AQ364">
        <v>6.6666666666666666E-2</v>
      </c>
      <c r="AR364">
        <v>0.13333333333333333</v>
      </c>
      <c r="AS364">
        <v>0.66666666666666663</v>
      </c>
      <c r="AT364">
        <v>0.13333333333333333</v>
      </c>
      <c r="AU364">
        <v>110893.83248396999</v>
      </c>
      <c r="AV364" t="s">
        <v>489</v>
      </c>
      <c r="AW364" t="str">
        <f t="shared" si="34"/>
        <v>n/a</v>
      </c>
      <c r="AY364" t="e">
        <f t="shared" si="35"/>
        <v>#N/A</v>
      </c>
      <c r="AZ364" t="e">
        <v>#N/A</v>
      </c>
      <c r="BA364">
        <v>1</v>
      </c>
      <c r="BB364">
        <v>2018</v>
      </c>
      <c r="BC364">
        <v>1</v>
      </c>
      <c r="BD364">
        <v>2018</v>
      </c>
      <c r="BE364">
        <v>6</v>
      </c>
      <c r="BF364">
        <v>2018</v>
      </c>
    </row>
    <row r="365" spans="1:58" x14ac:dyDescent="0.2">
      <c r="A365" s="7">
        <v>16</v>
      </c>
      <c r="B365" s="7">
        <v>40</v>
      </c>
      <c r="C365" s="7">
        <v>9</v>
      </c>
      <c r="D365" s="7">
        <v>27</v>
      </c>
      <c r="E365" s="7">
        <f t="shared" si="30"/>
        <v>92</v>
      </c>
      <c r="F365" s="11" t="s">
        <v>36</v>
      </c>
      <c r="G365">
        <v>16</v>
      </c>
      <c r="H365">
        <v>40</v>
      </c>
      <c r="I365">
        <v>9</v>
      </c>
      <c r="J365">
        <v>27</v>
      </c>
      <c r="K365">
        <f t="shared" si="31"/>
        <v>92</v>
      </c>
      <c r="L365" t="s">
        <v>36</v>
      </c>
      <c r="M365">
        <v>3895.5838199999998</v>
      </c>
      <c r="N365" s="7">
        <v>20</v>
      </c>
      <c r="O365" s="7">
        <v>40</v>
      </c>
      <c r="P365" s="7">
        <v>9</v>
      </c>
      <c r="Q365" s="7">
        <v>27</v>
      </c>
      <c r="R365" s="7">
        <f t="shared" si="32"/>
        <v>96</v>
      </c>
      <c r="S365" t="s">
        <v>36</v>
      </c>
      <c r="T365" s="7">
        <v>20</v>
      </c>
      <c r="U365" s="7">
        <v>40</v>
      </c>
      <c r="V365" s="7">
        <v>9</v>
      </c>
      <c r="W365" s="7">
        <v>27</v>
      </c>
      <c r="X365" s="7">
        <f t="shared" si="33"/>
        <v>96</v>
      </c>
      <c r="Y365" t="s">
        <v>36</v>
      </c>
      <c r="Z365">
        <v>4206.3437709099999</v>
      </c>
      <c r="AA365" t="s">
        <v>763</v>
      </c>
      <c r="AB365" t="e">
        <v>#N/A</v>
      </c>
      <c r="AF365" t="e">
        <v>#N/A</v>
      </c>
      <c r="AG365" s="8">
        <v>3</v>
      </c>
      <c r="AH365">
        <v>0</v>
      </c>
      <c r="AI365">
        <v>4</v>
      </c>
      <c r="AJ365">
        <v>0</v>
      </c>
      <c r="AK365">
        <v>0</v>
      </c>
      <c r="AL365">
        <v>0</v>
      </c>
      <c r="AM365">
        <v>4</v>
      </c>
      <c r="AN365">
        <v>0</v>
      </c>
      <c r="AO365">
        <v>0</v>
      </c>
      <c r="AP365">
        <v>0</v>
      </c>
      <c r="AQ365">
        <v>0.29347826086956524</v>
      </c>
      <c r="AR365">
        <v>0.17391304347826086</v>
      </c>
      <c r="AS365">
        <v>0.43478260869565216</v>
      </c>
      <c r="AT365">
        <v>9.7826086956521743E-2</v>
      </c>
      <c r="AU365">
        <v>8101.9275909099997</v>
      </c>
      <c r="AV365" t="s">
        <v>489</v>
      </c>
      <c r="AW365" t="str">
        <f t="shared" si="34"/>
        <v>n/a</v>
      </c>
      <c r="AY365" t="e">
        <f t="shared" si="35"/>
        <v>#N/A</v>
      </c>
      <c r="AZ365" t="e">
        <v>#N/A</v>
      </c>
      <c r="BA365">
        <v>1</v>
      </c>
      <c r="BB365">
        <v>2018</v>
      </c>
      <c r="BC365">
        <v>1</v>
      </c>
      <c r="BD365">
        <v>2018</v>
      </c>
      <c r="BE365">
        <v>1</v>
      </c>
      <c r="BF365">
        <v>2018</v>
      </c>
    </row>
    <row r="366" spans="1:58" x14ac:dyDescent="0.2">
      <c r="A366" s="7">
        <v>10</v>
      </c>
      <c r="B366" s="7">
        <v>8</v>
      </c>
      <c r="C366" s="7">
        <v>4</v>
      </c>
      <c r="D366" s="7">
        <v>0</v>
      </c>
      <c r="E366" s="7">
        <f t="shared" si="30"/>
        <v>22</v>
      </c>
      <c r="F366" s="11" t="s">
        <v>36</v>
      </c>
      <c r="G366">
        <v>10</v>
      </c>
      <c r="H366">
        <v>8</v>
      </c>
      <c r="I366">
        <v>4</v>
      </c>
      <c r="J366">
        <v>0</v>
      </c>
      <c r="K366">
        <f t="shared" si="31"/>
        <v>22</v>
      </c>
      <c r="L366" t="s">
        <v>36</v>
      </c>
      <c r="M366">
        <v>26479.969857650001</v>
      </c>
      <c r="N366" s="7">
        <v>11</v>
      </c>
      <c r="O366" s="7">
        <v>8</v>
      </c>
      <c r="P366" s="7">
        <v>6</v>
      </c>
      <c r="Q366" s="7">
        <v>3</v>
      </c>
      <c r="R366" s="7">
        <f t="shared" si="32"/>
        <v>28</v>
      </c>
      <c r="S366" t="s">
        <v>39</v>
      </c>
      <c r="T366" s="7">
        <v>15</v>
      </c>
      <c r="U366" s="7">
        <v>19</v>
      </c>
      <c r="V366" s="7">
        <v>8</v>
      </c>
      <c r="W366" s="7">
        <v>7</v>
      </c>
      <c r="X366" s="7">
        <f t="shared" si="33"/>
        <v>49</v>
      </c>
      <c r="Y366" t="s">
        <v>39</v>
      </c>
      <c r="Z366">
        <v>93385.881795680005</v>
      </c>
      <c r="AA366" t="s">
        <v>764</v>
      </c>
      <c r="AB366" t="e">
        <v>#N/A</v>
      </c>
      <c r="AF366">
        <v>97</v>
      </c>
      <c r="AG366" s="8">
        <v>136</v>
      </c>
      <c r="AH366">
        <v>21</v>
      </c>
      <c r="AI366">
        <v>27</v>
      </c>
      <c r="AJ366">
        <v>0</v>
      </c>
      <c r="AK366">
        <v>0.15441176470588236</v>
      </c>
      <c r="AL366">
        <v>1.8007351439963426</v>
      </c>
      <c r="AM366">
        <v>6</v>
      </c>
      <c r="AN366">
        <v>0</v>
      </c>
      <c r="AO366">
        <v>0.75</v>
      </c>
      <c r="AP366">
        <v>0.95454545454545459</v>
      </c>
      <c r="AQ366">
        <v>0</v>
      </c>
      <c r="AR366">
        <v>0.45454545454545453</v>
      </c>
      <c r="AS366">
        <v>0.36363636363636365</v>
      </c>
      <c r="AT366">
        <v>0.18181818181818182</v>
      </c>
      <c r="AU366">
        <v>119865.85165333</v>
      </c>
      <c r="AV366" t="s">
        <v>489</v>
      </c>
      <c r="AW366" t="str">
        <f t="shared" si="34"/>
        <v>n/a</v>
      </c>
      <c r="AY366" t="e">
        <f t="shared" si="35"/>
        <v>#N/A</v>
      </c>
      <c r="AZ366" t="e">
        <v>#N/A</v>
      </c>
      <c r="BA366">
        <v>1</v>
      </c>
      <c r="BB366">
        <v>2018</v>
      </c>
      <c r="BC366">
        <v>5</v>
      </c>
      <c r="BD366">
        <v>2018</v>
      </c>
      <c r="BE366">
        <v>1</v>
      </c>
      <c r="BF366">
        <v>2018</v>
      </c>
    </row>
    <row r="367" spans="1:58" x14ac:dyDescent="0.2">
      <c r="A367" s="7">
        <v>9</v>
      </c>
      <c r="B367" s="7">
        <v>10</v>
      </c>
      <c r="C367" s="7">
        <v>2</v>
      </c>
      <c r="D367" s="7">
        <v>5</v>
      </c>
      <c r="E367" s="7">
        <f t="shared" si="30"/>
        <v>26</v>
      </c>
      <c r="F367" s="11" t="e">
        <v>#N/A</v>
      </c>
      <c r="G367">
        <v>9</v>
      </c>
      <c r="H367">
        <v>10</v>
      </c>
      <c r="I367">
        <v>2</v>
      </c>
      <c r="J367">
        <v>5</v>
      </c>
      <c r="K367">
        <f t="shared" si="31"/>
        <v>26</v>
      </c>
      <c r="L367" t="e">
        <v>#N/A</v>
      </c>
      <c r="M367">
        <v>17300.859209940001</v>
      </c>
      <c r="N367" s="7">
        <v>11</v>
      </c>
      <c r="O367" s="7">
        <v>10</v>
      </c>
      <c r="P367" s="7">
        <v>2</v>
      </c>
      <c r="Q367" s="7">
        <v>5</v>
      </c>
      <c r="R367" s="7">
        <f t="shared" si="32"/>
        <v>28</v>
      </c>
      <c r="S367" t="e">
        <v>#N/A</v>
      </c>
      <c r="T367" s="7">
        <v>10</v>
      </c>
      <c r="U367" s="7">
        <v>10</v>
      </c>
      <c r="V367" s="7">
        <v>2</v>
      </c>
      <c r="W367" s="7">
        <v>5</v>
      </c>
      <c r="X367" s="7">
        <f t="shared" si="33"/>
        <v>27</v>
      </c>
      <c r="Y367" t="e">
        <v>#N/A</v>
      </c>
      <c r="Z367">
        <v>48579.158616000001</v>
      </c>
      <c r="AA367" t="s">
        <v>242</v>
      </c>
      <c r="AB367">
        <v>86</v>
      </c>
      <c r="AC367">
        <v>0</v>
      </c>
      <c r="AD367" t="s">
        <v>243</v>
      </c>
      <c r="AE367" t="s">
        <v>41</v>
      </c>
      <c r="AF367">
        <v>167</v>
      </c>
      <c r="AG367" s="8">
        <v>1</v>
      </c>
      <c r="AH367">
        <v>-1</v>
      </c>
      <c r="AI367">
        <v>1</v>
      </c>
      <c r="AJ367">
        <v>0</v>
      </c>
      <c r="AK367">
        <v>-1</v>
      </c>
      <c r="AL367">
        <v>-1</v>
      </c>
      <c r="AM367">
        <v>2</v>
      </c>
      <c r="AN367">
        <v>0</v>
      </c>
      <c r="AO367">
        <v>-3.5714285714285712E-2</v>
      </c>
      <c r="AP367">
        <v>-3.8461538461538464E-2</v>
      </c>
      <c r="AQ367">
        <v>0.19230769230769232</v>
      </c>
      <c r="AR367">
        <v>0.34615384615384615</v>
      </c>
      <c r="AS367">
        <v>0.38461538461538464</v>
      </c>
      <c r="AT367">
        <v>7.6923076923076927E-2</v>
      </c>
      <c r="AU367">
        <v>65880.017825939998</v>
      </c>
      <c r="AV367">
        <v>18</v>
      </c>
      <c r="AW367">
        <f t="shared" si="34"/>
        <v>1</v>
      </c>
      <c r="AX367">
        <v>0</v>
      </c>
      <c r="AY367">
        <f t="shared" si="35"/>
        <v>0</v>
      </c>
      <c r="AZ367">
        <v>0</v>
      </c>
      <c r="BA367">
        <v>1</v>
      </c>
      <c r="BB367">
        <v>2020</v>
      </c>
      <c r="BC367">
        <v>6</v>
      </c>
      <c r="BD367">
        <v>2020</v>
      </c>
      <c r="BE367">
        <v>1</v>
      </c>
      <c r="BF367">
        <v>2020</v>
      </c>
    </row>
    <row r="368" spans="1:58" x14ac:dyDescent="0.2">
      <c r="A368" s="7">
        <v>10</v>
      </c>
      <c r="B368" s="7">
        <v>10</v>
      </c>
      <c r="C368" s="7">
        <v>4</v>
      </c>
      <c r="D368" s="7">
        <v>3</v>
      </c>
      <c r="E368" s="7">
        <f t="shared" si="30"/>
        <v>27</v>
      </c>
      <c r="F368" s="11" t="s">
        <v>31</v>
      </c>
      <c r="G368">
        <v>10</v>
      </c>
      <c r="H368">
        <v>10</v>
      </c>
      <c r="I368">
        <v>4</v>
      </c>
      <c r="J368">
        <v>3</v>
      </c>
      <c r="K368">
        <f t="shared" si="31"/>
        <v>27</v>
      </c>
      <c r="L368" t="s">
        <v>31</v>
      </c>
      <c r="M368">
        <v>11671.04014349</v>
      </c>
      <c r="N368" s="7">
        <v>10</v>
      </c>
      <c r="O368" s="7">
        <v>10</v>
      </c>
      <c r="P368" s="7">
        <v>4</v>
      </c>
      <c r="Q368" s="7">
        <v>3</v>
      </c>
      <c r="R368" s="7">
        <f t="shared" si="32"/>
        <v>27</v>
      </c>
      <c r="S368" t="s">
        <v>31</v>
      </c>
      <c r="T368" s="7">
        <v>10</v>
      </c>
      <c r="U368" s="7">
        <v>10</v>
      </c>
      <c r="V368" s="7">
        <v>7</v>
      </c>
      <c r="W368" s="7">
        <v>6</v>
      </c>
      <c r="X368" s="7">
        <f t="shared" si="33"/>
        <v>33</v>
      </c>
      <c r="Y368" t="s">
        <v>83</v>
      </c>
      <c r="Z368">
        <v>89394.779878580011</v>
      </c>
      <c r="AA368" t="s">
        <v>765</v>
      </c>
      <c r="AB368" t="e">
        <v>#N/A</v>
      </c>
      <c r="AF368">
        <v>273</v>
      </c>
      <c r="AG368" s="8">
        <v>140</v>
      </c>
      <c r="AH368">
        <v>6</v>
      </c>
      <c r="AI368">
        <v>6</v>
      </c>
      <c r="AJ368">
        <v>0</v>
      </c>
      <c r="AK368">
        <v>4.2857142857142858E-2</v>
      </c>
      <c r="AL368">
        <v>0.50709255283710997</v>
      </c>
      <c r="AM368">
        <v>0</v>
      </c>
      <c r="AN368">
        <v>0</v>
      </c>
      <c r="AO368">
        <v>0.22222222222222221</v>
      </c>
      <c r="AP368">
        <v>0.22222222222222221</v>
      </c>
      <c r="AQ368">
        <v>0.1111111111111111</v>
      </c>
      <c r="AR368">
        <v>0.37037037037037035</v>
      </c>
      <c r="AS368">
        <v>0.37037037037037035</v>
      </c>
      <c r="AT368">
        <v>0.14814814814814814</v>
      </c>
      <c r="AU368">
        <v>101065.82002207001</v>
      </c>
      <c r="AV368" t="s">
        <v>489</v>
      </c>
      <c r="AW368" t="str">
        <f t="shared" si="34"/>
        <v>n/a</v>
      </c>
      <c r="AY368" t="e">
        <f t="shared" si="35"/>
        <v>#N/A</v>
      </c>
      <c r="AZ368" t="e">
        <v>#N/A</v>
      </c>
      <c r="BA368">
        <v>1</v>
      </c>
      <c r="BB368">
        <v>2018</v>
      </c>
      <c r="BC368">
        <v>10</v>
      </c>
      <c r="BD368">
        <v>2018</v>
      </c>
      <c r="BE368">
        <v>1</v>
      </c>
      <c r="BF368">
        <v>2018</v>
      </c>
    </row>
    <row r="369" spans="1:58" x14ac:dyDescent="0.2">
      <c r="A369" s="7">
        <v>20</v>
      </c>
      <c r="B369" s="7">
        <v>40</v>
      </c>
      <c r="C369" s="7">
        <v>9</v>
      </c>
      <c r="D369" s="7">
        <v>30</v>
      </c>
      <c r="E369" s="7">
        <f t="shared" si="30"/>
        <v>99</v>
      </c>
      <c r="F369" s="11" t="s">
        <v>36</v>
      </c>
      <c r="G369">
        <v>20</v>
      </c>
      <c r="H369">
        <v>40</v>
      </c>
      <c r="I369">
        <v>9</v>
      </c>
      <c r="J369">
        <v>30</v>
      </c>
      <c r="K369">
        <f t="shared" si="31"/>
        <v>99</v>
      </c>
      <c r="L369" t="s">
        <v>36</v>
      </c>
      <c r="M369">
        <v>7562.2532634899999</v>
      </c>
      <c r="N369" s="7">
        <v>20</v>
      </c>
      <c r="O369" s="7">
        <v>40</v>
      </c>
      <c r="P369" s="7">
        <v>9</v>
      </c>
      <c r="Q369" s="7">
        <v>27</v>
      </c>
      <c r="R369" s="7">
        <f t="shared" si="32"/>
        <v>96</v>
      </c>
      <c r="S369" t="s">
        <v>36</v>
      </c>
      <c r="T369" s="7">
        <v>20</v>
      </c>
      <c r="U369" s="7">
        <v>40</v>
      </c>
      <c r="V369" s="7">
        <v>9</v>
      </c>
      <c r="W369" s="7">
        <v>27</v>
      </c>
      <c r="X369" s="7">
        <f t="shared" si="33"/>
        <v>96</v>
      </c>
      <c r="Y369" t="s">
        <v>36</v>
      </c>
      <c r="Z369">
        <v>5600.9565887500003</v>
      </c>
      <c r="AA369" t="s">
        <v>766</v>
      </c>
      <c r="AB369" t="e">
        <v>#N/A</v>
      </c>
      <c r="AF369" t="e">
        <v>#N/A</v>
      </c>
      <c r="AG369" s="8">
        <v>0</v>
      </c>
      <c r="AH369">
        <v>0</v>
      </c>
      <c r="AI369">
        <v>-3</v>
      </c>
      <c r="AJ369">
        <v>0</v>
      </c>
      <c r="AK369" t="e">
        <v>#N/A</v>
      </c>
      <c r="AL369" t="e">
        <v>#N/A</v>
      </c>
      <c r="AM369">
        <v>-3</v>
      </c>
      <c r="AN369">
        <v>1</v>
      </c>
      <c r="AO369">
        <v>0</v>
      </c>
      <c r="AP369">
        <v>0</v>
      </c>
      <c r="AQ369">
        <v>0.30303030303030304</v>
      </c>
      <c r="AR369">
        <v>0.20202020202020202</v>
      </c>
      <c r="AS369">
        <v>0.40404040404040403</v>
      </c>
      <c r="AT369">
        <v>9.0909090909090912E-2</v>
      </c>
      <c r="AU369">
        <v>13163.209852240001</v>
      </c>
      <c r="AV369" t="s">
        <v>489</v>
      </c>
      <c r="AW369" t="str">
        <f t="shared" si="34"/>
        <v>n/a</v>
      </c>
      <c r="AY369" t="e">
        <f t="shared" si="35"/>
        <v>#N/A</v>
      </c>
      <c r="AZ369" t="e">
        <v>#N/A</v>
      </c>
      <c r="BA369">
        <v>7</v>
      </c>
      <c r="BB369">
        <v>2018</v>
      </c>
      <c r="BC369">
        <v>7</v>
      </c>
      <c r="BD369">
        <v>2018</v>
      </c>
      <c r="BE369">
        <v>1</v>
      </c>
      <c r="BF369">
        <v>2018</v>
      </c>
    </row>
    <row r="370" spans="1:58" x14ac:dyDescent="0.2">
      <c r="A370" s="7">
        <v>0</v>
      </c>
      <c r="B370" s="7">
        <v>6</v>
      </c>
      <c r="C370" s="7">
        <v>0</v>
      </c>
      <c r="D370" s="7">
        <v>0</v>
      </c>
      <c r="E370" s="7">
        <f t="shared" si="30"/>
        <v>6</v>
      </c>
      <c r="F370" s="11" t="s">
        <v>36</v>
      </c>
      <c r="G370">
        <v>0</v>
      </c>
      <c r="H370">
        <v>6</v>
      </c>
      <c r="I370">
        <v>0</v>
      </c>
      <c r="J370">
        <v>0</v>
      </c>
      <c r="K370">
        <f t="shared" si="31"/>
        <v>6</v>
      </c>
      <c r="L370" t="s">
        <v>36</v>
      </c>
      <c r="M370">
        <v>23284.54146</v>
      </c>
      <c r="N370" s="7">
        <v>0</v>
      </c>
      <c r="O370" s="7">
        <v>6</v>
      </c>
      <c r="P370" s="7">
        <v>0</v>
      </c>
      <c r="Q370" s="7">
        <v>0</v>
      </c>
      <c r="R370" s="7">
        <f t="shared" si="32"/>
        <v>6</v>
      </c>
      <c r="S370" t="s">
        <v>36</v>
      </c>
      <c r="T370" s="7">
        <v>0</v>
      </c>
      <c r="U370" s="7">
        <v>6</v>
      </c>
      <c r="V370" s="7">
        <v>0</v>
      </c>
      <c r="W370" s="7">
        <v>0</v>
      </c>
      <c r="X370" s="7">
        <f t="shared" si="33"/>
        <v>6</v>
      </c>
      <c r="Y370" t="s">
        <v>34</v>
      </c>
      <c r="Z370">
        <v>53950.009373940004</v>
      </c>
      <c r="AA370" t="s">
        <v>767</v>
      </c>
      <c r="AB370" t="e">
        <v>#N/A</v>
      </c>
      <c r="AF370" t="e">
        <v>#N/A</v>
      </c>
      <c r="AG370" s="8">
        <v>34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77234.550833940011</v>
      </c>
      <c r="AV370" t="s">
        <v>489</v>
      </c>
      <c r="AW370" t="str">
        <f t="shared" si="34"/>
        <v>n/a</v>
      </c>
      <c r="AY370" t="e">
        <f t="shared" si="35"/>
        <v>#N/A</v>
      </c>
      <c r="AZ370" t="e">
        <v>#N/A</v>
      </c>
      <c r="BA370">
        <v>1</v>
      </c>
      <c r="BB370">
        <v>2018</v>
      </c>
      <c r="BC370">
        <v>1</v>
      </c>
      <c r="BD370">
        <v>2018</v>
      </c>
      <c r="BE370">
        <v>1</v>
      </c>
      <c r="BF370">
        <v>2018</v>
      </c>
    </row>
    <row r="371" spans="1:58" x14ac:dyDescent="0.2">
      <c r="A371" s="7">
        <v>8</v>
      </c>
      <c r="B371" s="7">
        <v>10</v>
      </c>
      <c r="C371" s="7">
        <v>0</v>
      </c>
      <c r="D371" s="7">
        <v>2</v>
      </c>
      <c r="E371" s="7">
        <f t="shared" si="30"/>
        <v>20</v>
      </c>
      <c r="F371" s="11" t="s">
        <v>68</v>
      </c>
      <c r="G371">
        <v>8</v>
      </c>
      <c r="H371">
        <v>10</v>
      </c>
      <c r="I371">
        <v>0</v>
      </c>
      <c r="J371">
        <v>0</v>
      </c>
      <c r="K371">
        <f t="shared" si="31"/>
        <v>18</v>
      </c>
      <c r="L371" t="s">
        <v>68</v>
      </c>
      <c r="M371">
        <v>25500.948262680002</v>
      </c>
      <c r="N371" s="7">
        <v>8</v>
      </c>
      <c r="O371" s="7">
        <v>10</v>
      </c>
      <c r="P371" s="7">
        <v>0</v>
      </c>
      <c r="Q371" s="7">
        <v>2</v>
      </c>
      <c r="R371" s="7">
        <f t="shared" si="32"/>
        <v>20</v>
      </c>
      <c r="S371" t="s">
        <v>68</v>
      </c>
      <c r="T371" s="7">
        <v>19</v>
      </c>
      <c r="U371" s="7">
        <v>37</v>
      </c>
      <c r="V371" s="7">
        <v>6</v>
      </c>
      <c r="W371" s="7">
        <v>17</v>
      </c>
      <c r="X371" s="7">
        <f t="shared" si="33"/>
        <v>79</v>
      </c>
      <c r="Y371" t="e">
        <v>#N/A</v>
      </c>
      <c r="Z371">
        <v>106074.59561292001</v>
      </c>
      <c r="AA371" t="s">
        <v>768</v>
      </c>
      <c r="AB371" t="e">
        <v>#N/A</v>
      </c>
      <c r="AF371">
        <v>98</v>
      </c>
      <c r="AG371" s="8">
        <v>169</v>
      </c>
      <c r="AH371">
        <v>59</v>
      </c>
      <c r="AI371">
        <v>59</v>
      </c>
      <c r="AJ371">
        <v>-2</v>
      </c>
      <c r="AK371">
        <v>0.34911242603550297</v>
      </c>
      <c r="AL371">
        <v>4.5384615384615383</v>
      </c>
      <c r="AM371">
        <v>2</v>
      </c>
      <c r="AN371">
        <v>0</v>
      </c>
      <c r="AO371">
        <v>2.95</v>
      </c>
      <c r="AP371">
        <v>2.95</v>
      </c>
      <c r="AQ371">
        <v>0.1</v>
      </c>
      <c r="AR371">
        <v>0.4</v>
      </c>
      <c r="AS371">
        <v>0.5</v>
      </c>
      <c r="AT371">
        <v>0</v>
      </c>
      <c r="AU371">
        <v>131575.54387560001</v>
      </c>
      <c r="AV371" t="s">
        <v>489</v>
      </c>
      <c r="AW371" t="str">
        <f t="shared" si="34"/>
        <v>n/a</v>
      </c>
      <c r="AY371" t="e">
        <f t="shared" si="35"/>
        <v>#N/A</v>
      </c>
      <c r="AZ371" t="e">
        <v>#N/A</v>
      </c>
      <c r="BA371">
        <v>1</v>
      </c>
      <c r="BB371">
        <v>2018</v>
      </c>
      <c r="BC371">
        <v>5</v>
      </c>
      <c r="BD371">
        <v>2018</v>
      </c>
      <c r="BE371">
        <v>1</v>
      </c>
      <c r="BF371">
        <v>2018</v>
      </c>
    </row>
    <row r="372" spans="1:58" x14ac:dyDescent="0.2">
      <c r="A372" s="7">
        <v>18</v>
      </c>
      <c r="B372" s="7">
        <v>40</v>
      </c>
      <c r="C372" s="7">
        <v>7</v>
      </c>
      <c r="D372" s="7">
        <v>5</v>
      </c>
      <c r="E372" s="7">
        <f t="shared" si="30"/>
        <v>70</v>
      </c>
      <c r="F372" s="11" t="s">
        <v>36</v>
      </c>
      <c r="G372">
        <v>19</v>
      </c>
      <c r="H372">
        <v>40</v>
      </c>
      <c r="I372">
        <v>8</v>
      </c>
      <c r="J372">
        <v>6</v>
      </c>
      <c r="K372">
        <f t="shared" si="31"/>
        <v>73</v>
      </c>
      <c r="L372" t="s">
        <v>36</v>
      </c>
      <c r="M372">
        <v>8829.8413865399998</v>
      </c>
      <c r="N372" s="7">
        <v>19</v>
      </c>
      <c r="O372" s="7">
        <v>40</v>
      </c>
      <c r="P372" s="7">
        <v>8</v>
      </c>
      <c r="Q372" s="7">
        <v>6</v>
      </c>
      <c r="R372" s="7">
        <f t="shared" si="32"/>
        <v>73</v>
      </c>
      <c r="S372" t="s">
        <v>36</v>
      </c>
      <c r="T372" s="7">
        <v>19</v>
      </c>
      <c r="U372" s="7">
        <v>40</v>
      </c>
      <c r="V372" s="7">
        <v>8</v>
      </c>
      <c r="W372" s="7">
        <v>8</v>
      </c>
      <c r="X372" s="7">
        <f t="shared" si="33"/>
        <v>75</v>
      </c>
      <c r="Y372" t="e">
        <v>#N/A</v>
      </c>
      <c r="Z372">
        <v>33411.029098349987</v>
      </c>
      <c r="AA372" t="s">
        <v>769</v>
      </c>
      <c r="AB372" t="e">
        <v>#N/A</v>
      </c>
      <c r="AF372">
        <v>20</v>
      </c>
      <c r="AG372" s="8">
        <v>134</v>
      </c>
      <c r="AH372">
        <v>2</v>
      </c>
      <c r="AI372">
        <v>5</v>
      </c>
      <c r="AJ372">
        <v>3</v>
      </c>
      <c r="AK372">
        <v>1.4925373134328358E-2</v>
      </c>
      <c r="AL372">
        <v>0.17277368511627203</v>
      </c>
      <c r="AM372">
        <v>0</v>
      </c>
      <c r="AN372">
        <v>0</v>
      </c>
      <c r="AO372">
        <v>2.7397260273972601E-2</v>
      </c>
      <c r="AP372">
        <v>2.8571428571428571E-2</v>
      </c>
      <c r="AQ372">
        <v>7.1428571428571425E-2</v>
      </c>
      <c r="AR372">
        <v>0.25714285714285712</v>
      </c>
      <c r="AS372">
        <v>0.5714285714285714</v>
      </c>
      <c r="AT372">
        <v>0.1</v>
      </c>
      <c r="AU372">
        <v>42240.870484889987</v>
      </c>
      <c r="AV372" t="s">
        <v>489</v>
      </c>
      <c r="AW372" t="str">
        <f t="shared" si="34"/>
        <v>n/a</v>
      </c>
      <c r="AY372" t="e">
        <f t="shared" si="35"/>
        <v>#N/A</v>
      </c>
      <c r="AZ372" t="e">
        <v>#N/A</v>
      </c>
      <c r="BA372">
        <v>1</v>
      </c>
      <c r="BB372">
        <v>2018</v>
      </c>
      <c r="BC372">
        <v>2</v>
      </c>
      <c r="BD372">
        <v>2018</v>
      </c>
      <c r="BE372">
        <v>2</v>
      </c>
      <c r="BF372">
        <v>2018</v>
      </c>
    </row>
    <row r="373" spans="1:58" x14ac:dyDescent="0.2">
      <c r="A373" s="7">
        <v>0</v>
      </c>
      <c r="B373" s="7">
        <v>0</v>
      </c>
      <c r="C373" s="7">
        <v>0</v>
      </c>
      <c r="D373" s="7">
        <v>0</v>
      </c>
      <c r="E373" s="7">
        <f t="shared" si="30"/>
        <v>0</v>
      </c>
      <c r="F373" s="11" t="e">
        <v>#N/A</v>
      </c>
      <c r="G373">
        <v>0</v>
      </c>
      <c r="H373">
        <v>0</v>
      </c>
      <c r="I373">
        <v>0</v>
      </c>
      <c r="J373">
        <v>0</v>
      </c>
      <c r="K373">
        <f t="shared" si="31"/>
        <v>0</v>
      </c>
      <c r="L373" t="e">
        <v>#N/A</v>
      </c>
      <c r="N373" s="7">
        <v>0</v>
      </c>
      <c r="O373" s="7">
        <v>11</v>
      </c>
      <c r="P373" s="7">
        <v>0</v>
      </c>
      <c r="Q373" s="7">
        <v>0</v>
      </c>
      <c r="R373" s="7">
        <f t="shared" si="32"/>
        <v>11</v>
      </c>
      <c r="S373" t="s">
        <v>32</v>
      </c>
      <c r="T373" s="7">
        <v>0</v>
      </c>
      <c r="U373" s="7">
        <v>11</v>
      </c>
      <c r="V373" s="7">
        <v>0</v>
      </c>
      <c r="W373" s="7">
        <v>3</v>
      </c>
      <c r="X373" s="7">
        <f t="shared" si="33"/>
        <v>14</v>
      </c>
      <c r="Y373" t="s">
        <v>42</v>
      </c>
      <c r="Z373">
        <v>225103.27742525999</v>
      </c>
      <c r="AA373" t="s">
        <v>770</v>
      </c>
      <c r="AB373" t="e">
        <v>#N/A</v>
      </c>
      <c r="AF373" t="e">
        <v>#N/A</v>
      </c>
      <c r="AG373" s="8">
        <v>218</v>
      </c>
      <c r="AH373">
        <v>3</v>
      </c>
      <c r="AI373">
        <v>14</v>
      </c>
      <c r="AJ373">
        <v>0</v>
      </c>
      <c r="AK373">
        <v>1.3761467889908258E-2</v>
      </c>
      <c r="AL373">
        <v>0.2031856384435789</v>
      </c>
      <c r="AM373">
        <v>11</v>
      </c>
      <c r="AN373">
        <v>0</v>
      </c>
      <c r="AO373">
        <v>0.27272727272727271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>
        <v>225103.27742525999</v>
      </c>
      <c r="AV373" t="s">
        <v>489</v>
      </c>
      <c r="AW373" t="str">
        <f t="shared" si="34"/>
        <v>n/a</v>
      </c>
      <c r="AY373" t="e">
        <f t="shared" si="35"/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>
        <v>3</v>
      </c>
      <c r="BF373">
        <v>2018</v>
      </c>
    </row>
    <row r="374" spans="1:58" x14ac:dyDescent="0.2">
      <c r="A374" s="7">
        <v>0</v>
      </c>
      <c r="B374" s="7">
        <v>6</v>
      </c>
      <c r="C374" s="7">
        <v>0</v>
      </c>
      <c r="D374" s="7">
        <v>0</v>
      </c>
      <c r="E374" s="7">
        <f t="shared" si="30"/>
        <v>6</v>
      </c>
      <c r="F374" s="11" t="s">
        <v>83</v>
      </c>
      <c r="G374">
        <v>0</v>
      </c>
      <c r="H374">
        <v>6</v>
      </c>
      <c r="I374">
        <v>0</v>
      </c>
      <c r="J374">
        <v>0</v>
      </c>
      <c r="K374">
        <f t="shared" si="31"/>
        <v>6</v>
      </c>
      <c r="L374" t="s">
        <v>83</v>
      </c>
      <c r="M374">
        <v>28698.656392010002</v>
      </c>
      <c r="N374" s="7">
        <v>0</v>
      </c>
      <c r="O374" s="7">
        <v>16</v>
      </c>
      <c r="P374" s="7">
        <v>2</v>
      </c>
      <c r="Q374" s="7">
        <v>0</v>
      </c>
      <c r="R374" s="7">
        <f t="shared" si="32"/>
        <v>18</v>
      </c>
      <c r="S374" t="s">
        <v>83</v>
      </c>
      <c r="T374" s="7">
        <v>5</v>
      </c>
      <c r="U374" s="7">
        <v>21</v>
      </c>
      <c r="V374" s="7">
        <v>6</v>
      </c>
      <c r="W374" s="7">
        <v>3</v>
      </c>
      <c r="X374" s="7">
        <f t="shared" si="33"/>
        <v>35</v>
      </c>
      <c r="Y374" t="s">
        <v>83</v>
      </c>
      <c r="Z374">
        <v>82736.231791209997</v>
      </c>
      <c r="AA374" t="s">
        <v>771</v>
      </c>
      <c r="AB374" t="e">
        <v>#N/A</v>
      </c>
      <c r="AF374">
        <v>220</v>
      </c>
      <c r="AG374" s="8">
        <v>123</v>
      </c>
      <c r="AH374">
        <v>17</v>
      </c>
      <c r="AI374">
        <v>29</v>
      </c>
      <c r="AJ374">
        <v>0</v>
      </c>
      <c r="AK374">
        <v>0.13821138211382114</v>
      </c>
      <c r="AL374">
        <v>1.5328383789346349</v>
      </c>
      <c r="AM374">
        <v>12</v>
      </c>
      <c r="AN374">
        <v>0</v>
      </c>
      <c r="AO374">
        <v>0.94444444444444442</v>
      </c>
      <c r="AP374">
        <v>2.8333333333333335</v>
      </c>
      <c r="AQ374">
        <v>0</v>
      </c>
      <c r="AR374">
        <v>0</v>
      </c>
      <c r="AS374">
        <v>1</v>
      </c>
      <c r="AT374">
        <v>0</v>
      </c>
      <c r="AU374">
        <v>111434.88818322</v>
      </c>
      <c r="AV374" t="s">
        <v>489</v>
      </c>
      <c r="AW374" t="str">
        <f t="shared" si="34"/>
        <v>n/a</v>
      </c>
      <c r="AY374" t="e">
        <f t="shared" si="35"/>
        <v>#N/A</v>
      </c>
      <c r="AZ374" t="e">
        <v>#N/A</v>
      </c>
      <c r="BA374">
        <v>1</v>
      </c>
      <c r="BB374">
        <v>2018</v>
      </c>
      <c r="BC374">
        <v>9</v>
      </c>
      <c r="BD374">
        <v>2018</v>
      </c>
      <c r="BE374">
        <v>1</v>
      </c>
      <c r="BF374">
        <v>2018</v>
      </c>
    </row>
    <row r="375" spans="1:58" x14ac:dyDescent="0.2">
      <c r="A375" s="7">
        <v>8</v>
      </c>
      <c r="B375" s="7">
        <v>2</v>
      </c>
      <c r="C375" s="7">
        <v>1</v>
      </c>
      <c r="D375" s="7">
        <v>4</v>
      </c>
      <c r="E375" s="7">
        <f t="shared" si="30"/>
        <v>15</v>
      </c>
      <c r="F375" s="11" t="s">
        <v>35</v>
      </c>
      <c r="G375">
        <v>8</v>
      </c>
      <c r="H375">
        <v>2</v>
      </c>
      <c r="I375">
        <v>1</v>
      </c>
      <c r="J375">
        <v>4</v>
      </c>
      <c r="K375">
        <f t="shared" si="31"/>
        <v>15</v>
      </c>
      <c r="L375" t="s">
        <v>35</v>
      </c>
      <c r="M375">
        <v>62484.504660639999</v>
      </c>
      <c r="N375" s="7">
        <v>8</v>
      </c>
      <c r="O375" s="7">
        <v>2</v>
      </c>
      <c r="P375" s="7">
        <v>1</v>
      </c>
      <c r="Q375" s="7">
        <v>4</v>
      </c>
      <c r="R375" s="7">
        <f t="shared" si="32"/>
        <v>15</v>
      </c>
      <c r="S375" t="s">
        <v>35</v>
      </c>
      <c r="T375" s="7">
        <v>15</v>
      </c>
      <c r="U375" s="7">
        <v>15</v>
      </c>
      <c r="V375" s="7">
        <v>6</v>
      </c>
      <c r="W375" s="7">
        <v>7</v>
      </c>
      <c r="X375" s="7">
        <f t="shared" si="33"/>
        <v>43</v>
      </c>
      <c r="Y375" t="s">
        <v>39</v>
      </c>
      <c r="Z375">
        <v>193863.07717911</v>
      </c>
      <c r="AA375" t="s">
        <v>772</v>
      </c>
      <c r="AB375" t="e">
        <v>#N/A</v>
      </c>
      <c r="AF375">
        <v>181</v>
      </c>
      <c r="AG375" s="8">
        <v>251</v>
      </c>
      <c r="AH375">
        <v>28</v>
      </c>
      <c r="AI375">
        <v>28</v>
      </c>
      <c r="AJ375">
        <v>0</v>
      </c>
      <c r="AK375">
        <v>0.11155378486055777</v>
      </c>
      <c r="AL375">
        <v>1.7673443286738488</v>
      </c>
      <c r="AM375">
        <v>0</v>
      </c>
      <c r="AN375">
        <v>0</v>
      </c>
      <c r="AO375">
        <v>1.8666666666666667</v>
      </c>
      <c r="AP375">
        <v>1.8666666666666667</v>
      </c>
      <c r="AQ375">
        <v>0.26666666666666666</v>
      </c>
      <c r="AR375">
        <v>0.53333333333333333</v>
      </c>
      <c r="AS375">
        <v>0.13333333333333333</v>
      </c>
      <c r="AT375">
        <v>6.6666666666666666E-2</v>
      </c>
      <c r="AU375">
        <v>256347.58183975</v>
      </c>
      <c r="AV375" t="s">
        <v>489</v>
      </c>
      <c r="AW375" t="str">
        <f t="shared" si="34"/>
        <v>n/a</v>
      </c>
      <c r="AY375" t="e">
        <f t="shared" si="35"/>
        <v>#N/A</v>
      </c>
      <c r="AZ375" t="e">
        <v>#N/A</v>
      </c>
      <c r="BA375">
        <v>1</v>
      </c>
      <c r="BB375">
        <v>2018</v>
      </c>
      <c r="BC375">
        <v>7</v>
      </c>
      <c r="BD375">
        <v>2018</v>
      </c>
      <c r="BE375">
        <v>3</v>
      </c>
      <c r="BF375">
        <v>2018</v>
      </c>
    </row>
    <row r="376" spans="1:58" x14ac:dyDescent="0.2">
      <c r="A376" s="7">
        <v>13</v>
      </c>
      <c r="B376" s="7">
        <v>10</v>
      </c>
      <c r="C376" s="7">
        <v>2</v>
      </c>
      <c r="D376" s="7">
        <v>0</v>
      </c>
      <c r="E376" s="7">
        <f t="shared" si="30"/>
        <v>25</v>
      </c>
      <c r="F376" s="11" t="s">
        <v>36</v>
      </c>
      <c r="G376">
        <v>13</v>
      </c>
      <c r="H376">
        <v>16</v>
      </c>
      <c r="I376">
        <v>2</v>
      </c>
      <c r="J376">
        <v>0</v>
      </c>
      <c r="K376">
        <f t="shared" si="31"/>
        <v>31</v>
      </c>
      <c r="L376" t="s">
        <v>36</v>
      </c>
      <c r="M376">
        <v>17263.14392233</v>
      </c>
      <c r="N376" s="7">
        <v>13</v>
      </c>
      <c r="O376" s="7">
        <v>16</v>
      </c>
      <c r="P376" s="7">
        <v>2</v>
      </c>
      <c r="Q376" s="7">
        <v>0</v>
      </c>
      <c r="R376" s="7">
        <f t="shared" si="32"/>
        <v>31</v>
      </c>
      <c r="S376" t="s">
        <v>36</v>
      </c>
      <c r="T376" s="7">
        <v>13</v>
      </c>
      <c r="U376" s="7">
        <v>16</v>
      </c>
      <c r="V376" s="7">
        <v>2</v>
      </c>
      <c r="W376" s="7">
        <v>6</v>
      </c>
      <c r="X376" s="7">
        <f t="shared" si="33"/>
        <v>37</v>
      </c>
      <c r="Y376" t="e">
        <v>#N/A</v>
      </c>
      <c r="Z376">
        <v>166829.48157256001</v>
      </c>
      <c r="AA376" t="s">
        <v>773</v>
      </c>
      <c r="AB376" t="e">
        <v>#N/A</v>
      </c>
      <c r="AF376">
        <v>20</v>
      </c>
      <c r="AG376" s="8">
        <v>205</v>
      </c>
      <c r="AH376">
        <v>6</v>
      </c>
      <c r="AI376">
        <v>12</v>
      </c>
      <c r="AJ376">
        <v>6</v>
      </c>
      <c r="AK376">
        <v>2.9268292682926831E-2</v>
      </c>
      <c r="AL376">
        <v>0.41905817746174689</v>
      </c>
      <c r="AM376">
        <v>0</v>
      </c>
      <c r="AN376">
        <v>0</v>
      </c>
      <c r="AO376">
        <v>0.19354838709677419</v>
      </c>
      <c r="AP376">
        <v>0.24</v>
      </c>
      <c r="AQ376">
        <v>0</v>
      </c>
      <c r="AR376">
        <v>0.52</v>
      </c>
      <c r="AS376">
        <v>0.4</v>
      </c>
      <c r="AT376">
        <v>0.08</v>
      </c>
      <c r="AU376">
        <v>184092.62549489</v>
      </c>
      <c r="AV376" t="s">
        <v>489</v>
      </c>
      <c r="AW376" t="str">
        <f t="shared" si="34"/>
        <v>n/a</v>
      </c>
      <c r="AY376" t="e">
        <f t="shared" si="35"/>
        <v>#N/A</v>
      </c>
      <c r="AZ376" t="e">
        <v>#N/A</v>
      </c>
      <c r="BA376">
        <v>1</v>
      </c>
      <c r="BB376">
        <v>2018</v>
      </c>
      <c r="BC376">
        <v>2</v>
      </c>
      <c r="BD376">
        <v>2018</v>
      </c>
      <c r="BE376">
        <v>2</v>
      </c>
      <c r="BF376">
        <v>2018</v>
      </c>
    </row>
    <row r="377" spans="1:58" x14ac:dyDescent="0.2">
      <c r="A377" s="7">
        <v>1</v>
      </c>
      <c r="B377" s="7">
        <v>11</v>
      </c>
      <c r="C377" s="7">
        <v>0</v>
      </c>
      <c r="D377" s="7">
        <v>0</v>
      </c>
      <c r="E377" s="7">
        <f t="shared" si="30"/>
        <v>12</v>
      </c>
      <c r="F377" s="11" t="s">
        <v>36</v>
      </c>
      <c r="G377">
        <v>1</v>
      </c>
      <c r="H377">
        <v>11</v>
      </c>
      <c r="I377">
        <v>0</v>
      </c>
      <c r="J377">
        <v>0</v>
      </c>
      <c r="K377">
        <f t="shared" si="31"/>
        <v>12</v>
      </c>
      <c r="L377" t="s">
        <v>36</v>
      </c>
      <c r="M377">
        <v>35865.431934630004</v>
      </c>
      <c r="N377" s="7">
        <v>3</v>
      </c>
      <c r="O377" s="7">
        <v>9</v>
      </c>
      <c r="P377" s="7">
        <v>0</v>
      </c>
      <c r="Q377" s="7">
        <v>1</v>
      </c>
      <c r="R377" s="7">
        <f t="shared" si="32"/>
        <v>13</v>
      </c>
      <c r="S377" t="s">
        <v>36</v>
      </c>
      <c r="T377" s="7">
        <v>5</v>
      </c>
      <c r="U377" s="7">
        <v>6</v>
      </c>
      <c r="V377" s="7">
        <v>0</v>
      </c>
      <c r="W377" s="7">
        <v>5</v>
      </c>
      <c r="X377" s="7">
        <f t="shared" si="33"/>
        <v>16</v>
      </c>
      <c r="Y377" t="s">
        <v>36</v>
      </c>
      <c r="Z377">
        <v>235797.06472753</v>
      </c>
      <c r="AA377" t="s">
        <v>774</v>
      </c>
      <c r="AB377" t="e">
        <v>#N/A</v>
      </c>
      <c r="AF377" t="e">
        <v>#N/A</v>
      </c>
      <c r="AG377" s="8">
        <v>289</v>
      </c>
      <c r="AH377">
        <v>3</v>
      </c>
      <c r="AI377">
        <v>4</v>
      </c>
      <c r="AJ377">
        <v>0</v>
      </c>
      <c r="AK377">
        <v>1.0380622837370242E-2</v>
      </c>
      <c r="AL377">
        <v>0.17647058823529413</v>
      </c>
      <c r="AM377">
        <v>1</v>
      </c>
      <c r="AN377">
        <v>0</v>
      </c>
      <c r="AO377">
        <v>0.23076923076923078</v>
      </c>
      <c r="AP377">
        <v>0.25</v>
      </c>
      <c r="AQ377">
        <v>0</v>
      </c>
      <c r="AR377">
        <v>8.3333333333333329E-2</v>
      </c>
      <c r="AS377">
        <v>0.91666666666666663</v>
      </c>
      <c r="AT377">
        <v>0</v>
      </c>
      <c r="AU377">
        <v>271662.49666216003</v>
      </c>
      <c r="AV377" t="s">
        <v>489</v>
      </c>
      <c r="AW377" t="str">
        <f t="shared" si="34"/>
        <v>n/a</v>
      </c>
      <c r="AY377" t="e">
        <f t="shared" si="35"/>
        <v>#N/A</v>
      </c>
      <c r="AZ377" t="e">
        <v>#N/A</v>
      </c>
      <c r="BA377">
        <v>1</v>
      </c>
      <c r="BB377">
        <v>2018</v>
      </c>
      <c r="BC377">
        <v>1</v>
      </c>
      <c r="BD377">
        <v>2018</v>
      </c>
      <c r="BE377">
        <v>1</v>
      </c>
      <c r="BF377">
        <v>2018</v>
      </c>
    </row>
    <row r="378" spans="1:58" x14ac:dyDescent="0.2">
      <c r="A378" s="7">
        <v>5</v>
      </c>
      <c r="B378" s="7">
        <v>35</v>
      </c>
      <c r="C378" s="7">
        <v>2</v>
      </c>
      <c r="D378" s="7">
        <v>3</v>
      </c>
      <c r="E378" s="7">
        <f t="shared" si="30"/>
        <v>45</v>
      </c>
      <c r="F378" s="11" t="s">
        <v>36</v>
      </c>
      <c r="G378">
        <v>5</v>
      </c>
      <c r="H378">
        <v>35</v>
      </c>
      <c r="I378">
        <v>0</v>
      </c>
      <c r="J378">
        <v>3</v>
      </c>
      <c r="K378">
        <f t="shared" si="31"/>
        <v>43</v>
      </c>
      <c r="L378" t="s">
        <v>36</v>
      </c>
      <c r="M378">
        <v>19661.25751879</v>
      </c>
      <c r="N378" s="7">
        <v>5</v>
      </c>
      <c r="O378" s="7">
        <v>35</v>
      </c>
      <c r="P378" s="7">
        <v>0</v>
      </c>
      <c r="Q378" s="7">
        <v>5</v>
      </c>
      <c r="R378" s="7">
        <f t="shared" si="32"/>
        <v>45</v>
      </c>
      <c r="S378" t="s">
        <v>36</v>
      </c>
      <c r="T378" s="7">
        <v>20</v>
      </c>
      <c r="U378" s="7">
        <v>40</v>
      </c>
      <c r="V378" s="7">
        <v>9</v>
      </c>
      <c r="W378" s="7">
        <v>17</v>
      </c>
      <c r="X378" s="7">
        <f t="shared" si="33"/>
        <v>86</v>
      </c>
      <c r="Y378" t="s">
        <v>36</v>
      </c>
      <c r="Z378">
        <v>121358.43863841001</v>
      </c>
      <c r="AA378" t="s">
        <v>775</v>
      </c>
      <c r="AB378" t="e">
        <v>#N/A</v>
      </c>
      <c r="AF378">
        <v>137</v>
      </c>
      <c r="AG378" s="8">
        <v>191</v>
      </c>
      <c r="AH378">
        <v>41</v>
      </c>
      <c r="AI378">
        <v>41</v>
      </c>
      <c r="AJ378">
        <v>-2</v>
      </c>
      <c r="AK378">
        <v>0.21465968586387435</v>
      </c>
      <c r="AL378">
        <v>2.9666558816989288</v>
      </c>
      <c r="AM378">
        <v>2</v>
      </c>
      <c r="AN378">
        <v>0</v>
      </c>
      <c r="AO378">
        <v>0.91111111111111109</v>
      </c>
      <c r="AP378">
        <v>0.91111111111111109</v>
      </c>
      <c r="AQ378">
        <v>6.6666666666666666E-2</v>
      </c>
      <c r="AR378">
        <v>0.1111111111111111</v>
      </c>
      <c r="AS378">
        <v>0.77777777777777779</v>
      </c>
      <c r="AT378">
        <v>4.4444444444444446E-2</v>
      </c>
      <c r="AU378">
        <v>141019.6961572</v>
      </c>
      <c r="AV378" t="s">
        <v>489</v>
      </c>
      <c r="AW378" t="str">
        <f t="shared" si="34"/>
        <v>n/a</v>
      </c>
      <c r="AY378" t="e">
        <f t="shared" si="35"/>
        <v>#N/A</v>
      </c>
      <c r="AZ378" t="e">
        <v>#N/A</v>
      </c>
      <c r="BA378">
        <v>2</v>
      </c>
      <c r="BB378">
        <v>2018</v>
      </c>
      <c r="BC378">
        <v>7</v>
      </c>
      <c r="BD378">
        <v>2018</v>
      </c>
      <c r="BE378">
        <v>3</v>
      </c>
      <c r="BF378">
        <v>2018</v>
      </c>
    </row>
    <row r="379" spans="1:58" x14ac:dyDescent="0.2">
      <c r="A379" s="7">
        <v>17</v>
      </c>
      <c r="B379" s="7">
        <v>35</v>
      </c>
      <c r="C379" s="7">
        <v>8</v>
      </c>
      <c r="D379" s="7">
        <v>4</v>
      </c>
      <c r="E379" s="7">
        <f t="shared" si="30"/>
        <v>64</v>
      </c>
      <c r="F379" s="11" t="s">
        <v>36</v>
      </c>
      <c r="G379">
        <v>17</v>
      </c>
      <c r="H379">
        <v>39</v>
      </c>
      <c r="I379">
        <v>8</v>
      </c>
      <c r="J379">
        <v>6</v>
      </c>
      <c r="K379">
        <f t="shared" si="31"/>
        <v>70</v>
      </c>
      <c r="L379" t="s">
        <v>36</v>
      </c>
      <c r="M379">
        <v>16775.58113816</v>
      </c>
      <c r="N379" s="7">
        <v>12</v>
      </c>
      <c r="O379" s="7">
        <v>17</v>
      </c>
      <c r="P379" s="7">
        <v>7</v>
      </c>
      <c r="Q379" s="7">
        <v>6</v>
      </c>
      <c r="R379" s="7">
        <f t="shared" si="32"/>
        <v>42</v>
      </c>
      <c r="S379" t="s">
        <v>36</v>
      </c>
      <c r="T379" s="7">
        <v>17</v>
      </c>
      <c r="U379" s="7">
        <v>39</v>
      </c>
      <c r="V379" s="7">
        <v>8</v>
      </c>
      <c r="W379" s="7">
        <v>6</v>
      </c>
      <c r="X379" s="7">
        <f t="shared" si="33"/>
        <v>70</v>
      </c>
      <c r="Y379" t="s">
        <v>36</v>
      </c>
      <c r="Z379">
        <v>133184.36748443</v>
      </c>
      <c r="AA379" t="s">
        <v>776</v>
      </c>
      <c r="AB379" t="e">
        <v>#N/A</v>
      </c>
      <c r="AF379">
        <v>157</v>
      </c>
      <c r="AG379" s="8">
        <v>38</v>
      </c>
      <c r="AH379">
        <v>28</v>
      </c>
      <c r="AI379">
        <v>6</v>
      </c>
      <c r="AJ379">
        <v>6</v>
      </c>
      <c r="AK379">
        <v>0.73684210526315785</v>
      </c>
      <c r="AL379">
        <v>4.5421997916613517</v>
      </c>
      <c r="AM379">
        <v>-28</v>
      </c>
      <c r="AN379">
        <v>1</v>
      </c>
      <c r="AO379">
        <v>0.66666666666666663</v>
      </c>
      <c r="AP379">
        <v>0.4375</v>
      </c>
      <c r="AQ379">
        <v>6.25E-2</v>
      </c>
      <c r="AR379">
        <v>0.265625</v>
      </c>
      <c r="AS379">
        <v>0.546875</v>
      </c>
      <c r="AT379">
        <v>0.125</v>
      </c>
      <c r="AU379">
        <v>149959.94862258999</v>
      </c>
      <c r="AV379" t="s">
        <v>489</v>
      </c>
      <c r="AW379" t="str">
        <f t="shared" si="34"/>
        <v>n/a</v>
      </c>
      <c r="AY379" t="e">
        <f t="shared" si="35"/>
        <v>#N/A</v>
      </c>
      <c r="AZ379" t="e">
        <v>#N/A</v>
      </c>
      <c r="BA379">
        <v>1</v>
      </c>
      <c r="BB379">
        <v>2018</v>
      </c>
      <c r="BC379">
        <v>7</v>
      </c>
      <c r="BD379">
        <v>2018</v>
      </c>
      <c r="BE379">
        <v>1</v>
      </c>
      <c r="BF379">
        <v>2018</v>
      </c>
    </row>
    <row r="380" spans="1:58" x14ac:dyDescent="0.2">
      <c r="A380" s="7">
        <v>11</v>
      </c>
      <c r="B380" s="7">
        <v>20</v>
      </c>
      <c r="C380" s="7">
        <v>6</v>
      </c>
      <c r="D380" s="7">
        <v>6</v>
      </c>
      <c r="E380" s="7">
        <f t="shared" si="30"/>
        <v>43</v>
      </c>
      <c r="F380" s="11" t="s">
        <v>36</v>
      </c>
      <c r="G380">
        <v>11</v>
      </c>
      <c r="H380">
        <v>20</v>
      </c>
      <c r="I380">
        <v>6</v>
      </c>
      <c r="J380">
        <v>6</v>
      </c>
      <c r="K380">
        <f t="shared" si="31"/>
        <v>43</v>
      </c>
      <c r="L380" t="s">
        <v>36</v>
      </c>
      <c r="M380">
        <v>7312.11029856</v>
      </c>
      <c r="N380" s="7">
        <v>14</v>
      </c>
      <c r="O380" s="7">
        <v>18</v>
      </c>
      <c r="P380" s="7">
        <v>6</v>
      </c>
      <c r="Q380" s="7">
        <v>7</v>
      </c>
      <c r="R380" s="7">
        <f t="shared" si="32"/>
        <v>45</v>
      </c>
      <c r="S380" t="s">
        <v>36</v>
      </c>
      <c r="T380" s="7">
        <v>14</v>
      </c>
      <c r="U380" s="7">
        <v>18</v>
      </c>
      <c r="V380" s="7">
        <v>6</v>
      </c>
      <c r="W380" s="7">
        <v>7</v>
      </c>
      <c r="X380" s="7">
        <f t="shared" si="33"/>
        <v>45</v>
      </c>
      <c r="Y380" t="s">
        <v>36</v>
      </c>
      <c r="Z380">
        <v>3402.5204759100002</v>
      </c>
      <c r="AA380" t="s">
        <v>777</v>
      </c>
      <c r="AB380" t="e">
        <v>#N/A</v>
      </c>
      <c r="AF380" t="e">
        <v>#N/A</v>
      </c>
      <c r="AG380" s="8">
        <v>0</v>
      </c>
      <c r="AH380">
        <v>0</v>
      </c>
      <c r="AI380">
        <v>2</v>
      </c>
      <c r="AJ380">
        <v>0</v>
      </c>
      <c r="AK380" t="e">
        <v>#N/A</v>
      </c>
      <c r="AL380" t="e">
        <v>#N/A</v>
      </c>
      <c r="AM380">
        <v>2</v>
      </c>
      <c r="AN380">
        <v>0</v>
      </c>
      <c r="AO380">
        <v>0</v>
      </c>
      <c r="AP380">
        <v>0</v>
      </c>
      <c r="AQ380">
        <v>0.13953488372093023</v>
      </c>
      <c r="AR380">
        <v>0.2558139534883721</v>
      </c>
      <c r="AS380">
        <v>0.46511627906976744</v>
      </c>
      <c r="AT380">
        <v>0.13953488372093023</v>
      </c>
      <c r="AU380">
        <v>10714.630774470001</v>
      </c>
      <c r="AV380" t="s">
        <v>489</v>
      </c>
      <c r="AW380" t="str">
        <f t="shared" si="34"/>
        <v>n/a</v>
      </c>
      <c r="AY380" t="e">
        <f t="shared" si="35"/>
        <v>#N/A</v>
      </c>
      <c r="AZ380" t="e">
        <v>#N/A</v>
      </c>
      <c r="BA380">
        <v>11</v>
      </c>
      <c r="BB380">
        <v>2018</v>
      </c>
      <c r="BC380">
        <v>11</v>
      </c>
      <c r="BD380">
        <v>2018</v>
      </c>
      <c r="BE380">
        <v>12</v>
      </c>
      <c r="BF380">
        <v>2018</v>
      </c>
    </row>
    <row r="381" spans="1:58" x14ac:dyDescent="0.2">
      <c r="A381" s="7">
        <v>4</v>
      </c>
      <c r="B381" s="7">
        <v>6</v>
      </c>
      <c r="C381" s="7">
        <v>0</v>
      </c>
      <c r="D381" s="7">
        <v>0</v>
      </c>
      <c r="E381" s="7">
        <f t="shared" si="30"/>
        <v>10</v>
      </c>
      <c r="F381" s="11" t="s">
        <v>36</v>
      </c>
      <c r="G381">
        <v>4</v>
      </c>
      <c r="H381">
        <v>6</v>
      </c>
      <c r="I381">
        <v>0</v>
      </c>
      <c r="J381">
        <v>0</v>
      </c>
      <c r="K381">
        <f t="shared" si="31"/>
        <v>10</v>
      </c>
      <c r="L381" t="s">
        <v>36</v>
      </c>
      <c r="M381">
        <v>54762.243649020013</v>
      </c>
      <c r="N381" s="7">
        <v>4</v>
      </c>
      <c r="O381" s="7">
        <v>6</v>
      </c>
      <c r="P381" s="7">
        <v>0</v>
      </c>
      <c r="Q381" s="7">
        <v>0</v>
      </c>
      <c r="R381" s="7">
        <f t="shared" si="32"/>
        <v>10</v>
      </c>
      <c r="S381" t="s">
        <v>36</v>
      </c>
      <c r="T381" s="7">
        <v>17</v>
      </c>
      <c r="U381" s="7">
        <v>28</v>
      </c>
      <c r="V381" s="7">
        <v>8</v>
      </c>
      <c r="W381" s="7">
        <v>6</v>
      </c>
      <c r="X381" s="7">
        <f t="shared" si="33"/>
        <v>59</v>
      </c>
      <c r="Y381" t="s">
        <v>36</v>
      </c>
      <c r="Z381">
        <v>225467.45498397999</v>
      </c>
      <c r="AA381" t="s">
        <v>778</v>
      </c>
      <c r="AB381" t="e">
        <v>#N/A</v>
      </c>
      <c r="AF381" t="e">
        <v>#N/A</v>
      </c>
      <c r="AG381" s="8">
        <v>315</v>
      </c>
      <c r="AH381">
        <v>49</v>
      </c>
      <c r="AI381">
        <v>49</v>
      </c>
      <c r="AJ381">
        <v>0</v>
      </c>
      <c r="AK381">
        <v>0.15555555555555556</v>
      </c>
      <c r="AL381">
        <v>2.760837232113154</v>
      </c>
      <c r="AM381">
        <v>0</v>
      </c>
      <c r="AN381">
        <v>0</v>
      </c>
      <c r="AO381">
        <v>4.9000000000000004</v>
      </c>
      <c r="AP381">
        <v>4.9000000000000004</v>
      </c>
      <c r="AQ381">
        <v>0</v>
      </c>
      <c r="AR381">
        <v>0.4</v>
      </c>
      <c r="AS381">
        <v>0.6</v>
      </c>
      <c r="AT381">
        <v>0</v>
      </c>
      <c r="AU381">
        <v>280229.69863300002</v>
      </c>
      <c r="AV381" t="s">
        <v>489</v>
      </c>
      <c r="AW381" t="str">
        <f t="shared" si="34"/>
        <v>n/a</v>
      </c>
      <c r="AY381" t="e">
        <f t="shared" si="35"/>
        <v>#N/A</v>
      </c>
      <c r="AZ381" t="e">
        <v>#N/A</v>
      </c>
      <c r="BA381">
        <v>7</v>
      </c>
      <c r="BB381">
        <v>2018</v>
      </c>
      <c r="BC381">
        <v>7</v>
      </c>
      <c r="BD381">
        <v>2018</v>
      </c>
      <c r="BE381">
        <v>1</v>
      </c>
      <c r="BF381">
        <v>2018</v>
      </c>
    </row>
    <row r="382" spans="1:58" x14ac:dyDescent="0.2">
      <c r="A382" s="7">
        <v>10</v>
      </c>
      <c r="B382" s="7">
        <v>15</v>
      </c>
      <c r="C382" s="7">
        <v>2</v>
      </c>
      <c r="D382" s="7">
        <v>0</v>
      </c>
      <c r="E382" s="7">
        <f t="shared" si="30"/>
        <v>27</v>
      </c>
      <c r="F382" s="11" t="s">
        <v>66</v>
      </c>
      <c r="G382">
        <v>4</v>
      </c>
      <c r="H382">
        <v>11</v>
      </c>
      <c r="I382">
        <v>2</v>
      </c>
      <c r="J382">
        <v>0</v>
      </c>
      <c r="K382">
        <f t="shared" si="31"/>
        <v>17</v>
      </c>
      <c r="L382" t="s">
        <v>66</v>
      </c>
      <c r="M382">
        <v>24013.713219460002</v>
      </c>
      <c r="N382" s="7">
        <v>4</v>
      </c>
      <c r="O382" s="7">
        <v>11</v>
      </c>
      <c r="P382" s="7">
        <v>2</v>
      </c>
      <c r="Q382" s="7">
        <v>0</v>
      </c>
      <c r="R382" s="7">
        <f t="shared" si="32"/>
        <v>17</v>
      </c>
      <c r="S382" t="s">
        <v>66</v>
      </c>
      <c r="T382" s="7">
        <v>12</v>
      </c>
      <c r="U382" s="7">
        <v>11</v>
      </c>
      <c r="V382" s="7">
        <v>6</v>
      </c>
      <c r="W382" s="7">
        <v>5</v>
      </c>
      <c r="X382" s="7">
        <f t="shared" si="33"/>
        <v>34</v>
      </c>
      <c r="Y382" t="s">
        <v>68</v>
      </c>
      <c r="Z382">
        <v>67369.720466180006</v>
      </c>
      <c r="AA382" t="s">
        <v>779</v>
      </c>
      <c r="AB382" t="e">
        <v>#N/A</v>
      </c>
      <c r="AF382">
        <v>21</v>
      </c>
      <c r="AG382" s="8">
        <v>88</v>
      </c>
      <c r="AH382">
        <v>17</v>
      </c>
      <c r="AI382">
        <v>7</v>
      </c>
      <c r="AJ382">
        <v>-10</v>
      </c>
      <c r="AK382">
        <v>0.19318181818181818</v>
      </c>
      <c r="AL382">
        <v>1.8122060890226885</v>
      </c>
      <c r="AM382">
        <v>0</v>
      </c>
      <c r="AN382">
        <v>0</v>
      </c>
      <c r="AO382">
        <v>1</v>
      </c>
      <c r="AP382">
        <v>0.62962962962962965</v>
      </c>
      <c r="AQ382">
        <v>0</v>
      </c>
      <c r="AR382">
        <v>0.37037037037037035</v>
      </c>
      <c r="AS382">
        <v>0.55555555555555558</v>
      </c>
      <c r="AT382">
        <v>7.407407407407407E-2</v>
      </c>
      <c r="AU382">
        <v>91383.433685640004</v>
      </c>
      <c r="AV382" t="s">
        <v>489</v>
      </c>
      <c r="AW382" t="str">
        <f t="shared" si="34"/>
        <v>n/a</v>
      </c>
      <c r="AY382" t="e">
        <f t="shared" si="35"/>
        <v>#N/A</v>
      </c>
      <c r="AZ382" t="e">
        <v>#N/A</v>
      </c>
      <c r="BA382">
        <v>2</v>
      </c>
      <c r="BB382">
        <v>2018</v>
      </c>
      <c r="BC382">
        <v>3</v>
      </c>
      <c r="BD382">
        <v>2018</v>
      </c>
      <c r="BE382">
        <v>3</v>
      </c>
      <c r="BF382">
        <v>2018</v>
      </c>
    </row>
    <row r="383" spans="1:58" x14ac:dyDescent="0.2">
      <c r="A383" s="7">
        <v>11</v>
      </c>
      <c r="B383" s="7">
        <v>15</v>
      </c>
      <c r="C383" s="7">
        <v>0</v>
      </c>
      <c r="D383" s="7">
        <v>0</v>
      </c>
      <c r="E383" s="7">
        <f t="shared" si="30"/>
        <v>26</v>
      </c>
      <c r="F383" s="11" t="s">
        <v>36</v>
      </c>
      <c r="G383">
        <v>11</v>
      </c>
      <c r="H383">
        <v>15</v>
      </c>
      <c r="I383">
        <v>0</v>
      </c>
      <c r="J383">
        <v>0</v>
      </c>
      <c r="K383">
        <f t="shared" si="31"/>
        <v>26</v>
      </c>
      <c r="L383" t="s">
        <v>36</v>
      </c>
      <c r="M383">
        <v>20095.662763169999</v>
      </c>
      <c r="N383" s="7">
        <v>11</v>
      </c>
      <c r="O383" s="7">
        <v>15</v>
      </c>
      <c r="P383" s="7">
        <v>0</v>
      </c>
      <c r="Q383" s="7">
        <v>0</v>
      </c>
      <c r="R383" s="7">
        <f t="shared" si="32"/>
        <v>26</v>
      </c>
      <c r="S383" t="s">
        <v>36</v>
      </c>
      <c r="T383" s="7">
        <v>17</v>
      </c>
      <c r="U383" s="7">
        <v>30</v>
      </c>
      <c r="V383" s="7">
        <v>6</v>
      </c>
      <c r="W383" s="7">
        <v>0</v>
      </c>
      <c r="X383" s="7">
        <f t="shared" si="33"/>
        <v>53</v>
      </c>
      <c r="Y383" t="e">
        <v>#N/A</v>
      </c>
      <c r="Z383">
        <v>147645.53518306001</v>
      </c>
      <c r="AA383" t="s">
        <v>780</v>
      </c>
      <c r="AB383" t="e">
        <v>#N/A</v>
      </c>
      <c r="AF383">
        <v>152</v>
      </c>
      <c r="AG383" s="8">
        <v>193</v>
      </c>
      <c r="AH383">
        <v>27</v>
      </c>
      <c r="AI383">
        <v>27</v>
      </c>
      <c r="AJ383">
        <v>0</v>
      </c>
      <c r="AK383">
        <v>0.13989637305699482</v>
      </c>
      <c r="AL383">
        <v>1.9435025270214754</v>
      </c>
      <c r="AM383">
        <v>0</v>
      </c>
      <c r="AN383">
        <v>0</v>
      </c>
      <c r="AO383">
        <v>1.0384615384615385</v>
      </c>
      <c r="AP383">
        <v>1.0384615384615385</v>
      </c>
      <c r="AQ383">
        <v>0</v>
      </c>
      <c r="AR383">
        <v>0.42307692307692307</v>
      </c>
      <c r="AS383">
        <v>0.57692307692307687</v>
      </c>
      <c r="AT383">
        <v>0</v>
      </c>
      <c r="AU383">
        <v>167741.19794623001</v>
      </c>
      <c r="AV383" t="s">
        <v>489</v>
      </c>
      <c r="AW383" t="str">
        <f t="shared" si="34"/>
        <v>n/a</v>
      </c>
      <c r="AY383" t="e">
        <f t="shared" si="35"/>
        <v>#N/A</v>
      </c>
      <c r="AZ383" t="e">
        <v>#N/A</v>
      </c>
      <c r="BA383">
        <v>1</v>
      </c>
      <c r="BB383">
        <v>2018</v>
      </c>
      <c r="BC383">
        <v>7</v>
      </c>
      <c r="BD383">
        <v>2018</v>
      </c>
      <c r="BE383">
        <v>2</v>
      </c>
      <c r="BF383">
        <v>2018</v>
      </c>
    </row>
    <row r="384" spans="1:58" x14ac:dyDescent="0.2">
      <c r="A384" s="7">
        <v>7</v>
      </c>
      <c r="B384" s="7">
        <v>16</v>
      </c>
      <c r="C384" s="7">
        <v>2</v>
      </c>
      <c r="D384" s="7">
        <v>0</v>
      </c>
      <c r="E384" s="7">
        <f t="shared" si="30"/>
        <v>25</v>
      </c>
      <c r="F384" s="11" t="s">
        <v>36</v>
      </c>
      <c r="G384">
        <v>7</v>
      </c>
      <c r="H384">
        <v>16</v>
      </c>
      <c r="I384">
        <v>2</v>
      </c>
      <c r="J384">
        <v>0</v>
      </c>
      <c r="K384">
        <f t="shared" si="31"/>
        <v>25</v>
      </c>
      <c r="L384" t="s">
        <v>36</v>
      </c>
      <c r="M384">
        <v>54592.405956750001</v>
      </c>
      <c r="N384" s="7">
        <v>7</v>
      </c>
      <c r="O384" s="7">
        <v>18</v>
      </c>
      <c r="P384" s="7">
        <v>2</v>
      </c>
      <c r="Q384" s="7">
        <v>0</v>
      </c>
      <c r="R384" s="7">
        <f t="shared" si="32"/>
        <v>27</v>
      </c>
      <c r="S384" t="s">
        <v>36</v>
      </c>
      <c r="T384" s="7">
        <v>20</v>
      </c>
      <c r="U384" s="7">
        <v>35</v>
      </c>
      <c r="V384" s="7">
        <v>9</v>
      </c>
      <c r="W384" s="7">
        <v>2</v>
      </c>
      <c r="X384" s="7">
        <f t="shared" si="33"/>
        <v>66</v>
      </c>
      <c r="Y384" t="s">
        <v>36</v>
      </c>
      <c r="Z384">
        <v>108273.03778634001</v>
      </c>
      <c r="AA384" t="s">
        <v>781</v>
      </c>
      <c r="AB384" t="e">
        <v>#N/A</v>
      </c>
      <c r="AF384" t="e">
        <v>#N/A</v>
      </c>
      <c r="AG384" s="8">
        <v>237</v>
      </c>
      <c r="AH384">
        <v>39</v>
      </c>
      <c r="AI384">
        <v>41</v>
      </c>
      <c r="AJ384">
        <v>0</v>
      </c>
      <c r="AK384">
        <v>0.16455696202531644</v>
      </c>
      <c r="AL384">
        <v>2.5333222296003606</v>
      </c>
      <c r="AM384">
        <v>2</v>
      </c>
      <c r="AN384">
        <v>0</v>
      </c>
      <c r="AO384">
        <v>1.4444444444444444</v>
      </c>
      <c r="AP384">
        <v>1.56</v>
      </c>
      <c r="AQ384">
        <v>0</v>
      </c>
      <c r="AR384">
        <v>0.28000000000000003</v>
      </c>
      <c r="AS384">
        <v>0.64</v>
      </c>
      <c r="AT384">
        <v>0.08</v>
      </c>
      <c r="AU384">
        <v>162865.44374309</v>
      </c>
      <c r="AV384" t="s">
        <v>489</v>
      </c>
      <c r="AW384" t="str">
        <f t="shared" si="34"/>
        <v>n/a</v>
      </c>
      <c r="AY384" t="e">
        <f t="shared" si="35"/>
        <v>#N/A</v>
      </c>
      <c r="AZ384" t="e">
        <v>#N/A</v>
      </c>
      <c r="BA384">
        <v>2</v>
      </c>
      <c r="BB384">
        <v>2018</v>
      </c>
      <c r="BC384">
        <v>2</v>
      </c>
      <c r="BD384">
        <v>2018</v>
      </c>
      <c r="BE384">
        <v>1</v>
      </c>
      <c r="BF384">
        <v>2018</v>
      </c>
    </row>
    <row r="385" spans="1:58" x14ac:dyDescent="0.2">
      <c r="A385" s="7">
        <v>0</v>
      </c>
      <c r="B385" s="7">
        <v>0</v>
      </c>
      <c r="C385" s="7">
        <v>0</v>
      </c>
      <c r="D385" s="7">
        <v>0</v>
      </c>
      <c r="E385" s="7">
        <f t="shared" si="30"/>
        <v>0</v>
      </c>
      <c r="F385" s="11" t="e">
        <v>#N/A</v>
      </c>
      <c r="G385">
        <v>0</v>
      </c>
      <c r="H385">
        <v>0</v>
      </c>
      <c r="I385">
        <v>0</v>
      </c>
      <c r="J385">
        <v>0</v>
      </c>
      <c r="K385">
        <f t="shared" si="31"/>
        <v>0</v>
      </c>
      <c r="L385" t="e">
        <v>#N/A</v>
      </c>
      <c r="N385" s="7">
        <v>12</v>
      </c>
      <c r="O385" s="7">
        <v>22</v>
      </c>
      <c r="P385" s="7">
        <v>9</v>
      </c>
      <c r="Q385" s="7">
        <v>19</v>
      </c>
      <c r="R385" s="7">
        <f t="shared" si="32"/>
        <v>62</v>
      </c>
      <c r="S385" t="s">
        <v>39</v>
      </c>
      <c r="T385" s="7">
        <v>0</v>
      </c>
      <c r="U385" s="7">
        <v>9</v>
      </c>
      <c r="V385" s="7">
        <v>2</v>
      </c>
      <c r="W385" s="7">
        <v>0</v>
      </c>
      <c r="X385" s="7">
        <f t="shared" si="33"/>
        <v>11</v>
      </c>
      <c r="Y385" t="e">
        <v>#N/A</v>
      </c>
      <c r="Z385">
        <v>137407.02628836001</v>
      </c>
      <c r="AA385" t="s">
        <v>782</v>
      </c>
      <c r="AB385" t="e">
        <v>#N/A</v>
      </c>
      <c r="AF385" t="e">
        <v>#N/A</v>
      </c>
      <c r="AG385" s="8">
        <v>48</v>
      </c>
      <c r="AH385">
        <v>-51</v>
      </c>
      <c r="AI385">
        <v>11</v>
      </c>
      <c r="AJ385">
        <v>0</v>
      </c>
      <c r="AK385">
        <v>-1.0625</v>
      </c>
      <c r="AL385">
        <v>-7.3612159321677293</v>
      </c>
      <c r="AM385">
        <v>62</v>
      </c>
      <c r="AN385">
        <v>0</v>
      </c>
      <c r="AO385">
        <v>-0.82258064516129037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>
        <v>137407.02628836001</v>
      </c>
      <c r="AV385" t="s">
        <v>489</v>
      </c>
      <c r="AW385" t="str">
        <f t="shared" si="34"/>
        <v>n/a</v>
      </c>
      <c r="AY385" t="e">
        <f t="shared" si="35"/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>
        <v>2</v>
      </c>
      <c r="BF385">
        <v>2018</v>
      </c>
    </row>
    <row r="386" spans="1:58" x14ac:dyDescent="0.2">
      <c r="A386" s="7">
        <v>12</v>
      </c>
      <c r="B386" s="7">
        <v>15</v>
      </c>
      <c r="C386" s="7">
        <v>0</v>
      </c>
      <c r="D386" s="7">
        <v>5</v>
      </c>
      <c r="E386" s="7">
        <f t="shared" ref="E386:E449" si="36">SUM(A386,B386,C386,D386)</f>
        <v>32</v>
      </c>
      <c r="F386" s="11" t="s">
        <v>36</v>
      </c>
      <c r="G386">
        <v>12</v>
      </c>
      <c r="H386">
        <v>13</v>
      </c>
      <c r="I386">
        <v>5</v>
      </c>
      <c r="J386">
        <v>5</v>
      </c>
      <c r="K386">
        <f t="shared" ref="K386:K449" si="37">SUM(G386,H386,I386,J386)</f>
        <v>35</v>
      </c>
      <c r="L386" t="s">
        <v>54</v>
      </c>
      <c r="M386">
        <v>27849.031041189999</v>
      </c>
      <c r="N386" s="7">
        <v>12</v>
      </c>
      <c r="O386" s="7">
        <v>13</v>
      </c>
      <c r="P386" s="7">
        <v>5</v>
      </c>
      <c r="Q386" s="7">
        <v>5</v>
      </c>
      <c r="R386" s="7">
        <f t="shared" ref="R386:R449" si="38">SUM(N386,O386,P386,Q386)</f>
        <v>35</v>
      </c>
      <c r="S386" t="s">
        <v>54</v>
      </c>
      <c r="T386" s="7">
        <v>18</v>
      </c>
      <c r="U386" s="7">
        <v>17</v>
      </c>
      <c r="V386" s="7">
        <v>7</v>
      </c>
      <c r="W386" s="7">
        <v>5</v>
      </c>
      <c r="X386" s="7">
        <f t="shared" ref="X386:X449" si="39">SUM(T386,U386,V386,W386)</f>
        <v>47</v>
      </c>
      <c r="Y386" t="e">
        <v>#N/A</v>
      </c>
      <c r="Z386">
        <v>88948.577165350012</v>
      </c>
      <c r="AA386" t="s">
        <v>783</v>
      </c>
      <c r="AB386" t="e">
        <v>#N/A</v>
      </c>
      <c r="AF386">
        <v>30</v>
      </c>
      <c r="AG386" s="8">
        <v>170</v>
      </c>
      <c r="AH386">
        <v>12</v>
      </c>
      <c r="AI386">
        <v>15</v>
      </c>
      <c r="AJ386">
        <v>3</v>
      </c>
      <c r="AK386">
        <v>7.0588235294117646E-2</v>
      </c>
      <c r="AL386">
        <v>0.92035798661684443</v>
      </c>
      <c r="AM386">
        <v>0</v>
      </c>
      <c r="AN386">
        <v>0</v>
      </c>
      <c r="AO386">
        <v>0.34285714285714286</v>
      </c>
      <c r="AP386">
        <v>0.375</v>
      </c>
      <c r="AQ386">
        <v>0.15625</v>
      </c>
      <c r="AR386">
        <v>0.375</v>
      </c>
      <c r="AS386">
        <v>0.46875</v>
      </c>
      <c r="AT386">
        <v>0</v>
      </c>
      <c r="AU386">
        <v>116797.60820654001</v>
      </c>
      <c r="AV386" t="s">
        <v>489</v>
      </c>
      <c r="AW386" t="str">
        <f t="shared" si="34"/>
        <v>n/a</v>
      </c>
      <c r="AY386" t="e">
        <f t="shared" si="35"/>
        <v>#N/A</v>
      </c>
      <c r="AZ386" t="e">
        <v>#N/A</v>
      </c>
      <c r="BA386">
        <v>2</v>
      </c>
      <c r="BB386">
        <v>2018</v>
      </c>
      <c r="BC386">
        <v>3</v>
      </c>
      <c r="BD386">
        <v>2018</v>
      </c>
      <c r="BE386">
        <v>3</v>
      </c>
      <c r="BF386">
        <v>2018</v>
      </c>
    </row>
    <row r="387" spans="1:58" x14ac:dyDescent="0.2">
      <c r="A387" s="7">
        <v>7</v>
      </c>
      <c r="B387" s="7">
        <v>10</v>
      </c>
      <c r="C387" s="7">
        <v>0</v>
      </c>
      <c r="D387" s="7">
        <v>0</v>
      </c>
      <c r="E387" s="7">
        <f t="shared" si="36"/>
        <v>17</v>
      </c>
      <c r="F387" s="11" t="s">
        <v>36</v>
      </c>
      <c r="G387">
        <v>6</v>
      </c>
      <c r="H387">
        <v>10</v>
      </c>
      <c r="I387">
        <v>0</v>
      </c>
      <c r="J387">
        <v>2</v>
      </c>
      <c r="K387">
        <f t="shared" si="37"/>
        <v>18</v>
      </c>
      <c r="L387" t="s">
        <v>36</v>
      </c>
      <c r="M387">
        <v>34783.605447219998</v>
      </c>
      <c r="N387" s="7">
        <v>6</v>
      </c>
      <c r="O387" s="7">
        <v>10</v>
      </c>
      <c r="P387" s="7">
        <v>0</v>
      </c>
      <c r="Q387" s="7">
        <v>2</v>
      </c>
      <c r="R387" s="7">
        <f t="shared" si="38"/>
        <v>18</v>
      </c>
      <c r="S387" t="s">
        <v>36</v>
      </c>
      <c r="T387" s="7">
        <v>10</v>
      </c>
      <c r="U387" s="7">
        <v>15</v>
      </c>
      <c r="V387" s="7">
        <v>2</v>
      </c>
      <c r="W387" s="7">
        <v>4</v>
      </c>
      <c r="X387" s="7">
        <f t="shared" si="39"/>
        <v>31</v>
      </c>
      <c r="Y387" t="s">
        <v>36</v>
      </c>
      <c r="Z387">
        <v>116476.30506093</v>
      </c>
      <c r="AA387" t="s">
        <v>784</v>
      </c>
      <c r="AB387" t="e">
        <v>#N/A</v>
      </c>
      <c r="AF387">
        <v>29</v>
      </c>
      <c r="AG387" s="8">
        <v>78</v>
      </c>
      <c r="AH387">
        <v>13</v>
      </c>
      <c r="AI387">
        <v>14</v>
      </c>
      <c r="AJ387">
        <v>1</v>
      </c>
      <c r="AK387">
        <v>0.16666666666666666</v>
      </c>
      <c r="AL387">
        <v>1.4719601443879744</v>
      </c>
      <c r="AM387">
        <v>0</v>
      </c>
      <c r="AN387">
        <v>0</v>
      </c>
      <c r="AO387">
        <v>0.72222222222222221</v>
      </c>
      <c r="AP387">
        <v>0.76470588235294112</v>
      </c>
      <c r="AQ387">
        <v>0</v>
      </c>
      <c r="AR387">
        <v>0.41176470588235292</v>
      </c>
      <c r="AS387">
        <v>0.58823529411764708</v>
      </c>
      <c r="AT387">
        <v>0</v>
      </c>
      <c r="AU387">
        <v>151259.91050815</v>
      </c>
      <c r="AV387" t="s">
        <v>489</v>
      </c>
      <c r="AW387" t="str">
        <f t="shared" ref="AW387:AW450" si="40">IF(AV387="n/a","n/a",IF(AV387&gt;=10,1,0))</f>
        <v>n/a</v>
      </c>
      <c r="AY387" t="e">
        <f t="shared" ref="AY387:AY450" si="41">IF(
  ISBLANK(AX387),
  NA(),
  IF(AX387&gt;0, 1, 0)
)</f>
        <v>#N/A</v>
      </c>
      <c r="AZ387" t="e">
        <v>#N/A</v>
      </c>
      <c r="BA387">
        <v>2</v>
      </c>
      <c r="BB387">
        <v>2018</v>
      </c>
      <c r="BC387">
        <v>3</v>
      </c>
      <c r="BD387">
        <v>2018</v>
      </c>
      <c r="BE387">
        <v>3</v>
      </c>
      <c r="BF387">
        <v>2018</v>
      </c>
    </row>
    <row r="388" spans="1:58" x14ac:dyDescent="0.2">
      <c r="A388" s="7">
        <v>12</v>
      </c>
      <c r="B388" s="7">
        <v>36</v>
      </c>
      <c r="C388" s="7">
        <v>3</v>
      </c>
      <c r="D388" s="7">
        <v>5</v>
      </c>
      <c r="E388" s="7">
        <f t="shared" si="36"/>
        <v>56</v>
      </c>
      <c r="F388" s="11" t="s">
        <v>39</v>
      </c>
      <c r="G388">
        <v>12</v>
      </c>
      <c r="H388">
        <v>36</v>
      </c>
      <c r="I388">
        <v>4</v>
      </c>
      <c r="J388">
        <v>5</v>
      </c>
      <c r="K388">
        <f t="shared" si="37"/>
        <v>57</v>
      </c>
      <c r="L388" t="s">
        <v>36</v>
      </c>
      <c r="M388">
        <v>22623.44826633</v>
      </c>
      <c r="N388" s="7">
        <v>12</v>
      </c>
      <c r="O388" s="7">
        <v>36</v>
      </c>
      <c r="P388" s="7">
        <v>4</v>
      </c>
      <c r="Q388" s="7">
        <v>5</v>
      </c>
      <c r="R388" s="7">
        <f t="shared" si="38"/>
        <v>57</v>
      </c>
      <c r="S388" t="s">
        <v>36</v>
      </c>
      <c r="T388" s="7">
        <v>20</v>
      </c>
      <c r="U388" s="7">
        <v>40</v>
      </c>
      <c r="V388" s="7">
        <v>9</v>
      </c>
      <c r="W388" s="7">
        <v>9</v>
      </c>
      <c r="X388" s="7">
        <f t="shared" si="39"/>
        <v>78</v>
      </c>
      <c r="Y388" t="s">
        <v>39</v>
      </c>
      <c r="Z388">
        <v>68034.802652719998</v>
      </c>
      <c r="AA388" t="s">
        <v>785</v>
      </c>
      <c r="AB388" t="e">
        <v>#N/A</v>
      </c>
      <c r="AF388">
        <v>138</v>
      </c>
      <c r="AG388" s="8">
        <v>108</v>
      </c>
      <c r="AH388">
        <v>21</v>
      </c>
      <c r="AI388">
        <v>22</v>
      </c>
      <c r="AJ388">
        <v>1</v>
      </c>
      <c r="AK388">
        <v>0.19444444444444445</v>
      </c>
      <c r="AL388">
        <v>2.0207259421636903</v>
      </c>
      <c r="AM388">
        <v>0</v>
      </c>
      <c r="AN388">
        <v>0</v>
      </c>
      <c r="AO388">
        <v>0.36842105263157893</v>
      </c>
      <c r="AP388">
        <v>0.375</v>
      </c>
      <c r="AQ388">
        <v>8.9285714285714288E-2</v>
      </c>
      <c r="AR388">
        <v>0.21428571428571427</v>
      </c>
      <c r="AS388">
        <v>0.6428571428571429</v>
      </c>
      <c r="AT388">
        <v>5.3571428571428568E-2</v>
      </c>
      <c r="AU388">
        <v>90658.250919049999</v>
      </c>
      <c r="AV388" t="s">
        <v>489</v>
      </c>
      <c r="AW388" t="str">
        <f t="shared" si="40"/>
        <v>n/a</v>
      </c>
      <c r="AY388" t="e">
        <f t="shared" si="41"/>
        <v>#N/A</v>
      </c>
      <c r="AZ388" t="e">
        <v>#N/A</v>
      </c>
      <c r="BA388">
        <v>2</v>
      </c>
      <c r="BB388">
        <v>2018</v>
      </c>
      <c r="BC388">
        <v>7</v>
      </c>
      <c r="BD388">
        <v>2018</v>
      </c>
      <c r="BE388">
        <v>3</v>
      </c>
      <c r="BF388">
        <v>2018</v>
      </c>
    </row>
    <row r="389" spans="1:58" x14ac:dyDescent="0.2">
      <c r="A389" s="7">
        <v>7</v>
      </c>
      <c r="B389" s="7">
        <v>15</v>
      </c>
      <c r="C389" s="7">
        <v>0</v>
      </c>
      <c r="D389" s="7">
        <v>2</v>
      </c>
      <c r="E389" s="7">
        <f t="shared" si="36"/>
        <v>24</v>
      </c>
      <c r="F389" s="11" t="s">
        <v>36</v>
      </c>
      <c r="G389">
        <v>7</v>
      </c>
      <c r="H389">
        <v>18</v>
      </c>
      <c r="I389">
        <v>0</v>
      </c>
      <c r="J389">
        <v>2</v>
      </c>
      <c r="K389">
        <f t="shared" si="37"/>
        <v>27</v>
      </c>
      <c r="L389" t="s">
        <v>36</v>
      </c>
      <c r="M389">
        <v>32297.356809640001</v>
      </c>
      <c r="N389" s="7">
        <v>20</v>
      </c>
      <c r="O389" s="7">
        <v>31</v>
      </c>
      <c r="P389" s="7">
        <v>9</v>
      </c>
      <c r="Q389" s="7">
        <v>8</v>
      </c>
      <c r="R389" s="7">
        <f t="shared" si="38"/>
        <v>68</v>
      </c>
      <c r="S389" t="s">
        <v>36</v>
      </c>
      <c r="T389" s="7">
        <v>7</v>
      </c>
      <c r="U389" s="7">
        <v>18</v>
      </c>
      <c r="V389" s="7">
        <v>0</v>
      </c>
      <c r="W389" s="7">
        <v>2</v>
      </c>
      <c r="X389" s="7">
        <f t="shared" si="39"/>
        <v>27</v>
      </c>
      <c r="Y389" t="s">
        <v>36</v>
      </c>
      <c r="Z389">
        <v>81592.697834149993</v>
      </c>
      <c r="AA389" t="s">
        <v>786</v>
      </c>
      <c r="AB389" t="e">
        <v>#N/A</v>
      </c>
      <c r="AF389">
        <v>137</v>
      </c>
      <c r="AG389" s="8">
        <v>65</v>
      </c>
      <c r="AH389">
        <v>-41</v>
      </c>
      <c r="AI389">
        <v>3</v>
      </c>
      <c r="AJ389">
        <v>3</v>
      </c>
      <c r="AK389">
        <v>-0.63076923076923075</v>
      </c>
      <c r="AL389">
        <v>-5.0854241181575475</v>
      </c>
      <c r="AM389">
        <v>41</v>
      </c>
      <c r="AN389">
        <v>0</v>
      </c>
      <c r="AO389">
        <v>-0.6029411764705882</v>
      </c>
      <c r="AP389">
        <v>-1.7083333333333333</v>
      </c>
      <c r="AQ389">
        <v>8.3333333333333329E-2</v>
      </c>
      <c r="AR389">
        <v>0.29166666666666669</v>
      </c>
      <c r="AS389">
        <v>0.625</v>
      </c>
      <c r="AT389">
        <v>0</v>
      </c>
      <c r="AU389">
        <v>113890.05464378999</v>
      </c>
      <c r="AV389" t="s">
        <v>489</v>
      </c>
      <c r="AW389" t="str">
        <f t="shared" si="40"/>
        <v>n/a</v>
      </c>
      <c r="AY389" t="e">
        <f t="shared" si="41"/>
        <v>#N/A</v>
      </c>
      <c r="AZ389" t="e">
        <v>#N/A</v>
      </c>
      <c r="BA389">
        <v>2</v>
      </c>
      <c r="BB389">
        <v>2018</v>
      </c>
      <c r="BC389">
        <v>7</v>
      </c>
      <c r="BD389">
        <v>2018</v>
      </c>
      <c r="BE389">
        <v>1</v>
      </c>
      <c r="BF389">
        <v>2018</v>
      </c>
    </row>
    <row r="390" spans="1:58" x14ac:dyDescent="0.2">
      <c r="A390" s="7">
        <v>0</v>
      </c>
      <c r="B390" s="7">
        <v>0</v>
      </c>
      <c r="C390" s="7">
        <v>0</v>
      </c>
      <c r="D390" s="7">
        <v>0</v>
      </c>
      <c r="E390" s="7">
        <f t="shared" si="36"/>
        <v>0</v>
      </c>
      <c r="F390" s="11" t="e">
        <v>#N/A</v>
      </c>
      <c r="G390">
        <v>0</v>
      </c>
      <c r="H390">
        <v>0</v>
      </c>
      <c r="I390">
        <v>0</v>
      </c>
      <c r="J390">
        <v>0</v>
      </c>
      <c r="K390">
        <f t="shared" si="37"/>
        <v>0</v>
      </c>
      <c r="L390" t="e">
        <v>#N/A</v>
      </c>
      <c r="N390" s="7">
        <v>5</v>
      </c>
      <c r="O390" s="7">
        <v>35</v>
      </c>
      <c r="P390" s="7">
        <v>4</v>
      </c>
      <c r="Q390" s="7">
        <v>5</v>
      </c>
      <c r="R390" s="7">
        <f t="shared" si="38"/>
        <v>49</v>
      </c>
      <c r="S390" t="s">
        <v>36</v>
      </c>
      <c r="T390" s="7">
        <v>5</v>
      </c>
      <c r="U390" s="7">
        <v>35</v>
      </c>
      <c r="V390" s="7">
        <v>4</v>
      </c>
      <c r="W390" s="7">
        <v>5</v>
      </c>
      <c r="X390" s="7">
        <f t="shared" si="39"/>
        <v>49</v>
      </c>
      <c r="Y390" t="s">
        <v>36</v>
      </c>
      <c r="Z390">
        <v>284130.57507192012</v>
      </c>
      <c r="AA390" t="s">
        <v>787</v>
      </c>
      <c r="AB390">
        <v>50</v>
      </c>
      <c r="AC390">
        <v>0</v>
      </c>
      <c r="AD390" t="s">
        <v>244</v>
      </c>
      <c r="AE390" t="s">
        <v>41</v>
      </c>
      <c r="AF390" t="e">
        <v>#N/A</v>
      </c>
      <c r="AG390" s="8">
        <v>0</v>
      </c>
      <c r="AH390">
        <v>0</v>
      </c>
      <c r="AI390">
        <v>49</v>
      </c>
      <c r="AJ390">
        <v>0</v>
      </c>
      <c r="AK390" t="e">
        <v>#N/A</v>
      </c>
      <c r="AL390" t="e">
        <v>#N/A</v>
      </c>
      <c r="AM390">
        <v>49</v>
      </c>
      <c r="AN390">
        <v>0</v>
      </c>
      <c r="AO390">
        <v>0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>
        <v>284130.57507192012</v>
      </c>
      <c r="AV390">
        <v>15</v>
      </c>
      <c r="AW390">
        <f t="shared" si="40"/>
        <v>1</v>
      </c>
      <c r="AX390">
        <v>0</v>
      </c>
      <c r="AY390">
        <f t="shared" si="41"/>
        <v>0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>
        <v>7</v>
      </c>
      <c r="BF390">
        <v>2019</v>
      </c>
    </row>
    <row r="391" spans="1:58" x14ac:dyDescent="0.2">
      <c r="A391" s="7">
        <v>20</v>
      </c>
      <c r="B391" s="7">
        <v>40</v>
      </c>
      <c r="C391" s="7">
        <v>9</v>
      </c>
      <c r="D391" s="7">
        <v>30</v>
      </c>
      <c r="E391" s="7">
        <f t="shared" si="36"/>
        <v>99</v>
      </c>
      <c r="F391" s="11" t="s">
        <v>36</v>
      </c>
      <c r="G391">
        <v>20</v>
      </c>
      <c r="H391">
        <v>40</v>
      </c>
      <c r="I391">
        <v>10</v>
      </c>
      <c r="J391">
        <v>30</v>
      </c>
      <c r="K391">
        <f t="shared" si="37"/>
        <v>100</v>
      </c>
      <c r="L391" t="s">
        <v>36</v>
      </c>
      <c r="M391">
        <v>10645.292429290001</v>
      </c>
      <c r="N391" s="7">
        <v>20</v>
      </c>
      <c r="O391" s="7">
        <v>40</v>
      </c>
      <c r="P391" s="7">
        <v>10</v>
      </c>
      <c r="Q391" s="7">
        <v>30</v>
      </c>
      <c r="R391" s="7">
        <f t="shared" si="38"/>
        <v>100</v>
      </c>
      <c r="S391" t="s">
        <v>36</v>
      </c>
      <c r="T391" s="7">
        <v>20</v>
      </c>
      <c r="U391" s="7">
        <v>36</v>
      </c>
      <c r="V391" s="7">
        <v>9</v>
      </c>
      <c r="W391" s="7">
        <v>26</v>
      </c>
      <c r="X391" s="7">
        <f t="shared" si="39"/>
        <v>91</v>
      </c>
      <c r="Y391" t="s">
        <v>36</v>
      </c>
      <c r="Z391">
        <v>24434.930073880001</v>
      </c>
      <c r="AA391" t="s">
        <v>788</v>
      </c>
      <c r="AB391" t="e">
        <v>#N/A</v>
      </c>
      <c r="AF391">
        <v>70</v>
      </c>
      <c r="AG391" s="8">
        <v>41</v>
      </c>
      <c r="AH391">
        <v>-9</v>
      </c>
      <c r="AI391">
        <v>-8</v>
      </c>
      <c r="AJ391">
        <v>1</v>
      </c>
      <c r="AK391">
        <v>-0.21951219512195122</v>
      </c>
      <c r="AL391">
        <v>-1.4055638569974547</v>
      </c>
      <c r="AM391">
        <v>0</v>
      </c>
      <c r="AN391">
        <v>0</v>
      </c>
      <c r="AO391">
        <v>-0.09</v>
      </c>
      <c r="AP391">
        <v>-9.0909090909090912E-2</v>
      </c>
      <c r="AQ391">
        <v>0.30303030303030304</v>
      </c>
      <c r="AR391">
        <v>0.20202020202020202</v>
      </c>
      <c r="AS391">
        <v>0.40404040404040403</v>
      </c>
      <c r="AT391">
        <v>9.0909090909090912E-2</v>
      </c>
      <c r="AU391">
        <v>35080.22250317</v>
      </c>
      <c r="AV391" t="s">
        <v>489</v>
      </c>
      <c r="AW391" t="str">
        <f t="shared" si="40"/>
        <v>n/a</v>
      </c>
      <c r="AY391" t="e">
        <f t="shared" si="41"/>
        <v>#N/A</v>
      </c>
      <c r="AZ391" t="e">
        <v>#N/A</v>
      </c>
      <c r="BA391">
        <v>1</v>
      </c>
      <c r="BB391">
        <v>2018</v>
      </c>
      <c r="BC391">
        <v>3</v>
      </c>
      <c r="BD391">
        <v>2018</v>
      </c>
      <c r="BE391">
        <v>4</v>
      </c>
      <c r="BF391">
        <v>2018</v>
      </c>
    </row>
    <row r="392" spans="1:58" x14ac:dyDescent="0.2">
      <c r="A392" s="7">
        <v>13</v>
      </c>
      <c r="B392" s="7">
        <v>10</v>
      </c>
      <c r="C392" s="7">
        <v>1</v>
      </c>
      <c r="D392" s="7">
        <v>0</v>
      </c>
      <c r="E392" s="7">
        <f t="shared" si="36"/>
        <v>24</v>
      </c>
      <c r="F392" s="11" t="s">
        <v>36</v>
      </c>
      <c r="G392">
        <v>13</v>
      </c>
      <c r="H392">
        <v>10</v>
      </c>
      <c r="I392">
        <v>1</v>
      </c>
      <c r="J392">
        <v>0</v>
      </c>
      <c r="K392">
        <f t="shared" si="37"/>
        <v>24</v>
      </c>
      <c r="L392" t="s">
        <v>36</v>
      </c>
      <c r="M392">
        <v>15681.99187321</v>
      </c>
      <c r="N392" s="7">
        <v>13</v>
      </c>
      <c r="O392" s="7">
        <v>10</v>
      </c>
      <c r="P392" s="7">
        <v>1</v>
      </c>
      <c r="Q392" s="7">
        <v>0</v>
      </c>
      <c r="R392" s="7">
        <f t="shared" si="38"/>
        <v>24</v>
      </c>
      <c r="S392" t="s">
        <v>36</v>
      </c>
      <c r="T392" s="7">
        <v>19</v>
      </c>
      <c r="U392" s="7">
        <v>33</v>
      </c>
      <c r="V392" s="7">
        <v>9</v>
      </c>
      <c r="W392" s="7">
        <v>8</v>
      </c>
      <c r="X392" s="7">
        <f t="shared" si="39"/>
        <v>69</v>
      </c>
      <c r="Y392" t="s">
        <v>36</v>
      </c>
      <c r="Z392">
        <v>82583.095919739993</v>
      </c>
      <c r="AA392" t="s">
        <v>789</v>
      </c>
      <c r="AB392" t="e">
        <v>#N/A</v>
      </c>
      <c r="AF392">
        <v>104</v>
      </c>
      <c r="AG392" s="8">
        <v>155</v>
      </c>
      <c r="AH392">
        <v>45</v>
      </c>
      <c r="AI392">
        <v>45</v>
      </c>
      <c r="AJ392">
        <v>0</v>
      </c>
      <c r="AK392">
        <v>0.29032258064516131</v>
      </c>
      <c r="AL392">
        <v>3.6144869800612449</v>
      </c>
      <c r="AM392">
        <v>0</v>
      </c>
      <c r="AN392">
        <v>0</v>
      </c>
      <c r="AO392">
        <v>1.875</v>
      </c>
      <c r="AP392">
        <v>1.875</v>
      </c>
      <c r="AQ392">
        <v>0</v>
      </c>
      <c r="AR392">
        <v>0.54166666666666663</v>
      </c>
      <c r="AS392">
        <v>0.41666666666666669</v>
      </c>
      <c r="AT392">
        <v>4.1666666666666664E-2</v>
      </c>
      <c r="AU392">
        <v>98265.087792949998</v>
      </c>
      <c r="AV392" t="s">
        <v>489</v>
      </c>
      <c r="AW392" t="str">
        <f t="shared" si="40"/>
        <v>n/a</v>
      </c>
      <c r="AY392" t="e">
        <f t="shared" si="41"/>
        <v>#N/A</v>
      </c>
      <c r="AZ392" t="e">
        <v>#N/A</v>
      </c>
      <c r="BA392">
        <v>3</v>
      </c>
      <c r="BB392">
        <v>2018</v>
      </c>
      <c r="BC392">
        <v>7</v>
      </c>
      <c r="BD392">
        <v>2018</v>
      </c>
      <c r="BE392">
        <v>3</v>
      </c>
      <c r="BF392">
        <v>2018</v>
      </c>
    </row>
    <row r="393" spans="1:58" x14ac:dyDescent="0.2">
      <c r="A393" s="7">
        <v>8</v>
      </c>
      <c r="B393" s="7">
        <v>13</v>
      </c>
      <c r="C393" s="7">
        <v>0</v>
      </c>
      <c r="D393" s="7">
        <v>1</v>
      </c>
      <c r="E393" s="7">
        <f t="shared" si="36"/>
        <v>22</v>
      </c>
      <c r="F393" s="11" t="s">
        <v>58</v>
      </c>
      <c r="G393">
        <v>8</v>
      </c>
      <c r="H393">
        <v>13</v>
      </c>
      <c r="I393">
        <v>0</v>
      </c>
      <c r="J393">
        <v>1</v>
      </c>
      <c r="K393">
        <f t="shared" si="37"/>
        <v>22</v>
      </c>
      <c r="L393" t="s">
        <v>58</v>
      </c>
      <c r="M393">
        <v>75597.830727819994</v>
      </c>
      <c r="N393" s="7">
        <v>8</v>
      </c>
      <c r="O393" s="7">
        <v>13</v>
      </c>
      <c r="P393" s="7">
        <v>0</v>
      </c>
      <c r="Q393" s="7">
        <v>1</v>
      </c>
      <c r="R393" s="7">
        <f t="shared" si="38"/>
        <v>22</v>
      </c>
      <c r="S393" t="s">
        <v>58</v>
      </c>
      <c r="T393" s="7">
        <v>20</v>
      </c>
      <c r="U393" s="7">
        <v>40</v>
      </c>
      <c r="V393" s="7">
        <v>9</v>
      </c>
      <c r="W393" s="7">
        <v>7</v>
      </c>
      <c r="X393" s="7">
        <f t="shared" si="39"/>
        <v>76</v>
      </c>
      <c r="Y393" t="s">
        <v>42</v>
      </c>
      <c r="Z393">
        <v>94775.718649749993</v>
      </c>
      <c r="AA393" t="s">
        <v>790</v>
      </c>
      <c r="AB393" t="e">
        <v>#N/A</v>
      </c>
      <c r="AF393">
        <v>71</v>
      </c>
      <c r="AG393" s="8">
        <v>175</v>
      </c>
      <c r="AH393">
        <v>54</v>
      </c>
      <c r="AI393">
        <v>54</v>
      </c>
      <c r="AJ393">
        <v>0</v>
      </c>
      <c r="AK393">
        <v>0.30857142857142855</v>
      </c>
      <c r="AL393">
        <v>4.0820163084996546</v>
      </c>
      <c r="AM393">
        <v>0</v>
      </c>
      <c r="AN393">
        <v>0</v>
      </c>
      <c r="AO393">
        <v>2.4545454545454546</v>
      </c>
      <c r="AP393">
        <v>2.4545454545454546</v>
      </c>
      <c r="AQ393">
        <v>4.5454545454545456E-2</v>
      </c>
      <c r="AR393">
        <v>0.36363636363636365</v>
      </c>
      <c r="AS393">
        <v>0.59090909090909094</v>
      </c>
      <c r="AT393">
        <v>0</v>
      </c>
      <c r="AU393">
        <v>170373.54937756999</v>
      </c>
      <c r="AV393" t="s">
        <v>489</v>
      </c>
      <c r="AW393" t="str">
        <f t="shared" si="40"/>
        <v>n/a</v>
      </c>
      <c r="AY393" t="e">
        <f t="shared" si="41"/>
        <v>#N/A</v>
      </c>
      <c r="AZ393" t="e">
        <v>#N/A</v>
      </c>
      <c r="BA393">
        <v>1</v>
      </c>
      <c r="BB393">
        <v>2018</v>
      </c>
      <c r="BC393">
        <v>3</v>
      </c>
      <c r="BD393">
        <v>2018</v>
      </c>
      <c r="BE393">
        <v>3</v>
      </c>
      <c r="BF393">
        <v>2018</v>
      </c>
    </row>
    <row r="394" spans="1:58" x14ac:dyDescent="0.2">
      <c r="A394" s="7">
        <v>7</v>
      </c>
      <c r="B394" s="7">
        <v>16</v>
      </c>
      <c r="C394" s="7">
        <v>4</v>
      </c>
      <c r="D394" s="7">
        <v>0</v>
      </c>
      <c r="E394" s="7">
        <f t="shared" si="36"/>
        <v>27</v>
      </c>
      <c r="F394" s="11" t="s">
        <v>42</v>
      </c>
      <c r="G394">
        <v>7</v>
      </c>
      <c r="H394">
        <v>16</v>
      </c>
      <c r="I394">
        <v>4</v>
      </c>
      <c r="J394">
        <v>0</v>
      </c>
      <c r="K394">
        <f t="shared" si="37"/>
        <v>27</v>
      </c>
      <c r="L394" t="s">
        <v>42</v>
      </c>
      <c r="M394">
        <v>13738.848527390001</v>
      </c>
      <c r="N394" s="7">
        <v>17</v>
      </c>
      <c r="O394" s="7">
        <v>16</v>
      </c>
      <c r="P394" s="7">
        <v>10</v>
      </c>
      <c r="Q394" s="7">
        <v>7</v>
      </c>
      <c r="R394" s="7">
        <f t="shared" si="38"/>
        <v>50</v>
      </c>
      <c r="S394" t="s">
        <v>42</v>
      </c>
      <c r="T394" s="7">
        <v>6</v>
      </c>
      <c r="U394" s="7">
        <v>16</v>
      </c>
      <c r="V394" s="7">
        <v>6</v>
      </c>
      <c r="W394" s="7">
        <v>4</v>
      </c>
      <c r="X394" s="7">
        <f t="shared" si="39"/>
        <v>32</v>
      </c>
      <c r="Y394" t="s">
        <v>42</v>
      </c>
      <c r="Z394">
        <v>30847.975511069999</v>
      </c>
      <c r="AA394" t="s">
        <v>791</v>
      </c>
      <c r="AB394">
        <v>56</v>
      </c>
      <c r="AC394">
        <v>23</v>
      </c>
      <c r="AD394" t="s">
        <v>168</v>
      </c>
      <c r="AE394" t="s">
        <v>41</v>
      </c>
      <c r="AF394" t="e">
        <v>#N/A</v>
      </c>
      <c r="AG394" s="8">
        <v>150</v>
      </c>
      <c r="AH394">
        <v>-18</v>
      </c>
      <c r="AI394">
        <v>5</v>
      </c>
      <c r="AJ394">
        <v>0</v>
      </c>
      <c r="AK394">
        <v>-0.12</v>
      </c>
      <c r="AL394">
        <v>-1.4696938456699069</v>
      </c>
      <c r="AM394">
        <v>23</v>
      </c>
      <c r="AN394">
        <v>0</v>
      </c>
      <c r="AO394">
        <v>-0.36</v>
      </c>
      <c r="AP394">
        <v>-0.66666666666666663</v>
      </c>
      <c r="AQ394">
        <v>0</v>
      </c>
      <c r="AR394">
        <v>0.25925925925925924</v>
      </c>
      <c r="AS394">
        <v>0.59259259259259256</v>
      </c>
      <c r="AT394">
        <v>0.14814814814814814</v>
      </c>
      <c r="AU394">
        <v>44586.824038459999</v>
      </c>
      <c r="AV394">
        <v>6</v>
      </c>
      <c r="AW394">
        <f t="shared" si="40"/>
        <v>0</v>
      </c>
      <c r="AX394">
        <v>23</v>
      </c>
      <c r="AY394">
        <f t="shared" si="41"/>
        <v>1</v>
      </c>
      <c r="AZ394" t="e">
        <v>#N/A</v>
      </c>
      <c r="BA394">
        <v>1</v>
      </c>
      <c r="BB394">
        <v>2019</v>
      </c>
      <c r="BC394">
        <v>1</v>
      </c>
      <c r="BD394">
        <v>2019</v>
      </c>
      <c r="BE394">
        <v>1</v>
      </c>
      <c r="BF394">
        <v>2019</v>
      </c>
    </row>
    <row r="395" spans="1:58" x14ac:dyDescent="0.2">
      <c r="A395" s="7">
        <v>20</v>
      </c>
      <c r="B395" s="7">
        <v>40</v>
      </c>
      <c r="C395" s="7">
        <v>9</v>
      </c>
      <c r="D395" s="7">
        <v>6</v>
      </c>
      <c r="E395" s="7">
        <f t="shared" si="36"/>
        <v>75</v>
      </c>
      <c r="F395" s="11" t="e">
        <v>#N/A</v>
      </c>
      <c r="G395">
        <v>20</v>
      </c>
      <c r="H395">
        <v>40</v>
      </c>
      <c r="I395">
        <v>7</v>
      </c>
      <c r="J395">
        <v>4</v>
      </c>
      <c r="K395">
        <f t="shared" si="37"/>
        <v>71</v>
      </c>
      <c r="L395" t="e">
        <v>#N/A</v>
      </c>
      <c r="M395">
        <v>22734.4382238</v>
      </c>
      <c r="N395" s="7">
        <v>20</v>
      </c>
      <c r="O395" s="7">
        <v>40</v>
      </c>
      <c r="P395" s="7">
        <v>9</v>
      </c>
      <c r="Q395" s="7">
        <v>6</v>
      </c>
      <c r="R395" s="7">
        <f t="shared" si="38"/>
        <v>75</v>
      </c>
      <c r="S395" t="e">
        <v>#N/A</v>
      </c>
      <c r="T395" s="7">
        <v>20</v>
      </c>
      <c r="U395" s="7">
        <v>40</v>
      </c>
      <c r="V395" s="7">
        <v>9</v>
      </c>
      <c r="W395" s="7">
        <v>6</v>
      </c>
      <c r="X395" s="7">
        <f t="shared" si="39"/>
        <v>75</v>
      </c>
      <c r="Y395" t="e">
        <v>#N/A</v>
      </c>
      <c r="Z395">
        <v>3043.1296539999998</v>
      </c>
      <c r="AA395" t="s">
        <v>245</v>
      </c>
      <c r="AB395">
        <v>57</v>
      </c>
      <c r="AC395">
        <v>0</v>
      </c>
      <c r="AD395" t="s">
        <v>57</v>
      </c>
      <c r="AE395" t="s">
        <v>41</v>
      </c>
      <c r="AF395">
        <v>261</v>
      </c>
      <c r="AG395" s="8">
        <v>0</v>
      </c>
      <c r="AH395">
        <v>0</v>
      </c>
      <c r="AI395">
        <v>0</v>
      </c>
      <c r="AJ395">
        <v>-4</v>
      </c>
      <c r="AK395" t="e">
        <v>#N/A</v>
      </c>
      <c r="AL395" t="e">
        <v>#N/A</v>
      </c>
      <c r="AM395">
        <v>4</v>
      </c>
      <c r="AN395">
        <v>0</v>
      </c>
      <c r="AO395">
        <v>0</v>
      </c>
      <c r="AP395">
        <v>0</v>
      </c>
      <c r="AQ395">
        <v>0.08</v>
      </c>
      <c r="AR395">
        <v>0.26666666666666666</v>
      </c>
      <c r="AS395">
        <v>0.53333333333333333</v>
      </c>
      <c r="AT395">
        <v>0.12</v>
      </c>
      <c r="AU395">
        <v>25777.5678778</v>
      </c>
      <c r="AV395">
        <v>10</v>
      </c>
      <c r="AW395">
        <f t="shared" si="40"/>
        <v>1</v>
      </c>
      <c r="AX395">
        <v>0</v>
      </c>
      <c r="AY395">
        <f t="shared" si="41"/>
        <v>0</v>
      </c>
      <c r="AZ395">
        <v>0</v>
      </c>
      <c r="BA395">
        <v>1</v>
      </c>
      <c r="BB395">
        <v>2020</v>
      </c>
      <c r="BC395">
        <v>9</v>
      </c>
      <c r="BD395">
        <v>2020</v>
      </c>
      <c r="BE395">
        <v>6</v>
      </c>
      <c r="BF395">
        <v>2020</v>
      </c>
    </row>
    <row r="396" spans="1:58" x14ac:dyDescent="0.2">
      <c r="A396" s="7">
        <v>0</v>
      </c>
      <c r="B396" s="7">
        <v>0</v>
      </c>
      <c r="C396" s="7">
        <v>0</v>
      </c>
      <c r="D396" s="7">
        <v>0</v>
      </c>
      <c r="E396" s="7">
        <f t="shared" si="36"/>
        <v>0</v>
      </c>
      <c r="F396" s="11" t="e">
        <v>#N/A</v>
      </c>
      <c r="G396">
        <v>0</v>
      </c>
      <c r="H396">
        <v>0</v>
      </c>
      <c r="I396">
        <v>0</v>
      </c>
      <c r="J396">
        <v>0</v>
      </c>
      <c r="K396">
        <f t="shared" si="37"/>
        <v>0</v>
      </c>
      <c r="L396" t="e">
        <v>#N/A</v>
      </c>
      <c r="N396" s="7">
        <v>0</v>
      </c>
      <c r="O396" s="7">
        <v>0</v>
      </c>
      <c r="P396" s="7">
        <v>0</v>
      </c>
      <c r="Q396" s="7">
        <v>0</v>
      </c>
      <c r="R396" s="7">
        <f t="shared" si="38"/>
        <v>0</v>
      </c>
      <c r="S396" t="s">
        <v>47</v>
      </c>
      <c r="T396" s="7">
        <v>4</v>
      </c>
      <c r="U396" s="7">
        <v>15</v>
      </c>
      <c r="V396" s="7">
        <v>0</v>
      </c>
      <c r="W396" s="7">
        <v>0</v>
      </c>
      <c r="X396" s="7">
        <f t="shared" si="39"/>
        <v>19</v>
      </c>
      <c r="Y396" t="e">
        <v>#N/A</v>
      </c>
      <c r="Z396">
        <v>20112.2668844</v>
      </c>
      <c r="AA396" t="s">
        <v>792</v>
      </c>
      <c r="AB396" t="e">
        <v>#N/A</v>
      </c>
      <c r="AF396" t="e">
        <v>#N/A</v>
      </c>
      <c r="AG396" s="8">
        <v>46</v>
      </c>
      <c r="AH396">
        <v>19</v>
      </c>
      <c r="AI396">
        <v>19</v>
      </c>
      <c r="AJ396">
        <v>0</v>
      </c>
      <c r="AK396">
        <v>0.41304347826086957</v>
      </c>
      <c r="AL396">
        <v>2.8013971669430457</v>
      </c>
      <c r="AM396">
        <v>0</v>
      </c>
      <c r="AN396">
        <v>0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>
        <v>20112.2668844</v>
      </c>
      <c r="AV396" t="s">
        <v>489</v>
      </c>
      <c r="AW396" t="str">
        <f t="shared" si="40"/>
        <v>n/a</v>
      </c>
      <c r="AY396" t="e">
        <f t="shared" si="41"/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>
        <v>3</v>
      </c>
      <c r="BF396">
        <v>2018</v>
      </c>
    </row>
    <row r="397" spans="1:58" x14ac:dyDescent="0.2">
      <c r="A397" s="7">
        <v>18</v>
      </c>
      <c r="B397" s="7">
        <v>30</v>
      </c>
      <c r="C397" s="7">
        <v>9</v>
      </c>
      <c r="D397" s="7">
        <v>8</v>
      </c>
      <c r="E397" s="7">
        <f t="shared" si="36"/>
        <v>65</v>
      </c>
      <c r="F397" s="11" t="s">
        <v>36</v>
      </c>
      <c r="G397">
        <v>18</v>
      </c>
      <c r="H397">
        <v>30</v>
      </c>
      <c r="I397">
        <v>9</v>
      </c>
      <c r="J397">
        <v>8</v>
      </c>
      <c r="K397">
        <f t="shared" si="37"/>
        <v>65</v>
      </c>
      <c r="L397" t="s">
        <v>36</v>
      </c>
      <c r="M397">
        <v>9487.1102200000005</v>
      </c>
      <c r="N397" s="7">
        <v>17</v>
      </c>
      <c r="O397" s="7">
        <v>27</v>
      </c>
      <c r="P397" s="7">
        <v>8</v>
      </c>
      <c r="Q397" s="7">
        <v>7</v>
      </c>
      <c r="R397" s="7">
        <f t="shared" si="38"/>
        <v>59</v>
      </c>
      <c r="S397" t="s">
        <v>36</v>
      </c>
      <c r="T397" s="7">
        <v>18</v>
      </c>
      <c r="U397" s="7">
        <v>35</v>
      </c>
      <c r="V397" s="7">
        <v>8</v>
      </c>
      <c r="W397" s="7">
        <v>7</v>
      </c>
      <c r="X397" s="7">
        <f t="shared" si="39"/>
        <v>68</v>
      </c>
      <c r="Y397" t="s">
        <v>36</v>
      </c>
      <c r="Z397">
        <v>8057.1800400000002</v>
      </c>
      <c r="AA397" t="s">
        <v>793</v>
      </c>
      <c r="AB397" t="e">
        <v>#N/A</v>
      </c>
      <c r="AF397" t="e">
        <v>#N/A</v>
      </c>
      <c r="AG397" s="8">
        <v>334</v>
      </c>
      <c r="AH397">
        <v>9</v>
      </c>
      <c r="AI397">
        <v>3</v>
      </c>
      <c r="AJ397">
        <v>0</v>
      </c>
      <c r="AK397">
        <v>2.6946107784431138E-2</v>
      </c>
      <c r="AL397">
        <v>0.49245808964812449</v>
      </c>
      <c r="AM397">
        <v>-6</v>
      </c>
      <c r="AN397">
        <v>1</v>
      </c>
      <c r="AO397">
        <v>0.15254237288135594</v>
      </c>
      <c r="AP397">
        <v>0.13846153846153847</v>
      </c>
      <c r="AQ397">
        <v>0.12307692307692308</v>
      </c>
      <c r="AR397">
        <v>0.27692307692307694</v>
      </c>
      <c r="AS397">
        <v>0.46153846153846156</v>
      </c>
      <c r="AT397">
        <v>0.13846153846153847</v>
      </c>
      <c r="AU397">
        <v>17544.290260000002</v>
      </c>
      <c r="AV397" t="s">
        <v>489</v>
      </c>
      <c r="AW397" t="str">
        <f t="shared" si="40"/>
        <v>n/a</v>
      </c>
      <c r="AY397" t="e">
        <f t="shared" si="41"/>
        <v>#N/A</v>
      </c>
      <c r="AZ397" t="e">
        <v>#N/A</v>
      </c>
      <c r="BA397">
        <v>5</v>
      </c>
      <c r="BB397">
        <v>2018</v>
      </c>
      <c r="BC397">
        <v>5</v>
      </c>
      <c r="BD397">
        <v>2018</v>
      </c>
      <c r="BE397">
        <v>1</v>
      </c>
      <c r="BF397">
        <v>2018</v>
      </c>
    </row>
    <row r="398" spans="1:58" x14ac:dyDescent="0.2">
      <c r="A398" s="7">
        <v>16</v>
      </c>
      <c r="B398" s="7">
        <v>35</v>
      </c>
      <c r="C398" s="7">
        <v>8</v>
      </c>
      <c r="D398" s="7">
        <v>7</v>
      </c>
      <c r="E398" s="7">
        <f t="shared" si="36"/>
        <v>66</v>
      </c>
      <c r="F398" s="11" t="s">
        <v>36</v>
      </c>
      <c r="G398">
        <v>12</v>
      </c>
      <c r="H398">
        <v>24</v>
      </c>
      <c r="I398">
        <v>8</v>
      </c>
      <c r="J398">
        <v>6</v>
      </c>
      <c r="K398">
        <f t="shared" si="37"/>
        <v>50</v>
      </c>
      <c r="L398" t="s">
        <v>36</v>
      </c>
      <c r="M398">
        <v>12231.73272677</v>
      </c>
      <c r="N398" s="7">
        <v>19</v>
      </c>
      <c r="O398" s="7">
        <v>38</v>
      </c>
      <c r="P398" s="7">
        <v>9</v>
      </c>
      <c r="Q398" s="7">
        <v>30</v>
      </c>
      <c r="R398" s="7">
        <f t="shared" si="38"/>
        <v>96</v>
      </c>
      <c r="S398" t="s">
        <v>36</v>
      </c>
      <c r="T398" s="7">
        <v>16</v>
      </c>
      <c r="U398" s="7">
        <v>35</v>
      </c>
      <c r="V398" s="7">
        <v>8</v>
      </c>
      <c r="W398" s="7">
        <v>7</v>
      </c>
      <c r="X398" s="7">
        <f t="shared" si="39"/>
        <v>66</v>
      </c>
      <c r="Y398" t="s">
        <v>36</v>
      </c>
      <c r="Z398">
        <v>38111.397332819994</v>
      </c>
      <c r="AA398" t="s">
        <v>794</v>
      </c>
      <c r="AB398" t="e">
        <v>#N/A</v>
      </c>
      <c r="AF398">
        <v>39</v>
      </c>
      <c r="AG398" s="8">
        <v>171</v>
      </c>
      <c r="AH398">
        <v>-30</v>
      </c>
      <c r="AI398">
        <v>0</v>
      </c>
      <c r="AJ398">
        <v>-16</v>
      </c>
      <c r="AK398">
        <v>-0.17543859649122806</v>
      </c>
      <c r="AL398">
        <v>-2.2941573387056176</v>
      </c>
      <c r="AM398">
        <v>46</v>
      </c>
      <c r="AN398">
        <v>0</v>
      </c>
      <c r="AO398">
        <v>-0.3125</v>
      </c>
      <c r="AP398">
        <v>-0.45454545454545453</v>
      </c>
      <c r="AQ398">
        <v>0.10606060606060606</v>
      </c>
      <c r="AR398">
        <v>0.24242424242424243</v>
      </c>
      <c r="AS398">
        <v>0.53030303030303028</v>
      </c>
      <c r="AT398">
        <v>0.12121212121212122</v>
      </c>
      <c r="AU398">
        <v>50343.130059589996</v>
      </c>
      <c r="AV398" t="s">
        <v>489</v>
      </c>
      <c r="AW398" t="str">
        <f t="shared" si="40"/>
        <v>n/a</v>
      </c>
      <c r="AY398" t="e">
        <f t="shared" si="41"/>
        <v>#N/A</v>
      </c>
      <c r="AZ398" t="e">
        <v>#N/A</v>
      </c>
      <c r="BA398">
        <v>2</v>
      </c>
      <c r="BB398">
        <v>2018</v>
      </c>
      <c r="BC398">
        <v>3</v>
      </c>
      <c r="BD398">
        <v>2018</v>
      </c>
      <c r="BE398">
        <v>6</v>
      </c>
      <c r="BF398">
        <v>2018</v>
      </c>
    </row>
    <row r="399" spans="1:58" x14ac:dyDescent="0.2">
      <c r="A399" s="7">
        <v>8</v>
      </c>
      <c r="B399" s="7">
        <v>15</v>
      </c>
      <c r="C399" s="7">
        <v>0</v>
      </c>
      <c r="D399" s="7">
        <v>5</v>
      </c>
      <c r="E399" s="7">
        <f t="shared" si="36"/>
        <v>28</v>
      </c>
      <c r="F399" s="11" t="s">
        <v>36</v>
      </c>
      <c r="G399">
        <v>8</v>
      </c>
      <c r="H399">
        <v>15</v>
      </c>
      <c r="I399">
        <v>0</v>
      </c>
      <c r="J399">
        <v>5</v>
      </c>
      <c r="K399">
        <f t="shared" si="37"/>
        <v>28</v>
      </c>
      <c r="L399" t="s">
        <v>36</v>
      </c>
      <c r="M399">
        <v>31560.346830589999</v>
      </c>
      <c r="N399" s="7">
        <v>8</v>
      </c>
      <c r="O399" s="7">
        <v>15</v>
      </c>
      <c r="P399" s="7">
        <v>0</v>
      </c>
      <c r="Q399" s="7">
        <v>5</v>
      </c>
      <c r="R399" s="7">
        <f t="shared" si="38"/>
        <v>28</v>
      </c>
      <c r="S399" t="s">
        <v>36</v>
      </c>
      <c r="T399" s="7">
        <v>18</v>
      </c>
      <c r="U399" s="7">
        <v>35</v>
      </c>
      <c r="V399" s="7">
        <v>9</v>
      </c>
      <c r="W399" s="7">
        <v>7</v>
      </c>
      <c r="X399" s="7">
        <f t="shared" si="39"/>
        <v>69</v>
      </c>
      <c r="Y399" t="s">
        <v>36</v>
      </c>
      <c r="Z399">
        <v>105817.29154337999</v>
      </c>
      <c r="AA399" t="s">
        <v>795</v>
      </c>
      <c r="AB399" t="e">
        <v>#N/A</v>
      </c>
      <c r="AF399" t="e">
        <v>#N/A</v>
      </c>
      <c r="AG399" s="8">
        <v>180</v>
      </c>
      <c r="AH399">
        <v>41</v>
      </c>
      <c r="AI399">
        <v>41</v>
      </c>
      <c r="AJ399">
        <v>0</v>
      </c>
      <c r="AK399">
        <v>0.22777777777777777</v>
      </c>
      <c r="AL399">
        <v>3.0559595692497123</v>
      </c>
      <c r="AM399">
        <v>0</v>
      </c>
      <c r="AN399">
        <v>0</v>
      </c>
      <c r="AO399">
        <v>1.4642857142857142</v>
      </c>
      <c r="AP399">
        <v>1.4642857142857142</v>
      </c>
      <c r="AQ399">
        <v>0.17857142857142858</v>
      </c>
      <c r="AR399">
        <v>0.2857142857142857</v>
      </c>
      <c r="AS399">
        <v>0.5357142857142857</v>
      </c>
      <c r="AT399">
        <v>0</v>
      </c>
      <c r="AU399">
        <v>137377.63837397</v>
      </c>
      <c r="AV399" t="s">
        <v>489</v>
      </c>
      <c r="AW399" t="str">
        <f t="shared" si="40"/>
        <v>n/a</v>
      </c>
      <c r="AY399" t="e">
        <f t="shared" si="41"/>
        <v>#N/A</v>
      </c>
      <c r="AZ399" t="e">
        <v>#N/A</v>
      </c>
      <c r="BA399">
        <v>3</v>
      </c>
      <c r="BB399">
        <v>2018</v>
      </c>
      <c r="BC399">
        <v>3</v>
      </c>
      <c r="BD399">
        <v>2018</v>
      </c>
      <c r="BE399">
        <v>3</v>
      </c>
      <c r="BF399">
        <v>2018</v>
      </c>
    </row>
    <row r="400" spans="1:58" x14ac:dyDescent="0.2">
      <c r="A400" s="7">
        <v>0</v>
      </c>
      <c r="B400" s="7">
        <v>0</v>
      </c>
      <c r="C400" s="7">
        <v>0</v>
      </c>
      <c r="D400" s="7">
        <v>0</v>
      </c>
      <c r="E400" s="7">
        <f t="shared" si="36"/>
        <v>0</v>
      </c>
      <c r="F400" s="11" t="e">
        <v>#N/A</v>
      </c>
      <c r="G400">
        <v>0</v>
      </c>
      <c r="H400">
        <v>0</v>
      </c>
      <c r="I400">
        <v>0</v>
      </c>
      <c r="J400">
        <v>0</v>
      </c>
      <c r="K400">
        <f t="shared" si="37"/>
        <v>0</v>
      </c>
      <c r="L400" t="e">
        <v>#N/A</v>
      </c>
      <c r="N400" s="7">
        <v>14</v>
      </c>
      <c r="O400" s="7">
        <v>40</v>
      </c>
      <c r="P400" s="7">
        <v>0</v>
      </c>
      <c r="Q400" s="7">
        <v>5</v>
      </c>
      <c r="R400" s="7">
        <f t="shared" si="38"/>
        <v>59</v>
      </c>
      <c r="S400" t="s">
        <v>36</v>
      </c>
      <c r="T400" s="7">
        <v>11</v>
      </c>
      <c r="U400" s="7">
        <v>16</v>
      </c>
      <c r="V400" s="7">
        <v>2</v>
      </c>
      <c r="W400" s="7">
        <v>5</v>
      </c>
      <c r="X400" s="7">
        <f t="shared" si="39"/>
        <v>34</v>
      </c>
      <c r="Y400" t="e">
        <v>#N/A</v>
      </c>
      <c r="Z400">
        <v>163990.13099663999</v>
      </c>
      <c r="AA400" t="s">
        <v>796</v>
      </c>
      <c r="AB400">
        <v>73</v>
      </c>
      <c r="AC400">
        <v>17</v>
      </c>
      <c r="AD400" t="s">
        <v>123</v>
      </c>
      <c r="AE400" t="s">
        <v>41</v>
      </c>
      <c r="AF400" t="e">
        <v>#N/A</v>
      </c>
      <c r="AG400" s="8">
        <v>152</v>
      </c>
      <c r="AH400">
        <v>-25</v>
      </c>
      <c r="AI400">
        <v>34</v>
      </c>
      <c r="AJ400">
        <v>0</v>
      </c>
      <c r="AK400">
        <v>-0.16447368421052633</v>
      </c>
      <c r="AL400">
        <v>-2.027767764134532</v>
      </c>
      <c r="AM400">
        <v>59</v>
      </c>
      <c r="AN400">
        <v>0</v>
      </c>
      <c r="AO400">
        <v>-0.42372881355932202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>
        <v>163990.13099663999</v>
      </c>
      <c r="AV400">
        <v>3</v>
      </c>
      <c r="AW400">
        <f t="shared" si="40"/>
        <v>0</v>
      </c>
      <c r="AX400">
        <v>17</v>
      </c>
      <c r="AY400">
        <f t="shared" si="41"/>
        <v>1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>
        <v>12</v>
      </c>
      <c r="BF400">
        <v>2019</v>
      </c>
    </row>
    <row r="401" spans="1:58" x14ac:dyDescent="0.2">
      <c r="A401" s="7">
        <v>20</v>
      </c>
      <c r="B401" s="7">
        <v>29</v>
      </c>
      <c r="C401" s="7">
        <v>9</v>
      </c>
      <c r="D401" s="7">
        <v>12</v>
      </c>
      <c r="E401" s="7">
        <f t="shared" si="36"/>
        <v>70</v>
      </c>
      <c r="F401" s="11" t="s">
        <v>36</v>
      </c>
      <c r="G401">
        <v>20</v>
      </c>
      <c r="H401">
        <v>29</v>
      </c>
      <c r="I401">
        <v>9</v>
      </c>
      <c r="J401">
        <v>12</v>
      </c>
      <c r="K401">
        <f t="shared" si="37"/>
        <v>70</v>
      </c>
      <c r="L401" t="s">
        <v>36</v>
      </c>
      <c r="M401">
        <v>8863.3611836599994</v>
      </c>
      <c r="N401" s="7">
        <v>20</v>
      </c>
      <c r="O401" s="7">
        <v>29</v>
      </c>
      <c r="P401" s="7">
        <v>9</v>
      </c>
      <c r="Q401" s="7">
        <v>12</v>
      </c>
      <c r="R401" s="7">
        <f t="shared" si="38"/>
        <v>70</v>
      </c>
      <c r="S401" t="s">
        <v>36</v>
      </c>
      <c r="T401" s="7">
        <v>20</v>
      </c>
      <c r="U401" s="7">
        <v>38</v>
      </c>
      <c r="V401" s="7">
        <v>9</v>
      </c>
      <c r="W401" s="7">
        <v>14</v>
      </c>
      <c r="X401" s="7">
        <f t="shared" si="39"/>
        <v>81</v>
      </c>
      <c r="Y401" t="s">
        <v>36</v>
      </c>
      <c r="Z401">
        <v>15718.571072299999</v>
      </c>
      <c r="AA401" t="s">
        <v>797</v>
      </c>
      <c r="AB401" t="e">
        <v>#N/A</v>
      </c>
      <c r="AF401">
        <v>101</v>
      </c>
      <c r="AG401" s="8">
        <v>27</v>
      </c>
      <c r="AH401">
        <v>11</v>
      </c>
      <c r="AI401">
        <v>11</v>
      </c>
      <c r="AJ401">
        <v>0</v>
      </c>
      <c r="AK401">
        <v>0.40740740740740738</v>
      </c>
      <c r="AL401">
        <v>2.1169509870286278</v>
      </c>
      <c r="AM401">
        <v>0</v>
      </c>
      <c r="AN401">
        <v>0</v>
      </c>
      <c r="AO401">
        <v>0.15714285714285714</v>
      </c>
      <c r="AP401">
        <v>0.15714285714285714</v>
      </c>
      <c r="AQ401">
        <v>0.17142857142857143</v>
      </c>
      <c r="AR401">
        <v>0.2857142857142857</v>
      </c>
      <c r="AS401">
        <v>0.41428571428571431</v>
      </c>
      <c r="AT401">
        <v>0.12857142857142856</v>
      </c>
      <c r="AU401">
        <v>24581.932255959997</v>
      </c>
      <c r="AV401" t="s">
        <v>489</v>
      </c>
      <c r="AW401" t="str">
        <f t="shared" si="40"/>
        <v>n/a</v>
      </c>
      <c r="AY401" t="e">
        <f t="shared" si="41"/>
        <v>#N/A</v>
      </c>
      <c r="AZ401" t="e">
        <v>#N/A</v>
      </c>
      <c r="BA401">
        <v>8</v>
      </c>
      <c r="BB401">
        <v>2018</v>
      </c>
      <c r="BC401">
        <v>12</v>
      </c>
      <c r="BD401">
        <v>2018</v>
      </c>
      <c r="BE401">
        <v>9</v>
      </c>
      <c r="BF401">
        <v>2018</v>
      </c>
    </row>
    <row r="402" spans="1:58" x14ac:dyDescent="0.2">
      <c r="A402" s="7">
        <v>0</v>
      </c>
      <c r="B402" s="7">
        <v>0</v>
      </c>
      <c r="C402" s="7">
        <v>0</v>
      </c>
      <c r="D402" s="7">
        <v>0</v>
      </c>
      <c r="E402" s="7">
        <f t="shared" si="36"/>
        <v>0</v>
      </c>
      <c r="F402" s="11" t="e">
        <v>#N/A</v>
      </c>
      <c r="G402">
        <v>0</v>
      </c>
      <c r="H402">
        <v>0</v>
      </c>
      <c r="I402">
        <v>0</v>
      </c>
      <c r="J402">
        <v>0</v>
      </c>
      <c r="K402">
        <f t="shared" si="37"/>
        <v>0</v>
      </c>
      <c r="L402" t="e">
        <v>#N/A</v>
      </c>
      <c r="M402">
        <v>59219.655859010003</v>
      </c>
      <c r="N402" s="7">
        <v>0</v>
      </c>
      <c r="O402" s="7">
        <v>0</v>
      </c>
      <c r="P402" s="7">
        <v>0</v>
      </c>
      <c r="Q402" s="7">
        <v>0</v>
      </c>
      <c r="R402" s="7">
        <f t="shared" si="38"/>
        <v>0</v>
      </c>
      <c r="S402" t="e">
        <v>#N/A</v>
      </c>
      <c r="T402" s="7">
        <v>0</v>
      </c>
      <c r="U402" s="7">
        <v>9</v>
      </c>
      <c r="V402" s="7">
        <v>0</v>
      </c>
      <c r="W402" s="7">
        <v>2</v>
      </c>
      <c r="X402" s="7">
        <f t="shared" si="39"/>
        <v>11</v>
      </c>
      <c r="Y402" t="s">
        <v>36</v>
      </c>
      <c r="Z402">
        <v>215033.18495769001</v>
      </c>
      <c r="AA402" t="s">
        <v>798</v>
      </c>
      <c r="AB402" t="e">
        <v>#N/A</v>
      </c>
      <c r="AF402" t="e">
        <v>#N/A</v>
      </c>
      <c r="AG402" s="8">
        <v>151</v>
      </c>
      <c r="AH402">
        <v>11</v>
      </c>
      <c r="AI402">
        <v>11</v>
      </c>
      <c r="AJ402">
        <v>0</v>
      </c>
      <c r="AK402">
        <v>7.2847682119205295E-2</v>
      </c>
      <c r="AL402">
        <v>0.89516730464827532</v>
      </c>
      <c r="AM402">
        <v>0</v>
      </c>
      <c r="AN402">
        <v>0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>
        <v>274252.84081670002</v>
      </c>
      <c r="AV402" t="s">
        <v>489</v>
      </c>
      <c r="AW402" t="str">
        <f t="shared" si="40"/>
        <v>n/a</v>
      </c>
      <c r="AY402" t="e">
        <f t="shared" si="41"/>
        <v>#N/A</v>
      </c>
      <c r="AZ402" t="e">
        <v>#N/A</v>
      </c>
      <c r="BA402">
        <v>4</v>
      </c>
      <c r="BB402">
        <v>2018</v>
      </c>
      <c r="BC402">
        <v>4</v>
      </c>
      <c r="BD402">
        <v>2018</v>
      </c>
      <c r="BE402">
        <v>4</v>
      </c>
      <c r="BF402">
        <v>2018</v>
      </c>
    </row>
    <row r="403" spans="1:58" x14ac:dyDescent="0.2">
      <c r="A403" s="7">
        <v>12</v>
      </c>
      <c r="B403" s="7">
        <v>33</v>
      </c>
      <c r="C403" s="7">
        <v>3</v>
      </c>
      <c r="D403" s="7">
        <v>5</v>
      </c>
      <c r="E403" s="7">
        <f t="shared" si="36"/>
        <v>53</v>
      </c>
      <c r="F403" s="11" t="s">
        <v>36</v>
      </c>
      <c r="G403">
        <v>12</v>
      </c>
      <c r="H403">
        <v>30</v>
      </c>
      <c r="I403">
        <v>0</v>
      </c>
      <c r="J403">
        <v>0</v>
      </c>
      <c r="K403">
        <f t="shared" si="37"/>
        <v>42</v>
      </c>
      <c r="L403" t="s">
        <v>36</v>
      </c>
      <c r="M403">
        <v>14262.322520899999</v>
      </c>
      <c r="N403" s="7">
        <v>12</v>
      </c>
      <c r="O403" s="7">
        <v>33</v>
      </c>
      <c r="P403" s="7">
        <v>3</v>
      </c>
      <c r="Q403" s="7">
        <v>5</v>
      </c>
      <c r="R403" s="7">
        <f t="shared" si="38"/>
        <v>53</v>
      </c>
      <c r="S403" t="s">
        <v>36</v>
      </c>
      <c r="T403" s="7">
        <v>20</v>
      </c>
      <c r="U403" s="7">
        <v>40</v>
      </c>
      <c r="V403" s="7">
        <v>9</v>
      </c>
      <c r="W403" s="7">
        <v>17</v>
      </c>
      <c r="X403" s="7">
        <f t="shared" si="39"/>
        <v>86</v>
      </c>
      <c r="Y403" t="s">
        <v>36</v>
      </c>
      <c r="Z403">
        <v>81305.527244140001</v>
      </c>
      <c r="AA403" t="s">
        <v>799</v>
      </c>
      <c r="AB403" t="e">
        <v>#N/A</v>
      </c>
      <c r="AF403">
        <v>77</v>
      </c>
      <c r="AG403" s="8">
        <v>156</v>
      </c>
      <c r="AH403">
        <v>33</v>
      </c>
      <c r="AI403">
        <v>33</v>
      </c>
      <c r="AJ403">
        <v>-11</v>
      </c>
      <c r="AK403">
        <v>0.21153846153846154</v>
      </c>
      <c r="AL403">
        <v>2.6421145377839377</v>
      </c>
      <c r="AM403">
        <v>11</v>
      </c>
      <c r="AN403">
        <v>0</v>
      </c>
      <c r="AO403">
        <v>0.62264150943396224</v>
      </c>
      <c r="AP403">
        <v>0.62264150943396224</v>
      </c>
      <c r="AQ403">
        <v>9.4339622641509441E-2</v>
      </c>
      <c r="AR403">
        <v>0.22641509433962265</v>
      </c>
      <c r="AS403">
        <v>0.62264150943396224</v>
      </c>
      <c r="AT403">
        <v>5.6603773584905662E-2</v>
      </c>
      <c r="AU403">
        <v>95567.849765039995</v>
      </c>
      <c r="AV403" t="s">
        <v>489</v>
      </c>
      <c r="AW403" t="str">
        <f t="shared" si="40"/>
        <v>n/a</v>
      </c>
      <c r="AY403" t="e">
        <f t="shared" si="41"/>
        <v>#N/A</v>
      </c>
      <c r="AZ403" t="e">
        <v>#N/A</v>
      </c>
      <c r="BA403">
        <v>1</v>
      </c>
      <c r="BB403">
        <v>2018</v>
      </c>
      <c r="BC403">
        <v>3</v>
      </c>
      <c r="BD403">
        <v>2018</v>
      </c>
      <c r="BE403">
        <v>4</v>
      </c>
      <c r="BF403">
        <v>2018</v>
      </c>
    </row>
    <row r="404" spans="1:58" x14ac:dyDescent="0.2">
      <c r="A404" s="7">
        <v>0</v>
      </c>
      <c r="B404" s="7">
        <v>10</v>
      </c>
      <c r="C404" s="7">
        <v>0</v>
      </c>
      <c r="D404" s="7">
        <v>0</v>
      </c>
      <c r="E404" s="7">
        <f t="shared" si="36"/>
        <v>10</v>
      </c>
      <c r="F404" s="11" t="s">
        <v>39</v>
      </c>
      <c r="G404">
        <v>0</v>
      </c>
      <c r="H404">
        <v>15</v>
      </c>
      <c r="I404">
        <v>0</v>
      </c>
      <c r="J404">
        <v>0</v>
      </c>
      <c r="K404">
        <f t="shared" si="37"/>
        <v>15</v>
      </c>
      <c r="L404" t="s">
        <v>36</v>
      </c>
      <c r="M404">
        <v>25683.42047877</v>
      </c>
      <c r="N404" s="7">
        <v>0</v>
      </c>
      <c r="O404" s="7">
        <v>15</v>
      </c>
      <c r="P404" s="7">
        <v>0</v>
      </c>
      <c r="Q404" s="7">
        <v>0</v>
      </c>
      <c r="R404" s="7">
        <f t="shared" si="38"/>
        <v>15</v>
      </c>
      <c r="S404" t="s">
        <v>36</v>
      </c>
      <c r="T404" s="7">
        <v>5</v>
      </c>
      <c r="U404" s="7">
        <v>15</v>
      </c>
      <c r="V404" s="7">
        <v>6</v>
      </c>
      <c r="W404" s="7">
        <v>8</v>
      </c>
      <c r="X404" s="7">
        <f t="shared" si="39"/>
        <v>34</v>
      </c>
      <c r="Y404" t="s">
        <v>36</v>
      </c>
      <c r="Z404">
        <v>164396.87243244</v>
      </c>
      <c r="AA404" t="s">
        <v>800</v>
      </c>
      <c r="AB404" t="e">
        <v>#N/A</v>
      </c>
      <c r="AF404">
        <v>227</v>
      </c>
      <c r="AG404" s="8">
        <v>194</v>
      </c>
      <c r="AH404">
        <v>19</v>
      </c>
      <c r="AI404">
        <v>24</v>
      </c>
      <c r="AJ404">
        <v>5</v>
      </c>
      <c r="AK404">
        <v>9.7938144329896906E-2</v>
      </c>
      <c r="AL404">
        <v>1.3641205013737023</v>
      </c>
      <c r="AM404">
        <v>0</v>
      </c>
      <c r="AN404">
        <v>0</v>
      </c>
      <c r="AO404">
        <v>1.2666666666666666</v>
      </c>
      <c r="AP404">
        <v>1.9</v>
      </c>
      <c r="AQ404">
        <v>0</v>
      </c>
      <c r="AR404">
        <v>0</v>
      </c>
      <c r="AS404">
        <v>1</v>
      </c>
      <c r="AT404">
        <v>0</v>
      </c>
      <c r="AU404">
        <v>190080.29291120998</v>
      </c>
      <c r="AV404" t="s">
        <v>489</v>
      </c>
      <c r="AW404" t="str">
        <f t="shared" si="40"/>
        <v>n/a</v>
      </c>
      <c r="AY404" t="e">
        <f t="shared" si="41"/>
        <v>#N/A</v>
      </c>
      <c r="AZ404" t="e">
        <v>#N/A</v>
      </c>
      <c r="BA404">
        <v>3</v>
      </c>
      <c r="BB404">
        <v>2018</v>
      </c>
      <c r="BC404">
        <v>11</v>
      </c>
      <c r="BD404">
        <v>2018</v>
      </c>
      <c r="BE404">
        <v>4</v>
      </c>
      <c r="BF404">
        <v>2018</v>
      </c>
    </row>
    <row r="405" spans="1:58" x14ac:dyDescent="0.2">
      <c r="A405" s="7">
        <v>0</v>
      </c>
      <c r="B405" s="7">
        <v>6</v>
      </c>
      <c r="C405" s="7">
        <v>0</v>
      </c>
      <c r="D405" s="7">
        <v>0</v>
      </c>
      <c r="E405" s="7">
        <f t="shared" si="36"/>
        <v>6</v>
      </c>
      <c r="F405" s="11" t="s">
        <v>36</v>
      </c>
      <c r="G405">
        <v>0</v>
      </c>
      <c r="H405">
        <v>6</v>
      </c>
      <c r="I405">
        <v>0</v>
      </c>
      <c r="J405">
        <v>0</v>
      </c>
      <c r="K405">
        <f t="shared" si="37"/>
        <v>6</v>
      </c>
      <c r="L405" t="s">
        <v>36</v>
      </c>
      <c r="M405">
        <v>33285.934143300001</v>
      </c>
      <c r="N405" s="7">
        <v>0</v>
      </c>
      <c r="O405" s="7">
        <v>6</v>
      </c>
      <c r="P405" s="7">
        <v>0</v>
      </c>
      <c r="Q405" s="7">
        <v>0</v>
      </c>
      <c r="R405" s="7">
        <f t="shared" si="38"/>
        <v>6</v>
      </c>
      <c r="S405" t="s">
        <v>36</v>
      </c>
      <c r="T405" s="7">
        <v>20</v>
      </c>
      <c r="U405" s="7">
        <v>40</v>
      </c>
      <c r="V405" s="7">
        <v>9</v>
      </c>
      <c r="W405" s="7">
        <v>30</v>
      </c>
      <c r="X405" s="7">
        <f t="shared" si="39"/>
        <v>99</v>
      </c>
      <c r="Y405" t="s">
        <v>36</v>
      </c>
      <c r="Z405">
        <v>142934.455874565</v>
      </c>
      <c r="AA405" t="s">
        <v>801</v>
      </c>
      <c r="AB405" t="e">
        <v>#N/A</v>
      </c>
      <c r="AF405" t="e">
        <v>#N/A</v>
      </c>
      <c r="AG405" s="8">
        <v>240</v>
      </c>
      <c r="AH405">
        <v>93</v>
      </c>
      <c r="AI405">
        <v>93</v>
      </c>
      <c r="AJ405">
        <v>0</v>
      </c>
      <c r="AK405">
        <v>0.38750000000000001</v>
      </c>
      <c r="AL405">
        <v>6.0031241866214957</v>
      </c>
      <c r="AM405">
        <v>0</v>
      </c>
      <c r="AN405">
        <v>0</v>
      </c>
      <c r="AO405">
        <v>15.5</v>
      </c>
      <c r="AP405">
        <v>15.5</v>
      </c>
      <c r="AQ405">
        <v>0</v>
      </c>
      <c r="AR405">
        <v>0</v>
      </c>
      <c r="AS405">
        <v>1</v>
      </c>
      <c r="AT405">
        <v>0</v>
      </c>
      <c r="AU405">
        <v>176220.39001786499</v>
      </c>
      <c r="AV405" t="s">
        <v>489</v>
      </c>
      <c r="AW405" t="str">
        <f t="shared" si="40"/>
        <v>n/a</v>
      </c>
      <c r="AY405" t="e">
        <f t="shared" si="41"/>
        <v>#N/A</v>
      </c>
      <c r="AZ405" t="e">
        <v>#N/A</v>
      </c>
      <c r="BA405">
        <v>5</v>
      </c>
      <c r="BB405">
        <v>2018</v>
      </c>
      <c r="BC405">
        <v>5</v>
      </c>
      <c r="BD405">
        <v>2018</v>
      </c>
      <c r="BE405">
        <v>4</v>
      </c>
      <c r="BF405">
        <v>2018</v>
      </c>
    </row>
    <row r="406" spans="1:58" x14ac:dyDescent="0.2">
      <c r="A406" s="7">
        <v>8</v>
      </c>
      <c r="B406" s="7">
        <v>23</v>
      </c>
      <c r="C406" s="7">
        <v>0</v>
      </c>
      <c r="D406" s="7">
        <v>0</v>
      </c>
      <c r="E406" s="7">
        <f t="shared" si="36"/>
        <v>31</v>
      </c>
      <c r="F406" s="11" t="s">
        <v>36</v>
      </c>
      <c r="G406">
        <v>8</v>
      </c>
      <c r="H406">
        <v>23</v>
      </c>
      <c r="I406">
        <v>0</v>
      </c>
      <c r="J406">
        <v>0</v>
      </c>
      <c r="K406">
        <f t="shared" si="37"/>
        <v>31</v>
      </c>
      <c r="L406" t="s">
        <v>36</v>
      </c>
      <c r="M406">
        <v>16123.98060651</v>
      </c>
      <c r="N406" s="7">
        <v>9</v>
      </c>
      <c r="O406" s="7">
        <v>23</v>
      </c>
      <c r="P406" s="7">
        <v>0</v>
      </c>
      <c r="Q406" s="7">
        <v>3</v>
      </c>
      <c r="R406" s="7">
        <f t="shared" si="38"/>
        <v>35</v>
      </c>
      <c r="S406" t="s">
        <v>42</v>
      </c>
      <c r="T406" s="7">
        <v>9</v>
      </c>
      <c r="U406" s="7">
        <v>23</v>
      </c>
      <c r="V406" s="7">
        <v>0</v>
      </c>
      <c r="W406" s="7">
        <v>3</v>
      </c>
      <c r="X406" s="7">
        <f t="shared" si="39"/>
        <v>35</v>
      </c>
      <c r="Y406" t="s">
        <v>42</v>
      </c>
      <c r="Z406">
        <v>14323.19528</v>
      </c>
      <c r="AA406" t="s">
        <v>802</v>
      </c>
      <c r="AB406" t="e">
        <v>#N/A</v>
      </c>
      <c r="AF406">
        <v>169</v>
      </c>
      <c r="AG406" s="8">
        <v>128</v>
      </c>
      <c r="AH406">
        <v>0</v>
      </c>
      <c r="AI406">
        <v>4</v>
      </c>
      <c r="AJ406">
        <v>0</v>
      </c>
      <c r="AK406">
        <v>0</v>
      </c>
      <c r="AL406">
        <v>0</v>
      </c>
      <c r="AM406">
        <v>4</v>
      </c>
      <c r="AN406">
        <v>0</v>
      </c>
      <c r="AO406">
        <v>0</v>
      </c>
      <c r="AP406">
        <v>0</v>
      </c>
      <c r="AQ406">
        <v>0</v>
      </c>
      <c r="AR406">
        <v>0.25806451612903225</v>
      </c>
      <c r="AS406">
        <v>0.74193548387096775</v>
      </c>
      <c r="AT406">
        <v>0</v>
      </c>
      <c r="AU406">
        <v>30447.175886509998</v>
      </c>
      <c r="AV406" t="s">
        <v>489</v>
      </c>
      <c r="AW406" t="str">
        <f t="shared" si="40"/>
        <v>n/a</v>
      </c>
      <c r="AY406" t="e">
        <f t="shared" si="41"/>
        <v>#N/A</v>
      </c>
      <c r="AZ406" t="e">
        <v>#N/A</v>
      </c>
      <c r="BA406">
        <v>4</v>
      </c>
      <c r="BB406">
        <v>2018</v>
      </c>
      <c r="BC406">
        <v>10</v>
      </c>
      <c r="BD406">
        <v>2018</v>
      </c>
      <c r="BE406">
        <v>1</v>
      </c>
      <c r="BF406">
        <v>2018</v>
      </c>
    </row>
    <row r="407" spans="1:58" x14ac:dyDescent="0.2">
      <c r="A407" s="7">
        <v>3</v>
      </c>
      <c r="B407" s="7">
        <v>16</v>
      </c>
      <c r="C407" s="7">
        <v>0</v>
      </c>
      <c r="D407" s="7">
        <v>0</v>
      </c>
      <c r="E407" s="7">
        <f t="shared" si="36"/>
        <v>19</v>
      </c>
      <c r="F407" s="11" t="e">
        <v>#N/A</v>
      </c>
      <c r="G407">
        <v>3</v>
      </c>
      <c r="H407">
        <v>16</v>
      </c>
      <c r="I407">
        <v>0</v>
      </c>
      <c r="J407">
        <v>0</v>
      </c>
      <c r="K407">
        <f t="shared" si="37"/>
        <v>19</v>
      </c>
      <c r="L407" t="e">
        <v>#N/A</v>
      </c>
      <c r="M407">
        <v>10084.789790000001</v>
      </c>
      <c r="N407" s="7">
        <v>0</v>
      </c>
      <c r="O407" s="7">
        <v>0</v>
      </c>
      <c r="P407" s="7">
        <v>0</v>
      </c>
      <c r="Q407" s="7">
        <v>0</v>
      </c>
      <c r="R407" s="7">
        <f t="shared" si="38"/>
        <v>0</v>
      </c>
      <c r="S407" t="e">
        <v>#N/A</v>
      </c>
      <c r="T407" s="7">
        <v>0</v>
      </c>
      <c r="U407" s="7">
        <v>0</v>
      </c>
      <c r="V407" s="7">
        <v>0</v>
      </c>
      <c r="W407" s="7">
        <v>0</v>
      </c>
      <c r="X407" s="7">
        <f t="shared" si="39"/>
        <v>0</v>
      </c>
      <c r="Y407" t="e">
        <v>#N/A</v>
      </c>
      <c r="AA407" t="s">
        <v>246</v>
      </c>
      <c r="AB407">
        <v>38</v>
      </c>
      <c r="AC407">
        <v>19</v>
      </c>
      <c r="AD407" t="s">
        <v>101</v>
      </c>
      <c r="AE407" t="s">
        <v>75</v>
      </c>
      <c r="AF407" t="e">
        <v>#N/A</v>
      </c>
      <c r="AG407" s="8"/>
      <c r="AH407">
        <v>0</v>
      </c>
      <c r="AI407">
        <v>-19</v>
      </c>
      <c r="AJ407">
        <v>0</v>
      </c>
      <c r="AK407" t="e">
        <v>#N/A</v>
      </c>
      <c r="AL407" t="e">
        <v>#N/A</v>
      </c>
      <c r="AM407">
        <v>-19</v>
      </c>
      <c r="AN407">
        <v>1</v>
      </c>
      <c r="AO407" t="e">
        <v>#N/A</v>
      </c>
      <c r="AP407">
        <v>0</v>
      </c>
      <c r="AQ407">
        <v>0</v>
      </c>
      <c r="AR407">
        <v>0.15789473684210525</v>
      </c>
      <c r="AS407">
        <v>0.84210526315789469</v>
      </c>
      <c r="AT407">
        <v>0</v>
      </c>
      <c r="AU407">
        <v>10084.789790000001</v>
      </c>
      <c r="AV407">
        <v>11</v>
      </c>
      <c r="AW407">
        <f t="shared" si="40"/>
        <v>1</v>
      </c>
      <c r="AX407">
        <v>19</v>
      </c>
      <c r="AY407">
        <f t="shared" si="41"/>
        <v>1</v>
      </c>
      <c r="AZ407" t="e">
        <v>#N/A</v>
      </c>
      <c r="BA407">
        <v>12</v>
      </c>
      <c r="BB407">
        <v>2020</v>
      </c>
      <c r="BC407">
        <v>12</v>
      </c>
      <c r="BD407">
        <v>2020</v>
      </c>
      <c r="BE407" t="e">
        <v>#N/A</v>
      </c>
      <c r="BF407" t="e">
        <v>#N/A</v>
      </c>
    </row>
    <row r="408" spans="1:58" x14ac:dyDescent="0.2">
      <c r="A408" s="7">
        <v>12</v>
      </c>
      <c r="B408" s="7">
        <v>40</v>
      </c>
      <c r="C408" s="7">
        <v>10</v>
      </c>
      <c r="D408" s="7">
        <v>25</v>
      </c>
      <c r="E408" s="7">
        <f t="shared" si="36"/>
        <v>87</v>
      </c>
      <c r="F408" s="11" t="s">
        <v>65</v>
      </c>
      <c r="G408">
        <v>12</v>
      </c>
      <c r="H408">
        <v>40</v>
      </c>
      <c r="I408">
        <v>10</v>
      </c>
      <c r="J408">
        <v>25</v>
      </c>
      <c r="K408">
        <f t="shared" si="37"/>
        <v>87</v>
      </c>
      <c r="L408" t="s">
        <v>65</v>
      </c>
      <c r="M408">
        <v>6499.6479599999993</v>
      </c>
      <c r="N408" s="7">
        <v>14</v>
      </c>
      <c r="O408" s="7">
        <v>40</v>
      </c>
      <c r="P408" s="7">
        <v>10</v>
      </c>
      <c r="Q408" s="7">
        <v>26</v>
      </c>
      <c r="R408" s="7">
        <f t="shared" si="38"/>
        <v>90</v>
      </c>
      <c r="S408" t="s">
        <v>65</v>
      </c>
      <c r="T408" s="7">
        <v>14</v>
      </c>
      <c r="U408" s="7">
        <v>40</v>
      </c>
      <c r="V408" s="7">
        <v>10</v>
      </c>
      <c r="W408" s="7">
        <v>26</v>
      </c>
      <c r="X408" s="7">
        <f t="shared" si="39"/>
        <v>90</v>
      </c>
      <c r="Y408" t="s">
        <v>65</v>
      </c>
      <c r="Z408">
        <v>7060.6172799999986</v>
      </c>
      <c r="AA408" t="s">
        <v>803</v>
      </c>
      <c r="AB408">
        <v>21</v>
      </c>
      <c r="AC408">
        <v>0</v>
      </c>
      <c r="AD408" t="s">
        <v>247</v>
      </c>
      <c r="AE408" t="s">
        <v>75</v>
      </c>
      <c r="AF408" t="e">
        <v>#N/A</v>
      </c>
      <c r="AG408" s="8">
        <v>0</v>
      </c>
      <c r="AH408">
        <v>0</v>
      </c>
      <c r="AI408">
        <v>3</v>
      </c>
      <c r="AJ408">
        <v>0</v>
      </c>
      <c r="AK408" t="e">
        <v>#N/A</v>
      </c>
      <c r="AL408" t="e">
        <v>#N/A</v>
      </c>
      <c r="AM408">
        <v>3</v>
      </c>
      <c r="AN408">
        <v>0</v>
      </c>
      <c r="AO408">
        <v>0</v>
      </c>
      <c r="AP408">
        <v>0</v>
      </c>
      <c r="AQ408">
        <v>0.28735632183908044</v>
      </c>
      <c r="AR408">
        <v>0.13793103448275862</v>
      </c>
      <c r="AS408">
        <v>0.45977011494252873</v>
      </c>
      <c r="AT408">
        <v>0.11494252873563218</v>
      </c>
      <c r="AU408">
        <v>13560.265239999997</v>
      </c>
      <c r="AV408">
        <v>3</v>
      </c>
      <c r="AW408">
        <f t="shared" si="40"/>
        <v>0</v>
      </c>
      <c r="AX408">
        <v>0</v>
      </c>
      <c r="AY408">
        <f t="shared" si="41"/>
        <v>0</v>
      </c>
      <c r="AZ408" t="e">
        <v>#N/A</v>
      </c>
      <c r="BA408">
        <v>10</v>
      </c>
      <c r="BB408">
        <v>2019</v>
      </c>
      <c r="BC408">
        <v>10</v>
      </c>
      <c r="BD408">
        <v>2019</v>
      </c>
      <c r="BE408">
        <v>2</v>
      </c>
      <c r="BF408">
        <v>2019</v>
      </c>
    </row>
    <row r="409" spans="1:58" x14ac:dyDescent="0.2">
      <c r="A409" s="7">
        <v>0</v>
      </c>
      <c r="B409" s="7">
        <v>5</v>
      </c>
      <c r="C409" s="7">
        <v>0</v>
      </c>
      <c r="D409" s="7">
        <v>0</v>
      </c>
      <c r="E409" s="7">
        <f t="shared" si="36"/>
        <v>5</v>
      </c>
      <c r="F409" s="11" t="s">
        <v>84</v>
      </c>
      <c r="G409">
        <v>0</v>
      </c>
      <c r="H409">
        <v>5</v>
      </c>
      <c r="I409">
        <v>0</v>
      </c>
      <c r="J409">
        <v>0</v>
      </c>
      <c r="K409">
        <f t="shared" si="37"/>
        <v>5</v>
      </c>
      <c r="L409" t="s">
        <v>84</v>
      </c>
      <c r="M409">
        <v>90728.808381080002</v>
      </c>
      <c r="N409" s="7">
        <v>0</v>
      </c>
      <c r="O409" s="7">
        <v>5</v>
      </c>
      <c r="P409" s="7">
        <v>0</v>
      </c>
      <c r="Q409" s="7">
        <v>0</v>
      </c>
      <c r="R409" s="7">
        <f t="shared" si="38"/>
        <v>5</v>
      </c>
      <c r="S409" t="s">
        <v>84</v>
      </c>
      <c r="T409" s="7">
        <v>0</v>
      </c>
      <c r="U409" s="7">
        <v>5</v>
      </c>
      <c r="V409" s="7">
        <v>0</v>
      </c>
      <c r="W409" s="7">
        <v>0</v>
      </c>
      <c r="X409" s="7">
        <f t="shared" si="39"/>
        <v>5</v>
      </c>
      <c r="Y409" t="s">
        <v>84</v>
      </c>
      <c r="Z409">
        <v>40562.299074729999</v>
      </c>
      <c r="AA409" t="s">
        <v>804</v>
      </c>
      <c r="AB409" t="e">
        <v>#N/A</v>
      </c>
      <c r="AF409" t="e">
        <v>#N/A</v>
      </c>
      <c r="AG409" s="8">
        <v>158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131291.10745581001</v>
      </c>
      <c r="AV409" t="s">
        <v>489</v>
      </c>
      <c r="AW409" t="str">
        <f t="shared" si="40"/>
        <v>n/a</v>
      </c>
      <c r="AY409" t="e">
        <f t="shared" si="41"/>
        <v>#N/A</v>
      </c>
      <c r="AZ409" t="e">
        <v>#N/A</v>
      </c>
      <c r="BA409">
        <v>10</v>
      </c>
      <c r="BB409">
        <v>2018</v>
      </c>
      <c r="BC409">
        <v>10</v>
      </c>
      <c r="BD409">
        <v>2018</v>
      </c>
      <c r="BE409">
        <v>1</v>
      </c>
      <c r="BF409">
        <v>2018</v>
      </c>
    </row>
    <row r="410" spans="1:58" x14ac:dyDescent="0.2">
      <c r="A410" s="7">
        <v>0</v>
      </c>
      <c r="B410" s="7">
        <v>0</v>
      </c>
      <c r="C410" s="7">
        <v>0</v>
      </c>
      <c r="D410" s="7">
        <v>0</v>
      </c>
      <c r="E410" s="7">
        <f t="shared" si="36"/>
        <v>0</v>
      </c>
      <c r="F410" s="11" t="e">
        <v>#N/A</v>
      </c>
      <c r="G410">
        <v>0</v>
      </c>
      <c r="H410">
        <v>0</v>
      </c>
      <c r="I410">
        <v>0</v>
      </c>
      <c r="J410">
        <v>0</v>
      </c>
      <c r="K410">
        <f t="shared" si="37"/>
        <v>0</v>
      </c>
      <c r="L410" t="e">
        <v>#N/A</v>
      </c>
      <c r="N410" s="7">
        <v>2</v>
      </c>
      <c r="O410" s="7">
        <v>7</v>
      </c>
      <c r="P410" s="7">
        <v>0</v>
      </c>
      <c r="Q410" s="7">
        <v>0</v>
      </c>
      <c r="R410" s="7">
        <f t="shared" si="38"/>
        <v>9</v>
      </c>
      <c r="S410" t="s">
        <v>83</v>
      </c>
      <c r="T410" s="7">
        <v>0</v>
      </c>
      <c r="U410" s="7">
        <v>7</v>
      </c>
      <c r="V410" s="7">
        <v>0</v>
      </c>
      <c r="W410" s="7">
        <v>0</v>
      </c>
      <c r="X410" s="7">
        <f t="shared" si="39"/>
        <v>7</v>
      </c>
      <c r="Y410" t="s">
        <v>83</v>
      </c>
      <c r="Z410">
        <v>52650.039397300003</v>
      </c>
      <c r="AA410" t="s">
        <v>805</v>
      </c>
      <c r="AB410" t="e">
        <v>#N/A</v>
      </c>
      <c r="AF410" t="e">
        <v>#N/A</v>
      </c>
      <c r="AG410" s="8">
        <v>29</v>
      </c>
      <c r="AH410">
        <v>-2</v>
      </c>
      <c r="AI410">
        <v>7</v>
      </c>
      <c r="AJ410">
        <v>0</v>
      </c>
      <c r="AK410">
        <v>-6.8965517241379309E-2</v>
      </c>
      <c r="AL410">
        <v>-0.37139067635410372</v>
      </c>
      <c r="AM410">
        <v>9</v>
      </c>
      <c r="AN410">
        <v>0</v>
      </c>
      <c r="AO410">
        <v>-0.22222222222222221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>
        <v>52650.039397300003</v>
      </c>
      <c r="AV410" t="s">
        <v>489</v>
      </c>
      <c r="AW410" t="str">
        <f t="shared" si="40"/>
        <v>n/a</v>
      </c>
      <c r="AY410" t="e">
        <f t="shared" si="41"/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>
        <v>9</v>
      </c>
      <c r="BF410">
        <v>2018</v>
      </c>
    </row>
    <row r="411" spans="1:58" x14ac:dyDescent="0.2">
      <c r="A411" s="7">
        <v>15</v>
      </c>
      <c r="B411" s="7">
        <v>34</v>
      </c>
      <c r="C411" s="7">
        <v>6</v>
      </c>
      <c r="D411" s="7">
        <v>6</v>
      </c>
      <c r="E411" s="7">
        <f t="shared" si="36"/>
        <v>61</v>
      </c>
      <c r="F411" s="11" t="s">
        <v>36</v>
      </c>
      <c r="G411">
        <v>14</v>
      </c>
      <c r="H411">
        <v>34</v>
      </c>
      <c r="I411">
        <v>3</v>
      </c>
      <c r="J411">
        <v>0</v>
      </c>
      <c r="K411">
        <f t="shared" si="37"/>
        <v>51</v>
      </c>
      <c r="L411" t="s">
        <v>36</v>
      </c>
      <c r="M411">
        <v>26721.534661019999</v>
      </c>
      <c r="N411" s="7">
        <v>20</v>
      </c>
      <c r="O411" s="7">
        <v>40</v>
      </c>
      <c r="P411" s="7">
        <v>9</v>
      </c>
      <c r="Q411" s="7">
        <v>24</v>
      </c>
      <c r="R411" s="7">
        <f t="shared" si="38"/>
        <v>93</v>
      </c>
      <c r="S411" t="s">
        <v>36</v>
      </c>
      <c r="T411" s="7">
        <v>15</v>
      </c>
      <c r="U411" s="7">
        <v>34</v>
      </c>
      <c r="V411" s="7">
        <v>6</v>
      </c>
      <c r="W411" s="7">
        <v>6</v>
      </c>
      <c r="X411" s="7">
        <f t="shared" si="39"/>
        <v>61</v>
      </c>
      <c r="Y411" t="s">
        <v>36</v>
      </c>
      <c r="Z411">
        <v>63388.937910740002</v>
      </c>
      <c r="AA411" t="s">
        <v>806</v>
      </c>
      <c r="AB411" t="e">
        <v>#N/A</v>
      </c>
      <c r="AF411">
        <v>242</v>
      </c>
      <c r="AG411" s="8">
        <v>41</v>
      </c>
      <c r="AH411">
        <v>-32</v>
      </c>
      <c r="AI411">
        <v>0</v>
      </c>
      <c r="AJ411">
        <v>-10</v>
      </c>
      <c r="AK411">
        <v>-0.78048780487804881</v>
      </c>
      <c r="AL411">
        <v>-4.9975603804353943</v>
      </c>
      <c r="AM411">
        <v>42</v>
      </c>
      <c r="AN411">
        <v>0</v>
      </c>
      <c r="AO411">
        <v>-0.34408602150537637</v>
      </c>
      <c r="AP411">
        <v>-0.52459016393442626</v>
      </c>
      <c r="AQ411">
        <v>9.8360655737704916E-2</v>
      </c>
      <c r="AR411">
        <v>0.24590163934426229</v>
      </c>
      <c r="AS411">
        <v>0.55737704918032782</v>
      </c>
      <c r="AT411">
        <v>9.8360655737704916E-2</v>
      </c>
      <c r="AU411">
        <v>90110.472571760009</v>
      </c>
      <c r="AV411" t="s">
        <v>489</v>
      </c>
      <c r="AW411" t="str">
        <f t="shared" si="40"/>
        <v>n/a</v>
      </c>
      <c r="AY411" t="e">
        <f t="shared" si="41"/>
        <v>#N/A</v>
      </c>
      <c r="AZ411" t="e">
        <v>#N/A</v>
      </c>
      <c r="BA411">
        <v>1</v>
      </c>
      <c r="BB411">
        <v>2018</v>
      </c>
      <c r="BC411">
        <v>9</v>
      </c>
      <c r="BD411">
        <v>2018</v>
      </c>
      <c r="BE411">
        <v>9</v>
      </c>
      <c r="BF411">
        <v>2018</v>
      </c>
    </row>
    <row r="412" spans="1:58" x14ac:dyDescent="0.2">
      <c r="A412" s="7">
        <v>13</v>
      </c>
      <c r="B412" s="7">
        <v>36</v>
      </c>
      <c r="C412" s="7">
        <v>1</v>
      </c>
      <c r="D412" s="7">
        <v>1</v>
      </c>
      <c r="E412" s="7">
        <f t="shared" si="36"/>
        <v>51</v>
      </c>
      <c r="F412" s="11" t="s">
        <v>39</v>
      </c>
      <c r="G412">
        <v>13</v>
      </c>
      <c r="H412">
        <v>36</v>
      </c>
      <c r="I412">
        <v>1</v>
      </c>
      <c r="J412">
        <v>1</v>
      </c>
      <c r="K412">
        <f t="shared" si="37"/>
        <v>51</v>
      </c>
      <c r="L412" t="s">
        <v>39</v>
      </c>
      <c r="M412">
        <v>11733.400174930001</v>
      </c>
      <c r="N412" s="7">
        <v>13</v>
      </c>
      <c r="O412" s="7">
        <v>36</v>
      </c>
      <c r="P412" s="7">
        <v>1</v>
      </c>
      <c r="Q412" s="7">
        <v>1</v>
      </c>
      <c r="R412" s="7">
        <f t="shared" si="38"/>
        <v>51</v>
      </c>
      <c r="S412" t="s">
        <v>39</v>
      </c>
      <c r="T412" s="7">
        <v>20</v>
      </c>
      <c r="U412" s="7">
        <v>40</v>
      </c>
      <c r="V412" s="7">
        <v>10</v>
      </c>
      <c r="W412" s="7">
        <v>29</v>
      </c>
      <c r="X412" s="7">
        <f t="shared" si="39"/>
        <v>99</v>
      </c>
      <c r="Y412" t="s">
        <v>36</v>
      </c>
      <c r="Z412">
        <v>14829.43062483</v>
      </c>
      <c r="AA412" t="s">
        <v>807</v>
      </c>
      <c r="AB412" t="e">
        <v>#N/A</v>
      </c>
      <c r="AF412">
        <v>73</v>
      </c>
      <c r="AG412" s="8">
        <v>35</v>
      </c>
      <c r="AH412">
        <v>48</v>
      </c>
      <c r="AI412">
        <v>48</v>
      </c>
      <c r="AJ412">
        <v>0</v>
      </c>
      <c r="AK412">
        <v>1.3714285714285714</v>
      </c>
      <c r="AL412">
        <v>8.1134808453937595</v>
      </c>
      <c r="AM412">
        <v>0</v>
      </c>
      <c r="AN412">
        <v>0</v>
      </c>
      <c r="AO412">
        <v>0.94117647058823528</v>
      </c>
      <c r="AP412">
        <v>0.94117647058823528</v>
      </c>
      <c r="AQ412">
        <v>1.9607843137254902E-2</v>
      </c>
      <c r="AR412">
        <v>0.25490196078431371</v>
      </c>
      <c r="AS412">
        <v>0.70588235294117652</v>
      </c>
      <c r="AT412">
        <v>1.9607843137254902E-2</v>
      </c>
      <c r="AU412">
        <v>26562.830799759999</v>
      </c>
      <c r="AV412" t="s">
        <v>489</v>
      </c>
      <c r="AW412" t="str">
        <f t="shared" si="40"/>
        <v>n/a</v>
      </c>
      <c r="AY412" t="e">
        <f t="shared" si="41"/>
        <v>#N/A</v>
      </c>
      <c r="AZ412" t="e">
        <v>#N/A</v>
      </c>
      <c r="BA412">
        <v>3</v>
      </c>
      <c r="BB412">
        <v>2018</v>
      </c>
      <c r="BC412">
        <v>5</v>
      </c>
      <c r="BD412">
        <v>2018</v>
      </c>
      <c r="BE412">
        <v>5</v>
      </c>
      <c r="BF412">
        <v>2018</v>
      </c>
    </row>
    <row r="413" spans="1:58" x14ac:dyDescent="0.2">
      <c r="A413" s="7">
        <v>0</v>
      </c>
      <c r="B413" s="7">
        <v>0</v>
      </c>
      <c r="C413" s="7">
        <v>0</v>
      </c>
      <c r="D413" s="7">
        <v>0</v>
      </c>
      <c r="E413" s="7">
        <f t="shared" si="36"/>
        <v>0</v>
      </c>
      <c r="F413" s="11" t="e">
        <v>#N/A</v>
      </c>
      <c r="G413">
        <v>0</v>
      </c>
      <c r="H413">
        <v>0</v>
      </c>
      <c r="I413">
        <v>0</v>
      </c>
      <c r="J413">
        <v>0</v>
      </c>
      <c r="K413">
        <f t="shared" si="37"/>
        <v>0</v>
      </c>
      <c r="L413" t="e">
        <v>#N/A</v>
      </c>
      <c r="N413" s="7">
        <v>9</v>
      </c>
      <c r="O413" s="7">
        <v>26</v>
      </c>
      <c r="P413" s="7">
        <v>2</v>
      </c>
      <c r="Q413" s="7">
        <v>3</v>
      </c>
      <c r="R413" s="7">
        <f t="shared" si="38"/>
        <v>40</v>
      </c>
      <c r="S413" t="s">
        <v>36</v>
      </c>
      <c r="T413" s="7">
        <v>16</v>
      </c>
      <c r="U413" s="7">
        <v>30</v>
      </c>
      <c r="V413" s="7">
        <v>9</v>
      </c>
      <c r="W413" s="7">
        <v>7</v>
      </c>
      <c r="X413" s="7">
        <f t="shared" si="39"/>
        <v>62</v>
      </c>
      <c r="Y413" t="s">
        <v>36</v>
      </c>
      <c r="Z413">
        <v>107113.81044112</v>
      </c>
      <c r="AA413" t="s">
        <v>808</v>
      </c>
      <c r="AB413">
        <v>77</v>
      </c>
      <c r="AC413">
        <v>0</v>
      </c>
      <c r="AD413" t="s">
        <v>131</v>
      </c>
      <c r="AE413" t="s">
        <v>41</v>
      </c>
      <c r="AF413" t="e">
        <v>#N/A</v>
      </c>
      <c r="AG413" s="8">
        <v>141</v>
      </c>
      <c r="AH413">
        <v>22</v>
      </c>
      <c r="AI413">
        <v>62</v>
      </c>
      <c r="AJ413">
        <v>0</v>
      </c>
      <c r="AK413">
        <v>0.15602836879432624</v>
      </c>
      <c r="AL413">
        <v>1.8527342263463418</v>
      </c>
      <c r="AM413">
        <v>40</v>
      </c>
      <c r="AN413">
        <v>0</v>
      </c>
      <c r="AO413">
        <v>0.55000000000000004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>
        <v>107113.81044112</v>
      </c>
      <c r="AV413">
        <v>7</v>
      </c>
      <c r="AW413">
        <f t="shared" si="40"/>
        <v>0</v>
      </c>
      <c r="AX413">
        <v>0</v>
      </c>
      <c r="AY413">
        <f t="shared" si="41"/>
        <v>0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>
        <v>1</v>
      </c>
      <c r="BF413">
        <v>2019</v>
      </c>
    </row>
    <row r="414" spans="1:58" x14ac:dyDescent="0.2">
      <c r="A414" s="7">
        <v>10</v>
      </c>
      <c r="B414" s="7">
        <v>10</v>
      </c>
      <c r="C414" s="7">
        <v>0</v>
      </c>
      <c r="D414" s="7">
        <v>5</v>
      </c>
      <c r="E414" s="7">
        <f t="shared" si="36"/>
        <v>25</v>
      </c>
      <c r="F414" s="11" t="s">
        <v>36</v>
      </c>
      <c r="G414">
        <v>7</v>
      </c>
      <c r="H414">
        <v>10</v>
      </c>
      <c r="I414">
        <v>0</v>
      </c>
      <c r="J414">
        <v>0</v>
      </c>
      <c r="K414">
        <f t="shared" si="37"/>
        <v>17</v>
      </c>
      <c r="L414" t="s">
        <v>36</v>
      </c>
      <c r="M414">
        <v>23491.692730039998</v>
      </c>
      <c r="N414" s="7">
        <v>10</v>
      </c>
      <c r="O414" s="7">
        <v>10</v>
      </c>
      <c r="P414" s="7">
        <v>0</v>
      </c>
      <c r="Q414" s="7">
        <v>5</v>
      </c>
      <c r="R414" s="7">
        <f t="shared" si="38"/>
        <v>25</v>
      </c>
      <c r="S414" t="s">
        <v>36</v>
      </c>
      <c r="T414" s="7">
        <v>20</v>
      </c>
      <c r="U414" s="7">
        <v>35</v>
      </c>
      <c r="V414" s="7">
        <v>9</v>
      </c>
      <c r="W414" s="7">
        <v>7</v>
      </c>
      <c r="X414" s="7">
        <f t="shared" si="39"/>
        <v>71</v>
      </c>
      <c r="Y414" t="s">
        <v>36</v>
      </c>
      <c r="Z414">
        <v>99706.281555349997</v>
      </c>
      <c r="AA414" t="s">
        <v>809</v>
      </c>
      <c r="AB414" t="e">
        <v>#N/A</v>
      </c>
      <c r="AF414">
        <v>108</v>
      </c>
      <c r="AG414" s="8">
        <v>86</v>
      </c>
      <c r="AH414">
        <v>46</v>
      </c>
      <c r="AI414">
        <v>46</v>
      </c>
      <c r="AJ414">
        <v>-8</v>
      </c>
      <c r="AK414">
        <v>0.53488372093023251</v>
      </c>
      <c r="AL414">
        <v>4.9603075673581669</v>
      </c>
      <c r="AM414">
        <v>8</v>
      </c>
      <c r="AN414">
        <v>0</v>
      </c>
      <c r="AO414">
        <v>1.84</v>
      </c>
      <c r="AP414">
        <v>1.84</v>
      </c>
      <c r="AQ414">
        <v>0.2</v>
      </c>
      <c r="AR414">
        <v>0.4</v>
      </c>
      <c r="AS414">
        <v>0.4</v>
      </c>
      <c r="AT414">
        <v>0</v>
      </c>
      <c r="AU414">
        <v>123197.97428539</v>
      </c>
      <c r="AV414" t="s">
        <v>489</v>
      </c>
      <c r="AW414" t="str">
        <f t="shared" si="40"/>
        <v>n/a</v>
      </c>
      <c r="AY414" t="e">
        <f t="shared" si="41"/>
        <v>#N/A</v>
      </c>
      <c r="AZ414" t="e">
        <v>#N/A</v>
      </c>
      <c r="BA414">
        <v>1</v>
      </c>
      <c r="BB414">
        <v>2018</v>
      </c>
      <c r="BC414">
        <v>4</v>
      </c>
      <c r="BD414">
        <v>2018</v>
      </c>
      <c r="BE414">
        <v>5</v>
      </c>
      <c r="BF414">
        <v>2018</v>
      </c>
    </row>
    <row r="415" spans="1:58" x14ac:dyDescent="0.2">
      <c r="A415" s="7">
        <v>0</v>
      </c>
      <c r="B415" s="7">
        <v>0</v>
      </c>
      <c r="C415" s="7">
        <v>0</v>
      </c>
      <c r="D415" s="7">
        <v>0</v>
      </c>
      <c r="E415" s="7">
        <f t="shared" si="36"/>
        <v>0</v>
      </c>
      <c r="F415" s="11" t="s">
        <v>52</v>
      </c>
      <c r="G415">
        <v>0</v>
      </c>
      <c r="H415">
        <v>2</v>
      </c>
      <c r="I415">
        <v>0</v>
      </c>
      <c r="J415">
        <v>0</v>
      </c>
      <c r="K415">
        <f t="shared" si="37"/>
        <v>2</v>
      </c>
      <c r="L415" t="s">
        <v>52</v>
      </c>
      <c r="M415">
        <v>54795.751097189997</v>
      </c>
      <c r="N415" s="7">
        <v>0</v>
      </c>
      <c r="O415" s="7">
        <v>2</v>
      </c>
      <c r="P415" s="7">
        <v>0</v>
      </c>
      <c r="Q415" s="7">
        <v>0</v>
      </c>
      <c r="R415" s="7">
        <f t="shared" si="38"/>
        <v>2</v>
      </c>
      <c r="S415" t="s">
        <v>52</v>
      </c>
      <c r="T415" s="7">
        <v>0</v>
      </c>
      <c r="U415" s="7">
        <v>7</v>
      </c>
      <c r="V415" s="7">
        <v>0</v>
      </c>
      <c r="W415" s="7">
        <v>0</v>
      </c>
      <c r="X415" s="7">
        <f t="shared" si="39"/>
        <v>7</v>
      </c>
      <c r="Y415" t="s">
        <v>80</v>
      </c>
      <c r="Z415">
        <v>154569.03243309999</v>
      </c>
      <c r="AA415" t="s">
        <v>810</v>
      </c>
      <c r="AB415" t="e">
        <v>#N/A</v>
      </c>
      <c r="AF415" t="e">
        <v>#N/A</v>
      </c>
      <c r="AG415" s="8">
        <v>123</v>
      </c>
      <c r="AH415">
        <v>5</v>
      </c>
      <c r="AI415">
        <v>7</v>
      </c>
      <c r="AJ415">
        <v>2</v>
      </c>
      <c r="AK415">
        <v>4.065040650406504E-2</v>
      </c>
      <c r="AL415">
        <v>0.45083481733371611</v>
      </c>
      <c r="AM415">
        <v>0</v>
      </c>
      <c r="AN415">
        <v>0</v>
      </c>
      <c r="AO415">
        <v>2.5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>
        <v>209364.78353028998</v>
      </c>
      <c r="AV415" t="s">
        <v>489</v>
      </c>
      <c r="AW415" t="str">
        <f t="shared" si="40"/>
        <v>n/a</v>
      </c>
      <c r="AY415" t="e">
        <f t="shared" si="41"/>
        <v>#N/A</v>
      </c>
      <c r="AZ415" t="e">
        <v>#N/A</v>
      </c>
      <c r="BA415">
        <v>1</v>
      </c>
      <c r="BB415">
        <v>2018</v>
      </c>
      <c r="BC415">
        <v>1</v>
      </c>
      <c r="BD415">
        <v>2018</v>
      </c>
      <c r="BE415">
        <v>6</v>
      </c>
      <c r="BF415">
        <v>2018</v>
      </c>
    </row>
    <row r="416" spans="1:58" x14ac:dyDescent="0.2">
      <c r="A416" s="7">
        <v>0</v>
      </c>
      <c r="B416" s="7">
        <v>0</v>
      </c>
      <c r="C416" s="7">
        <v>0</v>
      </c>
      <c r="D416" s="7">
        <v>0</v>
      </c>
      <c r="E416" s="7">
        <f t="shared" si="36"/>
        <v>0</v>
      </c>
      <c r="F416" s="11" t="e">
        <v>#N/A</v>
      </c>
      <c r="G416">
        <v>0</v>
      </c>
      <c r="H416">
        <v>0</v>
      </c>
      <c r="I416">
        <v>0</v>
      </c>
      <c r="J416">
        <v>0</v>
      </c>
      <c r="K416">
        <f t="shared" si="37"/>
        <v>0</v>
      </c>
      <c r="L416" t="e">
        <v>#N/A</v>
      </c>
      <c r="N416" s="7">
        <v>1</v>
      </c>
      <c r="O416" s="7">
        <v>2</v>
      </c>
      <c r="P416" s="7">
        <v>0</v>
      </c>
      <c r="Q416" s="7">
        <v>0</v>
      </c>
      <c r="R416" s="7">
        <f t="shared" si="38"/>
        <v>3</v>
      </c>
      <c r="S416" t="s">
        <v>38</v>
      </c>
      <c r="T416" s="7">
        <v>6</v>
      </c>
      <c r="U416" s="7">
        <v>10</v>
      </c>
      <c r="V416" s="7">
        <v>7</v>
      </c>
      <c r="W416" s="7">
        <v>11</v>
      </c>
      <c r="X416" s="7">
        <f t="shared" si="39"/>
        <v>34</v>
      </c>
      <c r="Y416" t="s">
        <v>38</v>
      </c>
      <c r="Z416">
        <v>120433.49804632</v>
      </c>
      <c r="AA416" t="s">
        <v>811</v>
      </c>
      <c r="AB416" t="e">
        <v>#N/A</v>
      </c>
      <c r="AF416" t="e">
        <v>#N/A</v>
      </c>
      <c r="AG416" s="8">
        <v>131</v>
      </c>
      <c r="AH416">
        <v>31</v>
      </c>
      <c r="AI416">
        <v>34</v>
      </c>
      <c r="AJ416">
        <v>0</v>
      </c>
      <c r="AK416">
        <v>0.23664122137404581</v>
      </c>
      <c r="AL416">
        <v>2.7084825756492177</v>
      </c>
      <c r="AM416">
        <v>3</v>
      </c>
      <c r="AN416">
        <v>0</v>
      </c>
      <c r="AO416">
        <v>10.333333333333334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>
        <v>120433.49804632</v>
      </c>
      <c r="AV416" t="s">
        <v>489</v>
      </c>
      <c r="AW416" t="str">
        <f t="shared" si="40"/>
        <v>n/a</v>
      </c>
      <c r="AY416" t="e">
        <f t="shared" si="41"/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>
        <v>6</v>
      </c>
      <c r="BF416">
        <v>2018</v>
      </c>
    </row>
    <row r="417" spans="1:58" x14ac:dyDescent="0.2">
      <c r="A417" s="7">
        <v>8</v>
      </c>
      <c r="B417" s="7">
        <v>34</v>
      </c>
      <c r="C417" s="7">
        <v>9</v>
      </c>
      <c r="D417" s="7">
        <v>24</v>
      </c>
      <c r="E417" s="7">
        <f t="shared" si="36"/>
        <v>75</v>
      </c>
      <c r="F417" s="11" t="s">
        <v>36</v>
      </c>
      <c r="G417">
        <v>9</v>
      </c>
      <c r="H417">
        <v>34</v>
      </c>
      <c r="I417">
        <v>9</v>
      </c>
      <c r="J417">
        <v>29</v>
      </c>
      <c r="K417">
        <f t="shared" si="37"/>
        <v>81</v>
      </c>
      <c r="L417" t="s">
        <v>36</v>
      </c>
      <c r="M417">
        <v>19405.068559089999</v>
      </c>
      <c r="N417" s="7">
        <v>9</v>
      </c>
      <c r="O417" s="7">
        <v>34</v>
      </c>
      <c r="P417" s="7">
        <v>9</v>
      </c>
      <c r="Q417" s="7">
        <v>29</v>
      </c>
      <c r="R417" s="7">
        <f t="shared" si="38"/>
        <v>81</v>
      </c>
      <c r="S417" t="s">
        <v>36</v>
      </c>
      <c r="T417" s="7">
        <v>17</v>
      </c>
      <c r="U417" s="7">
        <v>40</v>
      </c>
      <c r="V417" s="7">
        <v>9</v>
      </c>
      <c r="W417" s="7">
        <v>29</v>
      </c>
      <c r="X417" s="7">
        <f t="shared" si="39"/>
        <v>95</v>
      </c>
      <c r="Y417" t="s">
        <v>36</v>
      </c>
      <c r="Z417">
        <v>42354.209093220001</v>
      </c>
      <c r="AA417" t="s">
        <v>812</v>
      </c>
      <c r="AB417" t="e">
        <v>#N/A</v>
      </c>
      <c r="AF417">
        <v>20</v>
      </c>
      <c r="AG417" s="8">
        <v>63</v>
      </c>
      <c r="AH417">
        <v>14</v>
      </c>
      <c r="AI417">
        <v>20</v>
      </c>
      <c r="AJ417">
        <v>6</v>
      </c>
      <c r="AK417">
        <v>0.22222222222222221</v>
      </c>
      <c r="AL417">
        <v>1.7638342073763937</v>
      </c>
      <c r="AM417">
        <v>0</v>
      </c>
      <c r="AN417">
        <v>0</v>
      </c>
      <c r="AO417">
        <v>0.1728395061728395</v>
      </c>
      <c r="AP417">
        <v>0.18666666666666668</v>
      </c>
      <c r="AQ417">
        <v>0.32</v>
      </c>
      <c r="AR417">
        <v>0.10666666666666667</v>
      </c>
      <c r="AS417">
        <v>0.45333333333333331</v>
      </c>
      <c r="AT417">
        <v>0.12</v>
      </c>
      <c r="AU417">
        <v>61759.277652310004</v>
      </c>
      <c r="AV417" t="s">
        <v>489</v>
      </c>
      <c r="AW417" t="str">
        <f t="shared" si="40"/>
        <v>n/a</v>
      </c>
      <c r="AY417" t="e">
        <f t="shared" si="41"/>
        <v>#N/A</v>
      </c>
      <c r="AZ417" t="e">
        <v>#N/A</v>
      </c>
      <c r="BA417">
        <v>5</v>
      </c>
      <c r="BB417">
        <v>2018</v>
      </c>
      <c r="BC417">
        <v>6</v>
      </c>
      <c r="BD417">
        <v>2018</v>
      </c>
      <c r="BE417">
        <v>6</v>
      </c>
      <c r="BF417">
        <v>2018</v>
      </c>
    </row>
    <row r="418" spans="1:58" x14ac:dyDescent="0.2">
      <c r="A418" s="7">
        <v>10</v>
      </c>
      <c r="B418" s="7">
        <v>10</v>
      </c>
      <c r="C418" s="7">
        <v>0</v>
      </c>
      <c r="D418" s="7">
        <v>0</v>
      </c>
      <c r="E418" s="7">
        <f t="shared" si="36"/>
        <v>20</v>
      </c>
      <c r="F418" s="11" t="s">
        <v>36</v>
      </c>
      <c r="G418">
        <v>10</v>
      </c>
      <c r="H418">
        <v>10</v>
      </c>
      <c r="I418">
        <v>0</v>
      </c>
      <c r="J418">
        <v>0</v>
      </c>
      <c r="K418">
        <f t="shared" si="37"/>
        <v>20</v>
      </c>
      <c r="L418" t="s">
        <v>36</v>
      </c>
      <c r="M418">
        <v>16617.175237200001</v>
      </c>
      <c r="N418" s="7">
        <v>10</v>
      </c>
      <c r="O418" s="7">
        <v>10</v>
      </c>
      <c r="P418" s="7">
        <v>0</v>
      </c>
      <c r="Q418" s="7">
        <v>0</v>
      </c>
      <c r="R418" s="7">
        <f t="shared" si="38"/>
        <v>20</v>
      </c>
      <c r="S418" t="s">
        <v>36</v>
      </c>
      <c r="T418" s="7">
        <v>19</v>
      </c>
      <c r="U418" s="7">
        <v>37</v>
      </c>
      <c r="V418" s="7">
        <v>10</v>
      </c>
      <c r="W418" s="7">
        <v>8</v>
      </c>
      <c r="X418" s="7">
        <f t="shared" si="39"/>
        <v>74</v>
      </c>
      <c r="Y418" t="s">
        <v>36</v>
      </c>
      <c r="Z418">
        <v>93192.536447650011</v>
      </c>
      <c r="AA418" t="s">
        <v>813</v>
      </c>
      <c r="AB418" t="e">
        <v>#N/A</v>
      </c>
      <c r="AF418">
        <v>100</v>
      </c>
      <c r="AG418" s="8">
        <v>182</v>
      </c>
      <c r="AH418">
        <v>54</v>
      </c>
      <c r="AI418">
        <v>54</v>
      </c>
      <c r="AJ418">
        <v>0</v>
      </c>
      <c r="AK418">
        <v>0.2967032967032967</v>
      </c>
      <c r="AL418">
        <v>4.0027463099699467</v>
      </c>
      <c r="AM418">
        <v>0</v>
      </c>
      <c r="AN418">
        <v>0</v>
      </c>
      <c r="AO418">
        <v>2.7</v>
      </c>
      <c r="AP418">
        <v>2.7</v>
      </c>
      <c r="AQ418">
        <v>0</v>
      </c>
      <c r="AR418">
        <v>0.5</v>
      </c>
      <c r="AS418">
        <v>0.5</v>
      </c>
      <c r="AT418">
        <v>0</v>
      </c>
      <c r="AU418">
        <v>109809.71168485002</v>
      </c>
      <c r="AV418" t="s">
        <v>489</v>
      </c>
      <c r="AW418" t="str">
        <f t="shared" si="40"/>
        <v>n/a</v>
      </c>
      <c r="AY418" t="e">
        <f t="shared" si="41"/>
        <v>#N/A</v>
      </c>
      <c r="AZ418" t="e">
        <v>#N/A</v>
      </c>
      <c r="BA418">
        <v>2</v>
      </c>
      <c r="BB418">
        <v>2018</v>
      </c>
      <c r="BC418">
        <v>5</v>
      </c>
      <c r="BD418">
        <v>2018</v>
      </c>
      <c r="BE418">
        <v>5</v>
      </c>
      <c r="BF418">
        <v>2018</v>
      </c>
    </row>
    <row r="419" spans="1:58" x14ac:dyDescent="0.2">
      <c r="A419" s="7">
        <v>11</v>
      </c>
      <c r="B419" s="7">
        <v>27</v>
      </c>
      <c r="C419" s="7">
        <v>4</v>
      </c>
      <c r="D419" s="7">
        <v>0</v>
      </c>
      <c r="E419" s="7">
        <f t="shared" si="36"/>
        <v>42</v>
      </c>
      <c r="F419" s="11" t="s">
        <v>36</v>
      </c>
      <c r="G419">
        <v>11</v>
      </c>
      <c r="H419">
        <v>27</v>
      </c>
      <c r="I419">
        <v>4</v>
      </c>
      <c r="J419">
        <v>0</v>
      </c>
      <c r="K419">
        <f t="shared" si="37"/>
        <v>42</v>
      </c>
      <c r="L419" t="s">
        <v>36</v>
      </c>
      <c r="M419">
        <v>22046.254254219999</v>
      </c>
      <c r="N419" s="7">
        <v>11</v>
      </c>
      <c r="O419" s="7">
        <v>27</v>
      </c>
      <c r="P419" s="7">
        <v>5</v>
      </c>
      <c r="Q419" s="7">
        <v>3</v>
      </c>
      <c r="R419" s="7">
        <f t="shared" si="38"/>
        <v>46</v>
      </c>
      <c r="S419" t="s">
        <v>36</v>
      </c>
      <c r="T419" s="7">
        <v>20</v>
      </c>
      <c r="U419" s="7">
        <v>36</v>
      </c>
      <c r="V419" s="7">
        <v>10</v>
      </c>
      <c r="W419" s="7">
        <v>30</v>
      </c>
      <c r="X419" s="7">
        <f t="shared" si="39"/>
        <v>96</v>
      </c>
      <c r="Y419" t="s">
        <v>36</v>
      </c>
      <c r="Z419">
        <v>98173.206218309992</v>
      </c>
      <c r="AA419" t="s">
        <v>814</v>
      </c>
      <c r="AB419" t="e">
        <v>#N/A</v>
      </c>
      <c r="AF419" t="e">
        <v>#N/A</v>
      </c>
      <c r="AG419" s="8">
        <v>319</v>
      </c>
      <c r="AH419">
        <v>50</v>
      </c>
      <c r="AI419">
        <v>54</v>
      </c>
      <c r="AJ419">
        <v>0</v>
      </c>
      <c r="AK419">
        <v>0.15673981191222572</v>
      </c>
      <c r="AL419">
        <v>2.7994625547792715</v>
      </c>
      <c r="AM419">
        <v>4</v>
      </c>
      <c r="AN419">
        <v>0</v>
      </c>
      <c r="AO419">
        <v>1.0869565217391304</v>
      </c>
      <c r="AP419">
        <v>1.1904761904761905</v>
      </c>
      <c r="AQ419">
        <v>0</v>
      </c>
      <c r="AR419">
        <v>0.26190476190476192</v>
      </c>
      <c r="AS419">
        <v>0.6428571428571429</v>
      </c>
      <c r="AT419">
        <v>9.5238095238095233E-2</v>
      </c>
      <c r="AU419">
        <v>120219.46047252999</v>
      </c>
      <c r="AV419" t="s">
        <v>489</v>
      </c>
      <c r="AW419" t="str">
        <f t="shared" si="40"/>
        <v>n/a</v>
      </c>
      <c r="AY419" t="e">
        <f t="shared" si="41"/>
        <v>#N/A</v>
      </c>
      <c r="AZ419" t="e">
        <v>#N/A</v>
      </c>
      <c r="BA419">
        <v>3</v>
      </c>
      <c r="BB419">
        <v>2018</v>
      </c>
      <c r="BC419">
        <v>3</v>
      </c>
      <c r="BD419">
        <v>2018</v>
      </c>
      <c r="BE419">
        <v>1</v>
      </c>
      <c r="BF419">
        <v>2018</v>
      </c>
    </row>
    <row r="420" spans="1:58" x14ac:dyDescent="0.2">
      <c r="A420" s="7">
        <v>18</v>
      </c>
      <c r="B420" s="7">
        <v>25</v>
      </c>
      <c r="C420" s="7">
        <v>9</v>
      </c>
      <c r="D420" s="7">
        <v>20</v>
      </c>
      <c r="E420" s="7">
        <f t="shared" si="36"/>
        <v>72</v>
      </c>
      <c r="F420" s="11" t="s">
        <v>36</v>
      </c>
      <c r="G420">
        <v>18</v>
      </c>
      <c r="H420">
        <v>14</v>
      </c>
      <c r="I420">
        <v>9</v>
      </c>
      <c r="J420">
        <v>12</v>
      </c>
      <c r="K420">
        <f t="shared" si="37"/>
        <v>53</v>
      </c>
      <c r="L420" t="s">
        <v>36</v>
      </c>
      <c r="M420">
        <v>8636.5375124500006</v>
      </c>
      <c r="N420" s="7">
        <v>18</v>
      </c>
      <c r="O420" s="7">
        <v>25</v>
      </c>
      <c r="P420" s="7">
        <v>9</v>
      </c>
      <c r="Q420" s="7">
        <v>20</v>
      </c>
      <c r="R420" s="7">
        <f t="shared" si="38"/>
        <v>72</v>
      </c>
      <c r="S420" t="s">
        <v>36</v>
      </c>
      <c r="T420" s="7">
        <v>20</v>
      </c>
      <c r="U420" s="7">
        <v>36</v>
      </c>
      <c r="V420" s="7">
        <v>9</v>
      </c>
      <c r="W420" s="7">
        <v>20</v>
      </c>
      <c r="X420" s="7">
        <f t="shared" si="39"/>
        <v>85</v>
      </c>
      <c r="Y420" t="e">
        <v>#N/A</v>
      </c>
      <c r="Z420">
        <v>31467.67657784</v>
      </c>
      <c r="AA420" t="s">
        <v>815</v>
      </c>
      <c r="AB420" t="e">
        <v>#N/A</v>
      </c>
      <c r="AF420">
        <v>132</v>
      </c>
      <c r="AG420" s="8">
        <v>72</v>
      </c>
      <c r="AH420">
        <v>13</v>
      </c>
      <c r="AI420">
        <v>13</v>
      </c>
      <c r="AJ420">
        <v>-19</v>
      </c>
      <c r="AK420">
        <v>0.18055555555555555</v>
      </c>
      <c r="AL420">
        <v>1.5320646925708532</v>
      </c>
      <c r="AM420">
        <v>19</v>
      </c>
      <c r="AN420">
        <v>0</v>
      </c>
      <c r="AO420">
        <v>0.18055555555555555</v>
      </c>
      <c r="AP420">
        <v>0.18055555555555555</v>
      </c>
      <c r="AQ420">
        <v>0.27777777777777779</v>
      </c>
      <c r="AR420">
        <v>0.25</v>
      </c>
      <c r="AS420">
        <v>0.34722222222222221</v>
      </c>
      <c r="AT420">
        <v>0.125</v>
      </c>
      <c r="AU420">
        <v>40104.214090289999</v>
      </c>
      <c r="AV420" t="s">
        <v>489</v>
      </c>
      <c r="AW420" t="str">
        <f t="shared" si="40"/>
        <v>n/a</v>
      </c>
      <c r="AY420" t="e">
        <f t="shared" si="41"/>
        <v>#N/A</v>
      </c>
      <c r="AZ420" t="e">
        <v>#N/A</v>
      </c>
      <c r="BA420">
        <v>1</v>
      </c>
      <c r="BB420">
        <v>2018</v>
      </c>
      <c r="BC420">
        <v>5</v>
      </c>
      <c r="BD420">
        <v>2018</v>
      </c>
      <c r="BE420">
        <v>6</v>
      </c>
      <c r="BF420">
        <v>2018</v>
      </c>
    </row>
    <row r="421" spans="1:58" x14ac:dyDescent="0.2">
      <c r="A421" s="7">
        <v>3</v>
      </c>
      <c r="B421" s="7">
        <v>35</v>
      </c>
      <c r="C421" s="7">
        <v>7</v>
      </c>
      <c r="D421" s="7">
        <v>30</v>
      </c>
      <c r="E421" s="7">
        <f t="shared" si="36"/>
        <v>75</v>
      </c>
      <c r="F421" s="11" t="s">
        <v>42</v>
      </c>
      <c r="G421">
        <v>0</v>
      </c>
      <c r="H421">
        <v>35</v>
      </c>
      <c r="I421">
        <v>9</v>
      </c>
      <c r="J421">
        <v>30</v>
      </c>
      <c r="K421">
        <f t="shared" si="37"/>
        <v>74</v>
      </c>
      <c r="L421" t="s">
        <v>42</v>
      </c>
      <c r="M421">
        <v>13874.25023424</v>
      </c>
      <c r="N421" s="7">
        <v>0</v>
      </c>
      <c r="O421" s="7">
        <v>35</v>
      </c>
      <c r="P421" s="7">
        <v>10</v>
      </c>
      <c r="Q421" s="7">
        <v>30</v>
      </c>
      <c r="R421" s="7">
        <f t="shared" si="38"/>
        <v>75</v>
      </c>
      <c r="S421" t="s">
        <v>42</v>
      </c>
      <c r="T421" s="7">
        <v>7</v>
      </c>
      <c r="U421" s="7">
        <v>37</v>
      </c>
      <c r="V421" s="7">
        <v>10</v>
      </c>
      <c r="W421" s="7">
        <v>30</v>
      </c>
      <c r="X421" s="7">
        <f t="shared" si="39"/>
        <v>84</v>
      </c>
      <c r="Y421" t="e">
        <v>#N/A</v>
      </c>
      <c r="Z421">
        <v>25466.339100000001</v>
      </c>
      <c r="AA421" t="s">
        <v>816</v>
      </c>
      <c r="AB421" t="e">
        <v>#N/A</v>
      </c>
      <c r="AF421">
        <v>9</v>
      </c>
      <c r="AG421" s="8">
        <v>60</v>
      </c>
      <c r="AH421">
        <v>9</v>
      </c>
      <c r="AI421">
        <v>9</v>
      </c>
      <c r="AJ421">
        <v>-1</v>
      </c>
      <c r="AK421">
        <v>0.15</v>
      </c>
      <c r="AL421">
        <v>1.1618950038622251</v>
      </c>
      <c r="AM421">
        <v>1</v>
      </c>
      <c r="AN421">
        <v>0</v>
      </c>
      <c r="AO421">
        <v>0.12</v>
      </c>
      <c r="AP421">
        <v>0.12</v>
      </c>
      <c r="AQ421">
        <v>0.4</v>
      </c>
      <c r="AR421">
        <v>0.04</v>
      </c>
      <c r="AS421">
        <v>0.46666666666666667</v>
      </c>
      <c r="AT421">
        <v>9.3333333333333338E-2</v>
      </c>
      <c r="AU421">
        <v>39340.589334240001</v>
      </c>
      <c r="AV421" t="s">
        <v>489</v>
      </c>
      <c r="AW421" t="str">
        <f t="shared" si="40"/>
        <v>n/a</v>
      </c>
      <c r="AY421" t="e">
        <f t="shared" si="41"/>
        <v>#N/A</v>
      </c>
      <c r="AZ421" t="e">
        <v>#N/A</v>
      </c>
      <c r="BA421">
        <v>8</v>
      </c>
      <c r="BB421">
        <v>2018</v>
      </c>
      <c r="BC421">
        <v>8</v>
      </c>
      <c r="BD421">
        <v>2018</v>
      </c>
      <c r="BE421">
        <v>1</v>
      </c>
      <c r="BF421">
        <v>2018</v>
      </c>
    </row>
    <row r="422" spans="1:58" x14ac:dyDescent="0.2">
      <c r="A422" s="7">
        <v>8</v>
      </c>
      <c r="B422" s="7">
        <v>10</v>
      </c>
      <c r="C422" s="7">
        <v>0</v>
      </c>
      <c r="D422" s="7">
        <v>0</v>
      </c>
      <c r="E422" s="7">
        <f t="shared" si="36"/>
        <v>18</v>
      </c>
      <c r="F422" s="11" t="s">
        <v>42</v>
      </c>
      <c r="G422">
        <v>8</v>
      </c>
      <c r="H422">
        <v>10</v>
      </c>
      <c r="I422">
        <v>0</v>
      </c>
      <c r="J422">
        <v>0</v>
      </c>
      <c r="K422">
        <f t="shared" si="37"/>
        <v>18</v>
      </c>
      <c r="L422" t="s">
        <v>42</v>
      </c>
      <c r="M422">
        <v>22454.83318578</v>
      </c>
      <c r="N422" s="7">
        <v>19</v>
      </c>
      <c r="O422" s="7">
        <v>35</v>
      </c>
      <c r="P422" s="7">
        <v>7</v>
      </c>
      <c r="Q422" s="7">
        <v>7</v>
      </c>
      <c r="R422" s="7">
        <f t="shared" si="38"/>
        <v>68</v>
      </c>
      <c r="S422" t="s">
        <v>42</v>
      </c>
      <c r="T422" s="7">
        <v>8</v>
      </c>
      <c r="U422" s="7">
        <v>10</v>
      </c>
      <c r="V422" s="7">
        <v>0</v>
      </c>
      <c r="W422" s="7">
        <v>0</v>
      </c>
      <c r="X422" s="7">
        <f t="shared" si="39"/>
        <v>18</v>
      </c>
      <c r="Y422" t="s">
        <v>42</v>
      </c>
      <c r="Z422">
        <v>112238.31113736</v>
      </c>
      <c r="AA422" t="s">
        <v>817</v>
      </c>
      <c r="AB422" t="e">
        <v>#N/A</v>
      </c>
      <c r="AF422">
        <v>16</v>
      </c>
      <c r="AG422" s="8">
        <v>160</v>
      </c>
      <c r="AH422">
        <v>-50</v>
      </c>
      <c r="AI422">
        <v>0</v>
      </c>
      <c r="AJ422">
        <v>0</v>
      </c>
      <c r="AK422">
        <v>-0.3125</v>
      </c>
      <c r="AL422">
        <v>-3.9528470752104741</v>
      </c>
      <c r="AM422">
        <v>50</v>
      </c>
      <c r="AN422">
        <v>0</v>
      </c>
      <c r="AO422">
        <v>-0.73529411764705888</v>
      </c>
      <c r="AP422">
        <v>-2.7777777777777777</v>
      </c>
      <c r="AQ422">
        <v>0</v>
      </c>
      <c r="AR422">
        <v>0.44444444444444442</v>
      </c>
      <c r="AS422">
        <v>0.55555555555555558</v>
      </c>
      <c r="AT422">
        <v>0</v>
      </c>
      <c r="AU422">
        <v>134693.14432314</v>
      </c>
      <c r="AV422" t="s">
        <v>489</v>
      </c>
      <c r="AW422" t="str">
        <f t="shared" si="40"/>
        <v>n/a</v>
      </c>
      <c r="AY422" t="e">
        <f t="shared" si="41"/>
        <v>#N/A</v>
      </c>
      <c r="AZ422" t="e">
        <v>#N/A</v>
      </c>
      <c r="BA422">
        <v>5</v>
      </c>
      <c r="BB422">
        <v>2018</v>
      </c>
      <c r="BC422">
        <v>6</v>
      </c>
      <c r="BD422">
        <v>2018</v>
      </c>
      <c r="BE422">
        <v>1</v>
      </c>
      <c r="BF422">
        <v>2018</v>
      </c>
    </row>
    <row r="423" spans="1:58" x14ac:dyDescent="0.2">
      <c r="A423" s="7">
        <v>0</v>
      </c>
      <c r="B423" s="7">
        <v>0</v>
      </c>
      <c r="C423" s="7">
        <v>0</v>
      </c>
      <c r="D423" s="7">
        <v>0</v>
      </c>
      <c r="E423" s="7">
        <f t="shared" si="36"/>
        <v>0</v>
      </c>
      <c r="F423" s="11" t="s">
        <v>68</v>
      </c>
      <c r="G423">
        <v>0</v>
      </c>
      <c r="H423">
        <v>0</v>
      </c>
      <c r="I423">
        <v>0</v>
      </c>
      <c r="J423">
        <v>0</v>
      </c>
      <c r="K423">
        <f t="shared" si="37"/>
        <v>0</v>
      </c>
      <c r="L423" t="s">
        <v>68</v>
      </c>
      <c r="M423">
        <v>27326.4515617625</v>
      </c>
      <c r="N423" s="7">
        <v>4</v>
      </c>
      <c r="O423" s="7">
        <v>8</v>
      </c>
      <c r="P423" s="7">
        <v>2</v>
      </c>
      <c r="Q423" s="7">
        <v>0</v>
      </c>
      <c r="R423" s="7">
        <f t="shared" si="38"/>
        <v>14</v>
      </c>
      <c r="S423" t="s">
        <v>68</v>
      </c>
      <c r="T423" s="7">
        <v>5</v>
      </c>
      <c r="U423" s="7">
        <v>10</v>
      </c>
      <c r="V423" s="7">
        <v>1</v>
      </c>
      <c r="W423" s="7">
        <v>2</v>
      </c>
      <c r="X423" s="7">
        <f t="shared" si="39"/>
        <v>18</v>
      </c>
      <c r="Y423" t="s">
        <v>65</v>
      </c>
      <c r="Z423">
        <v>95428.224675990001</v>
      </c>
      <c r="AA423" t="s">
        <v>818</v>
      </c>
      <c r="AB423" t="e">
        <v>#N/A</v>
      </c>
      <c r="AF423">
        <v>7</v>
      </c>
      <c r="AG423" s="8">
        <v>95</v>
      </c>
      <c r="AH423">
        <v>4</v>
      </c>
      <c r="AI423">
        <v>18</v>
      </c>
      <c r="AJ423">
        <v>0</v>
      </c>
      <c r="AK423">
        <v>4.2105263157894736E-2</v>
      </c>
      <c r="AL423">
        <v>0.41039134083406165</v>
      </c>
      <c r="AM423">
        <v>14</v>
      </c>
      <c r="AN423">
        <v>0</v>
      </c>
      <c r="AO423">
        <v>0.2857142857142857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>
        <v>122754.6762377525</v>
      </c>
      <c r="AV423" t="s">
        <v>489</v>
      </c>
      <c r="AW423" t="str">
        <f t="shared" si="40"/>
        <v>n/a</v>
      </c>
      <c r="AY423" t="e">
        <f t="shared" si="41"/>
        <v>#N/A</v>
      </c>
      <c r="AZ423" t="e">
        <v>#N/A</v>
      </c>
      <c r="BA423">
        <v>6</v>
      </c>
      <c r="BB423">
        <v>2018</v>
      </c>
      <c r="BC423">
        <v>6</v>
      </c>
      <c r="BD423">
        <v>2018</v>
      </c>
      <c r="BE423">
        <v>6</v>
      </c>
      <c r="BF423">
        <v>2018</v>
      </c>
    </row>
    <row r="424" spans="1:58" x14ac:dyDescent="0.2">
      <c r="A424" s="7">
        <v>16</v>
      </c>
      <c r="B424" s="7">
        <v>22</v>
      </c>
      <c r="C424" s="7">
        <v>5</v>
      </c>
      <c r="D424" s="7">
        <v>6</v>
      </c>
      <c r="E424" s="7">
        <f t="shared" si="36"/>
        <v>49</v>
      </c>
      <c r="F424" s="11" t="s">
        <v>36</v>
      </c>
      <c r="G424">
        <v>16</v>
      </c>
      <c r="H424">
        <v>17</v>
      </c>
      <c r="I424">
        <v>4</v>
      </c>
      <c r="J424">
        <v>6</v>
      </c>
      <c r="K424">
        <f t="shared" si="37"/>
        <v>43</v>
      </c>
      <c r="L424" t="s">
        <v>36</v>
      </c>
      <c r="M424">
        <v>18373.586838160001</v>
      </c>
      <c r="N424" s="7">
        <v>16</v>
      </c>
      <c r="O424" s="7">
        <v>22</v>
      </c>
      <c r="P424" s="7">
        <v>5</v>
      </c>
      <c r="Q424" s="7">
        <v>6</v>
      </c>
      <c r="R424" s="7">
        <f t="shared" si="38"/>
        <v>49</v>
      </c>
      <c r="S424" t="s">
        <v>36</v>
      </c>
      <c r="T424" s="7">
        <v>20</v>
      </c>
      <c r="U424" s="7">
        <v>31</v>
      </c>
      <c r="V424" s="7">
        <v>9</v>
      </c>
      <c r="W424" s="7">
        <v>8</v>
      </c>
      <c r="X424" s="7">
        <f t="shared" si="39"/>
        <v>68</v>
      </c>
      <c r="Y424" t="s">
        <v>36</v>
      </c>
      <c r="Z424">
        <v>82435.692777060016</v>
      </c>
      <c r="AA424" t="s">
        <v>819</v>
      </c>
      <c r="AB424" t="e">
        <v>#N/A</v>
      </c>
      <c r="AF424">
        <v>130</v>
      </c>
      <c r="AG424" s="8">
        <v>147</v>
      </c>
      <c r="AH424">
        <v>19</v>
      </c>
      <c r="AI424">
        <v>19</v>
      </c>
      <c r="AJ424">
        <v>-6</v>
      </c>
      <c r="AK424">
        <v>0.12925170068027211</v>
      </c>
      <c r="AL424">
        <v>1.5670935878004129</v>
      </c>
      <c r="AM424">
        <v>6</v>
      </c>
      <c r="AN424">
        <v>0</v>
      </c>
      <c r="AO424">
        <v>0.38775510204081631</v>
      </c>
      <c r="AP424">
        <v>0.38775510204081631</v>
      </c>
      <c r="AQ424">
        <v>0.12244897959183673</v>
      </c>
      <c r="AR424">
        <v>0.32653061224489793</v>
      </c>
      <c r="AS424">
        <v>0.44897959183673469</v>
      </c>
      <c r="AT424">
        <v>0.10204081632653061</v>
      </c>
      <c r="AU424">
        <v>100809.27961522002</v>
      </c>
      <c r="AV424" t="s">
        <v>489</v>
      </c>
      <c r="AW424" t="str">
        <f t="shared" si="40"/>
        <v>n/a</v>
      </c>
      <c r="AY424" t="e">
        <f t="shared" si="41"/>
        <v>#N/A</v>
      </c>
      <c r="AZ424" t="e">
        <v>#N/A</v>
      </c>
      <c r="BA424">
        <v>1</v>
      </c>
      <c r="BB424">
        <v>2018</v>
      </c>
      <c r="BC424">
        <v>5</v>
      </c>
      <c r="BD424">
        <v>2018</v>
      </c>
      <c r="BE424">
        <v>6</v>
      </c>
      <c r="BF424">
        <v>2018</v>
      </c>
    </row>
    <row r="425" spans="1:58" x14ac:dyDescent="0.2">
      <c r="A425" s="7">
        <v>20</v>
      </c>
      <c r="B425" s="7">
        <v>40</v>
      </c>
      <c r="C425" s="7">
        <v>9</v>
      </c>
      <c r="D425" s="7">
        <v>30</v>
      </c>
      <c r="E425" s="7">
        <f t="shared" si="36"/>
        <v>99</v>
      </c>
      <c r="F425" s="11" t="s">
        <v>36</v>
      </c>
      <c r="G425">
        <v>20</v>
      </c>
      <c r="H425">
        <v>40</v>
      </c>
      <c r="I425">
        <v>9</v>
      </c>
      <c r="J425">
        <v>30</v>
      </c>
      <c r="K425">
        <f t="shared" si="37"/>
        <v>99</v>
      </c>
      <c r="L425" t="s">
        <v>36</v>
      </c>
      <c r="M425">
        <v>8829.2369485700001</v>
      </c>
      <c r="N425" s="7">
        <v>20</v>
      </c>
      <c r="O425" s="7">
        <v>40</v>
      </c>
      <c r="P425" s="7">
        <v>9</v>
      </c>
      <c r="Q425" s="7">
        <v>29</v>
      </c>
      <c r="R425" s="7">
        <f t="shared" si="38"/>
        <v>98</v>
      </c>
      <c r="S425" t="s">
        <v>36</v>
      </c>
      <c r="T425" s="7">
        <v>20</v>
      </c>
      <c r="U425" s="7">
        <v>40</v>
      </c>
      <c r="V425" s="7">
        <v>9</v>
      </c>
      <c r="W425" s="7">
        <v>29</v>
      </c>
      <c r="X425" s="7">
        <f t="shared" si="39"/>
        <v>98</v>
      </c>
      <c r="Y425" t="s">
        <v>36</v>
      </c>
      <c r="Z425">
        <v>2380.2934727799998</v>
      </c>
      <c r="AA425" t="s">
        <v>820</v>
      </c>
      <c r="AB425" t="e">
        <v>#N/A</v>
      </c>
      <c r="AF425">
        <v>128</v>
      </c>
      <c r="AG425" s="8">
        <v>0</v>
      </c>
      <c r="AH425">
        <v>0</v>
      </c>
      <c r="AI425">
        <v>-1</v>
      </c>
      <c r="AJ425">
        <v>0</v>
      </c>
      <c r="AK425" t="e">
        <v>#N/A</v>
      </c>
      <c r="AL425" t="e">
        <v>#N/A</v>
      </c>
      <c r="AM425">
        <v>-1</v>
      </c>
      <c r="AN425">
        <v>1</v>
      </c>
      <c r="AO425">
        <v>0</v>
      </c>
      <c r="AP425">
        <v>0</v>
      </c>
      <c r="AQ425">
        <v>0.30303030303030304</v>
      </c>
      <c r="AR425">
        <v>0.20202020202020202</v>
      </c>
      <c r="AS425">
        <v>0.40404040404040403</v>
      </c>
      <c r="AT425">
        <v>9.0909090909090912E-2</v>
      </c>
      <c r="AU425">
        <v>11209.53042135</v>
      </c>
      <c r="AV425" t="s">
        <v>489</v>
      </c>
      <c r="AW425" t="str">
        <f t="shared" si="40"/>
        <v>n/a</v>
      </c>
      <c r="AY425" t="e">
        <f t="shared" si="41"/>
        <v>#N/A</v>
      </c>
      <c r="AZ425" t="e">
        <v>#N/A</v>
      </c>
      <c r="BA425">
        <v>1</v>
      </c>
      <c r="BB425">
        <v>2018</v>
      </c>
      <c r="BC425">
        <v>5</v>
      </c>
      <c r="BD425">
        <v>2018</v>
      </c>
      <c r="BE425">
        <v>4</v>
      </c>
      <c r="BF425">
        <v>2018</v>
      </c>
    </row>
    <row r="426" spans="1:58" x14ac:dyDescent="0.2">
      <c r="A426" s="7">
        <v>11</v>
      </c>
      <c r="B426" s="7">
        <v>39</v>
      </c>
      <c r="C426" s="7">
        <v>6</v>
      </c>
      <c r="D426" s="7">
        <v>5</v>
      </c>
      <c r="E426" s="7">
        <f t="shared" si="36"/>
        <v>61</v>
      </c>
      <c r="F426" s="11" t="s">
        <v>36</v>
      </c>
      <c r="G426">
        <v>11</v>
      </c>
      <c r="H426">
        <v>39</v>
      </c>
      <c r="I426">
        <v>6</v>
      </c>
      <c r="J426">
        <v>5</v>
      </c>
      <c r="K426">
        <f t="shared" si="37"/>
        <v>61</v>
      </c>
      <c r="L426" t="s">
        <v>36</v>
      </c>
      <c r="M426">
        <v>14321.266770939999</v>
      </c>
      <c r="N426" s="7">
        <v>11</v>
      </c>
      <c r="O426" s="7">
        <v>39</v>
      </c>
      <c r="P426" s="7">
        <v>7</v>
      </c>
      <c r="Q426" s="7">
        <v>5</v>
      </c>
      <c r="R426" s="7">
        <f t="shared" si="38"/>
        <v>62</v>
      </c>
      <c r="S426" t="s">
        <v>36</v>
      </c>
      <c r="T426" s="7">
        <v>20</v>
      </c>
      <c r="U426" s="7">
        <v>40</v>
      </c>
      <c r="V426" s="7">
        <v>10</v>
      </c>
      <c r="W426" s="7">
        <v>21</v>
      </c>
      <c r="X426" s="7">
        <f t="shared" si="39"/>
        <v>91</v>
      </c>
      <c r="Y426" t="s">
        <v>36</v>
      </c>
      <c r="Z426">
        <v>94176.74915869</v>
      </c>
      <c r="AA426" t="s">
        <v>821</v>
      </c>
      <c r="AB426" t="e">
        <v>#N/A</v>
      </c>
      <c r="AF426" t="e">
        <v>#N/A</v>
      </c>
      <c r="AG426" s="8">
        <v>347</v>
      </c>
      <c r="AH426">
        <v>29</v>
      </c>
      <c r="AI426">
        <v>30</v>
      </c>
      <c r="AJ426">
        <v>0</v>
      </c>
      <c r="AK426">
        <v>8.3573487031700283E-2</v>
      </c>
      <c r="AL426">
        <v>1.556801568575555</v>
      </c>
      <c r="AM426">
        <v>1</v>
      </c>
      <c r="AN426">
        <v>0</v>
      </c>
      <c r="AO426">
        <v>0.46774193548387094</v>
      </c>
      <c r="AP426">
        <v>0.47540983606557374</v>
      </c>
      <c r="AQ426">
        <v>8.1967213114754092E-2</v>
      </c>
      <c r="AR426">
        <v>0.18032786885245902</v>
      </c>
      <c r="AS426">
        <v>0.63934426229508201</v>
      </c>
      <c r="AT426">
        <v>9.8360655737704916E-2</v>
      </c>
      <c r="AU426">
        <v>108498.01592963</v>
      </c>
      <c r="AV426" t="s">
        <v>489</v>
      </c>
      <c r="AW426" t="str">
        <f t="shared" si="40"/>
        <v>n/a</v>
      </c>
      <c r="AY426" t="e">
        <f t="shared" si="41"/>
        <v>#N/A</v>
      </c>
      <c r="AZ426" t="e">
        <v>#N/A</v>
      </c>
      <c r="BA426">
        <v>5</v>
      </c>
      <c r="BB426">
        <v>2018</v>
      </c>
      <c r="BC426">
        <v>5</v>
      </c>
      <c r="BD426">
        <v>2018</v>
      </c>
      <c r="BE426">
        <v>1</v>
      </c>
      <c r="BF426">
        <v>2018</v>
      </c>
    </row>
    <row r="427" spans="1:58" x14ac:dyDescent="0.2">
      <c r="A427" s="7">
        <v>0</v>
      </c>
      <c r="B427" s="7">
        <v>0</v>
      </c>
      <c r="C427" s="7">
        <v>0</v>
      </c>
      <c r="D427" s="7">
        <v>0</v>
      </c>
      <c r="E427" s="7">
        <f t="shared" si="36"/>
        <v>0</v>
      </c>
      <c r="F427" s="11" t="s">
        <v>39</v>
      </c>
      <c r="G427">
        <v>0</v>
      </c>
      <c r="H427">
        <v>0</v>
      </c>
      <c r="I427">
        <v>0</v>
      </c>
      <c r="J427">
        <v>0</v>
      </c>
      <c r="K427">
        <f t="shared" si="37"/>
        <v>0</v>
      </c>
      <c r="L427" t="s">
        <v>39</v>
      </c>
      <c r="M427">
        <v>35879.083385730002</v>
      </c>
      <c r="N427" s="7">
        <v>0</v>
      </c>
      <c r="O427" s="7">
        <v>0</v>
      </c>
      <c r="P427" s="7">
        <v>0</v>
      </c>
      <c r="Q427" s="7">
        <v>0</v>
      </c>
      <c r="R427" s="7">
        <f t="shared" si="38"/>
        <v>0</v>
      </c>
      <c r="S427" t="s">
        <v>39</v>
      </c>
      <c r="T427" s="7">
        <v>0</v>
      </c>
      <c r="U427" s="7">
        <v>5</v>
      </c>
      <c r="V427" s="7">
        <v>0</v>
      </c>
      <c r="W427" s="7">
        <v>0</v>
      </c>
      <c r="X427" s="7">
        <f t="shared" si="39"/>
        <v>5</v>
      </c>
      <c r="Y427" t="s">
        <v>36</v>
      </c>
      <c r="Z427">
        <v>385749.64328940999</v>
      </c>
      <c r="AA427" t="s">
        <v>822</v>
      </c>
      <c r="AB427">
        <v>62</v>
      </c>
      <c r="AC427">
        <v>21</v>
      </c>
      <c r="AD427" t="s">
        <v>248</v>
      </c>
      <c r="AE427" t="s">
        <v>41</v>
      </c>
      <c r="AF427" t="e">
        <v>#N/A</v>
      </c>
      <c r="AG427" s="8">
        <v>453</v>
      </c>
      <c r="AH427">
        <v>5</v>
      </c>
      <c r="AI427">
        <v>5</v>
      </c>
      <c r="AJ427">
        <v>0</v>
      </c>
      <c r="AK427">
        <v>1.1037527593818985E-2</v>
      </c>
      <c r="AL427">
        <v>0.23492049286746977</v>
      </c>
      <c r="AM427">
        <v>0</v>
      </c>
      <c r="AN427">
        <v>0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>
        <v>421628.72667513997</v>
      </c>
      <c r="AV427">
        <v>14</v>
      </c>
      <c r="AW427">
        <f t="shared" si="40"/>
        <v>1</v>
      </c>
      <c r="AX427">
        <v>21</v>
      </c>
      <c r="AY427">
        <f t="shared" si="41"/>
        <v>1</v>
      </c>
      <c r="AZ427" t="e">
        <v>#N/A</v>
      </c>
      <c r="BA427">
        <v>5</v>
      </c>
      <c r="BB427">
        <v>2018</v>
      </c>
      <c r="BC427">
        <v>5</v>
      </c>
      <c r="BD427">
        <v>2018</v>
      </c>
      <c r="BE427">
        <v>1</v>
      </c>
      <c r="BF427">
        <v>2018</v>
      </c>
    </row>
    <row r="428" spans="1:58" x14ac:dyDescent="0.2">
      <c r="A428" s="7">
        <v>0</v>
      </c>
      <c r="B428" s="7">
        <v>16</v>
      </c>
      <c r="C428" s="7">
        <v>0</v>
      </c>
      <c r="D428" s="7">
        <v>3</v>
      </c>
      <c r="E428" s="7">
        <f t="shared" si="36"/>
        <v>19</v>
      </c>
      <c r="F428" s="11" t="s">
        <v>83</v>
      </c>
      <c r="G428">
        <v>0</v>
      </c>
      <c r="H428">
        <v>16</v>
      </c>
      <c r="I428">
        <v>0</v>
      </c>
      <c r="J428">
        <v>3</v>
      </c>
      <c r="K428">
        <f t="shared" si="37"/>
        <v>19</v>
      </c>
      <c r="L428" t="s">
        <v>66</v>
      </c>
      <c r="M428">
        <v>13659.37409528</v>
      </c>
      <c r="N428" s="7">
        <v>0</v>
      </c>
      <c r="O428" s="7">
        <v>16</v>
      </c>
      <c r="P428" s="7">
        <v>0</v>
      </c>
      <c r="Q428" s="7">
        <v>3</v>
      </c>
      <c r="R428" s="7">
        <f t="shared" si="38"/>
        <v>19</v>
      </c>
      <c r="S428" t="s">
        <v>83</v>
      </c>
      <c r="T428" s="7">
        <v>0</v>
      </c>
      <c r="U428" s="7">
        <v>16</v>
      </c>
      <c r="V428" s="7">
        <v>0</v>
      </c>
      <c r="W428" s="7">
        <v>4</v>
      </c>
      <c r="X428" s="7">
        <f t="shared" si="39"/>
        <v>20</v>
      </c>
      <c r="Y428" t="s">
        <v>83</v>
      </c>
      <c r="Z428">
        <v>12645.17973</v>
      </c>
      <c r="AA428" t="s">
        <v>823</v>
      </c>
      <c r="AB428" t="e">
        <v>#N/A</v>
      </c>
      <c r="AF428">
        <v>318</v>
      </c>
      <c r="AG428" s="8">
        <v>221</v>
      </c>
      <c r="AH428">
        <v>1</v>
      </c>
      <c r="AI428">
        <v>1</v>
      </c>
      <c r="AJ428">
        <v>0</v>
      </c>
      <c r="AK428">
        <v>4.5248868778280547E-3</v>
      </c>
      <c r="AL428">
        <v>6.7267279399631244E-2</v>
      </c>
      <c r="AM428">
        <v>0</v>
      </c>
      <c r="AN428">
        <v>0</v>
      </c>
      <c r="AO428">
        <v>5.2631578947368418E-2</v>
      </c>
      <c r="AP428">
        <v>5.2631578947368418E-2</v>
      </c>
      <c r="AQ428">
        <v>0.15789473684210525</v>
      </c>
      <c r="AR428">
        <v>0</v>
      </c>
      <c r="AS428">
        <v>0.84210526315789469</v>
      </c>
      <c r="AT428">
        <v>0</v>
      </c>
      <c r="AU428">
        <v>26304.55382528</v>
      </c>
      <c r="AV428" t="s">
        <v>489</v>
      </c>
      <c r="AW428" t="str">
        <f t="shared" si="40"/>
        <v>n/a</v>
      </c>
      <c r="AY428" t="e">
        <f t="shared" si="41"/>
        <v>#N/A</v>
      </c>
      <c r="AZ428" t="e">
        <v>#N/A</v>
      </c>
      <c r="BA428">
        <v>1</v>
      </c>
      <c r="BB428">
        <v>2018</v>
      </c>
      <c r="BC428">
        <v>11</v>
      </c>
      <c r="BD428">
        <v>2018</v>
      </c>
      <c r="BE428">
        <v>5</v>
      </c>
      <c r="BF428">
        <v>2018</v>
      </c>
    </row>
    <row r="429" spans="1:58" x14ac:dyDescent="0.2">
      <c r="A429" s="7">
        <v>5</v>
      </c>
      <c r="B429" s="7">
        <v>10</v>
      </c>
      <c r="C429" s="7">
        <v>0</v>
      </c>
      <c r="D429" s="7">
        <v>4</v>
      </c>
      <c r="E429" s="7">
        <f t="shared" si="36"/>
        <v>19</v>
      </c>
      <c r="F429" s="11" t="s">
        <v>36</v>
      </c>
      <c r="G429">
        <v>5</v>
      </c>
      <c r="H429">
        <v>10</v>
      </c>
      <c r="I429">
        <v>0</v>
      </c>
      <c r="J429">
        <v>0</v>
      </c>
      <c r="K429">
        <f t="shared" si="37"/>
        <v>15</v>
      </c>
      <c r="L429" t="s">
        <v>36</v>
      </c>
      <c r="M429">
        <v>23569.782738739999</v>
      </c>
      <c r="N429" s="7">
        <v>8</v>
      </c>
      <c r="O429" s="7">
        <v>10</v>
      </c>
      <c r="P429" s="7">
        <v>2</v>
      </c>
      <c r="Q429" s="7">
        <v>6</v>
      </c>
      <c r="R429" s="7">
        <f t="shared" si="38"/>
        <v>26</v>
      </c>
      <c r="S429" t="s">
        <v>42</v>
      </c>
      <c r="T429" s="7">
        <v>5</v>
      </c>
      <c r="U429" s="7">
        <v>10</v>
      </c>
      <c r="V429" s="7">
        <v>0</v>
      </c>
      <c r="W429" s="7">
        <v>0</v>
      </c>
      <c r="X429" s="7">
        <f t="shared" si="39"/>
        <v>15</v>
      </c>
      <c r="Y429" t="s">
        <v>36</v>
      </c>
      <c r="Z429">
        <v>121052.89267816</v>
      </c>
      <c r="AA429" t="s">
        <v>824</v>
      </c>
      <c r="AB429" t="e">
        <v>#N/A</v>
      </c>
      <c r="AF429">
        <v>20</v>
      </c>
      <c r="AG429" s="8">
        <v>101</v>
      </c>
      <c r="AH429">
        <v>-11</v>
      </c>
      <c r="AI429">
        <v>-4</v>
      </c>
      <c r="AJ429">
        <v>-4</v>
      </c>
      <c r="AK429">
        <v>-0.10891089108910891</v>
      </c>
      <c r="AL429">
        <v>-1.0945409092309881</v>
      </c>
      <c r="AM429">
        <v>11</v>
      </c>
      <c r="AN429">
        <v>0</v>
      </c>
      <c r="AO429">
        <v>-0.42307692307692307</v>
      </c>
      <c r="AP429">
        <v>-0.57894736842105265</v>
      </c>
      <c r="AQ429">
        <v>0.21052631578947367</v>
      </c>
      <c r="AR429">
        <v>0.26315789473684209</v>
      </c>
      <c r="AS429">
        <v>0.52631578947368418</v>
      </c>
      <c r="AT429">
        <v>0</v>
      </c>
      <c r="AU429">
        <v>144622.67541689999</v>
      </c>
      <c r="AV429" t="s">
        <v>489</v>
      </c>
      <c r="AW429" t="str">
        <f t="shared" si="40"/>
        <v>n/a</v>
      </c>
      <c r="AY429" t="e">
        <f t="shared" si="41"/>
        <v>#N/A</v>
      </c>
      <c r="AZ429" t="e">
        <v>#N/A</v>
      </c>
      <c r="BA429">
        <v>5</v>
      </c>
      <c r="BB429">
        <v>2018</v>
      </c>
      <c r="BC429">
        <v>6</v>
      </c>
      <c r="BD429">
        <v>2018</v>
      </c>
      <c r="BE429">
        <v>3</v>
      </c>
      <c r="BF429">
        <v>2018</v>
      </c>
    </row>
    <row r="430" spans="1:58" x14ac:dyDescent="0.2">
      <c r="A430" s="7">
        <v>1</v>
      </c>
      <c r="B430" s="7">
        <v>7</v>
      </c>
      <c r="C430" s="7">
        <v>0</v>
      </c>
      <c r="D430" s="7">
        <v>0</v>
      </c>
      <c r="E430" s="7">
        <f t="shared" si="36"/>
        <v>8</v>
      </c>
      <c r="F430" s="11" t="s">
        <v>53</v>
      </c>
      <c r="G430">
        <v>1</v>
      </c>
      <c r="H430">
        <v>7</v>
      </c>
      <c r="I430">
        <v>0</v>
      </c>
      <c r="J430">
        <v>0</v>
      </c>
      <c r="K430">
        <f t="shared" si="37"/>
        <v>8</v>
      </c>
      <c r="L430" t="s">
        <v>53</v>
      </c>
      <c r="M430">
        <v>75596.985786830002</v>
      </c>
      <c r="N430" s="7">
        <v>1</v>
      </c>
      <c r="O430" s="7">
        <v>7</v>
      </c>
      <c r="P430" s="7">
        <v>0</v>
      </c>
      <c r="Q430" s="7">
        <v>0</v>
      </c>
      <c r="R430" s="7">
        <f t="shared" si="38"/>
        <v>8</v>
      </c>
      <c r="S430" t="s">
        <v>53</v>
      </c>
      <c r="T430" s="7">
        <v>3</v>
      </c>
      <c r="U430" s="7">
        <v>11</v>
      </c>
      <c r="V430" s="7">
        <v>0</v>
      </c>
      <c r="W430" s="7">
        <v>3</v>
      </c>
      <c r="X430" s="7">
        <f t="shared" si="39"/>
        <v>17</v>
      </c>
      <c r="Y430" t="s">
        <v>35</v>
      </c>
      <c r="Z430">
        <v>202759.43077261001</v>
      </c>
      <c r="AA430" t="s">
        <v>825</v>
      </c>
      <c r="AB430">
        <v>56</v>
      </c>
      <c r="AC430">
        <v>186</v>
      </c>
      <c r="AD430" t="s">
        <v>249</v>
      </c>
      <c r="AE430" t="s">
        <v>41</v>
      </c>
      <c r="AF430">
        <v>183</v>
      </c>
      <c r="AG430" s="8">
        <v>464</v>
      </c>
      <c r="AH430">
        <v>9</v>
      </c>
      <c r="AI430">
        <v>9</v>
      </c>
      <c r="AJ430">
        <v>0</v>
      </c>
      <c r="AK430">
        <v>1.9396551724137932E-2</v>
      </c>
      <c r="AL430">
        <v>0.41781451089836674</v>
      </c>
      <c r="AM430">
        <v>0</v>
      </c>
      <c r="AN430">
        <v>0</v>
      </c>
      <c r="AO430">
        <v>1.125</v>
      </c>
      <c r="AP430">
        <v>1.125</v>
      </c>
      <c r="AQ430">
        <v>0</v>
      </c>
      <c r="AR430">
        <v>0.125</v>
      </c>
      <c r="AS430">
        <v>0.875</v>
      </c>
      <c r="AT430">
        <v>0</v>
      </c>
      <c r="AU430">
        <v>278356.41655944003</v>
      </c>
      <c r="AV430">
        <v>21</v>
      </c>
      <c r="AW430">
        <f t="shared" si="40"/>
        <v>1</v>
      </c>
      <c r="AX430">
        <v>186</v>
      </c>
      <c r="AY430">
        <f t="shared" si="41"/>
        <v>1</v>
      </c>
      <c r="AZ430">
        <v>1.0163934426229508</v>
      </c>
      <c r="BA430">
        <v>6</v>
      </c>
      <c r="BB430">
        <v>2018</v>
      </c>
      <c r="BC430">
        <v>12</v>
      </c>
      <c r="BD430">
        <v>2018</v>
      </c>
      <c r="BE430">
        <v>7</v>
      </c>
      <c r="BF430">
        <v>2018</v>
      </c>
    </row>
    <row r="431" spans="1:58" x14ac:dyDescent="0.2">
      <c r="A431" s="7">
        <v>17</v>
      </c>
      <c r="B431" s="7">
        <v>16</v>
      </c>
      <c r="C431" s="7">
        <v>7</v>
      </c>
      <c r="D431" s="7">
        <v>11</v>
      </c>
      <c r="E431" s="7">
        <f t="shared" si="36"/>
        <v>51</v>
      </c>
      <c r="F431" s="11" t="s">
        <v>36</v>
      </c>
      <c r="G431">
        <v>18</v>
      </c>
      <c r="H431">
        <v>10</v>
      </c>
      <c r="I431">
        <v>8</v>
      </c>
      <c r="J431">
        <v>4</v>
      </c>
      <c r="K431">
        <f t="shared" si="37"/>
        <v>40</v>
      </c>
      <c r="L431" t="s">
        <v>36</v>
      </c>
      <c r="M431">
        <v>23613.178569420001</v>
      </c>
      <c r="N431" s="7">
        <v>20</v>
      </c>
      <c r="O431" s="7">
        <v>25</v>
      </c>
      <c r="P431" s="7">
        <v>9</v>
      </c>
      <c r="Q431" s="7">
        <v>18</v>
      </c>
      <c r="R431" s="7">
        <f t="shared" si="38"/>
        <v>72</v>
      </c>
      <c r="S431" t="s">
        <v>36</v>
      </c>
      <c r="T431" s="7">
        <v>17</v>
      </c>
      <c r="U431" s="7">
        <v>16</v>
      </c>
      <c r="V431" s="7">
        <v>7</v>
      </c>
      <c r="W431" s="7">
        <v>11</v>
      </c>
      <c r="X431" s="7">
        <f t="shared" si="39"/>
        <v>51</v>
      </c>
      <c r="Y431" t="s">
        <v>36</v>
      </c>
      <c r="Z431">
        <v>33309.442805489998</v>
      </c>
      <c r="AA431" t="s">
        <v>826</v>
      </c>
      <c r="AB431" t="e">
        <v>#N/A</v>
      </c>
      <c r="AF431">
        <v>143</v>
      </c>
      <c r="AG431" s="8">
        <v>10</v>
      </c>
      <c r="AH431">
        <v>-21</v>
      </c>
      <c r="AI431">
        <v>0</v>
      </c>
      <c r="AJ431">
        <v>-11</v>
      </c>
      <c r="AK431">
        <v>-2.1</v>
      </c>
      <c r="AL431">
        <v>-6.6407830863535962</v>
      </c>
      <c r="AM431">
        <v>32</v>
      </c>
      <c r="AN431">
        <v>0</v>
      </c>
      <c r="AO431">
        <v>-0.29166666666666669</v>
      </c>
      <c r="AP431">
        <v>-0.41176470588235292</v>
      </c>
      <c r="AQ431">
        <v>0.21568627450980393</v>
      </c>
      <c r="AR431">
        <v>0.33333333333333331</v>
      </c>
      <c r="AS431">
        <v>0.31372549019607843</v>
      </c>
      <c r="AT431">
        <v>0.13725490196078433</v>
      </c>
      <c r="AU431">
        <v>56922.621374909999</v>
      </c>
      <c r="AV431" t="s">
        <v>489</v>
      </c>
      <c r="AW431" t="str">
        <f t="shared" si="40"/>
        <v>n/a</v>
      </c>
      <c r="AY431" t="e">
        <f t="shared" si="41"/>
        <v>#N/A</v>
      </c>
      <c r="AZ431" t="e">
        <v>#N/A</v>
      </c>
      <c r="BA431">
        <v>1</v>
      </c>
      <c r="BB431">
        <v>2018</v>
      </c>
      <c r="BC431">
        <v>5</v>
      </c>
      <c r="BD431">
        <v>2018</v>
      </c>
      <c r="BE431">
        <v>7</v>
      </c>
      <c r="BF431">
        <v>2018</v>
      </c>
    </row>
    <row r="432" spans="1:58" x14ac:dyDescent="0.2">
      <c r="A432" s="7">
        <v>15</v>
      </c>
      <c r="B432" s="7">
        <v>25</v>
      </c>
      <c r="C432" s="7">
        <v>0</v>
      </c>
      <c r="D432" s="7">
        <v>0</v>
      </c>
      <c r="E432" s="7">
        <f t="shared" si="36"/>
        <v>40</v>
      </c>
      <c r="F432" s="11" t="s">
        <v>36</v>
      </c>
      <c r="G432">
        <v>14</v>
      </c>
      <c r="H432">
        <v>20</v>
      </c>
      <c r="I432">
        <v>0</v>
      </c>
      <c r="J432">
        <v>0</v>
      </c>
      <c r="K432">
        <f t="shared" si="37"/>
        <v>34</v>
      </c>
      <c r="L432" t="s">
        <v>36</v>
      </c>
      <c r="M432">
        <v>13268.39195924</v>
      </c>
      <c r="N432" s="7">
        <v>14</v>
      </c>
      <c r="O432" s="7">
        <v>20</v>
      </c>
      <c r="P432" s="7">
        <v>0</v>
      </c>
      <c r="Q432" s="7">
        <v>0</v>
      </c>
      <c r="R432" s="7">
        <f t="shared" si="38"/>
        <v>34</v>
      </c>
      <c r="S432" t="s">
        <v>36</v>
      </c>
      <c r="T432" s="7">
        <v>20</v>
      </c>
      <c r="U432" s="7">
        <v>40</v>
      </c>
      <c r="V432" s="7">
        <v>9</v>
      </c>
      <c r="W432" s="7">
        <v>21</v>
      </c>
      <c r="X432" s="7">
        <f t="shared" si="39"/>
        <v>90</v>
      </c>
      <c r="Y432" t="s">
        <v>36</v>
      </c>
      <c r="Z432">
        <v>34611.445147360013</v>
      </c>
      <c r="AA432" t="s">
        <v>827</v>
      </c>
      <c r="AB432" t="e">
        <v>#N/A</v>
      </c>
      <c r="AF432">
        <v>158</v>
      </c>
      <c r="AG432" s="8">
        <v>172</v>
      </c>
      <c r="AH432">
        <v>56</v>
      </c>
      <c r="AI432">
        <v>50</v>
      </c>
      <c r="AJ432">
        <v>-6</v>
      </c>
      <c r="AK432">
        <v>0.32558139534883723</v>
      </c>
      <c r="AL432">
        <v>4.2699599693129304</v>
      </c>
      <c r="AM432">
        <v>0</v>
      </c>
      <c r="AN432">
        <v>0</v>
      </c>
      <c r="AO432">
        <v>1.6470588235294117</v>
      </c>
      <c r="AP432">
        <v>1.4</v>
      </c>
      <c r="AQ432">
        <v>0</v>
      </c>
      <c r="AR432">
        <v>0.375</v>
      </c>
      <c r="AS432">
        <v>0.625</v>
      </c>
      <c r="AT432">
        <v>0</v>
      </c>
      <c r="AU432">
        <v>47879.837106600011</v>
      </c>
      <c r="AV432" t="s">
        <v>489</v>
      </c>
      <c r="AW432" t="str">
        <f t="shared" si="40"/>
        <v>n/a</v>
      </c>
      <c r="AY432" t="e">
        <f t="shared" si="41"/>
        <v>#N/A</v>
      </c>
      <c r="AZ432" t="e">
        <v>#N/A</v>
      </c>
      <c r="BA432">
        <v>1</v>
      </c>
      <c r="BB432">
        <v>2018</v>
      </c>
      <c r="BC432">
        <v>6</v>
      </c>
      <c r="BD432">
        <v>2018</v>
      </c>
      <c r="BE432">
        <v>6</v>
      </c>
      <c r="BF432">
        <v>2018</v>
      </c>
    </row>
    <row r="433" spans="1:58" x14ac:dyDescent="0.2">
      <c r="A433" s="7">
        <v>10</v>
      </c>
      <c r="B433" s="7">
        <v>34</v>
      </c>
      <c r="C433" s="7">
        <v>1</v>
      </c>
      <c r="D433" s="7">
        <v>3</v>
      </c>
      <c r="E433" s="7">
        <f t="shared" si="36"/>
        <v>48</v>
      </c>
      <c r="F433" s="11" t="s">
        <v>36</v>
      </c>
      <c r="G433">
        <v>9</v>
      </c>
      <c r="H433">
        <v>15</v>
      </c>
      <c r="I433">
        <v>2</v>
      </c>
      <c r="J433">
        <v>2</v>
      </c>
      <c r="K433">
        <f t="shared" si="37"/>
        <v>28</v>
      </c>
      <c r="L433" t="s">
        <v>36</v>
      </c>
      <c r="M433">
        <v>15825.332093950001</v>
      </c>
      <c r="N433" s="7">
        <v>10</v>
      </c>
      <c r="O433" s="7">
        <v>34</v>
      </c>
      <c r="P433" s="7">
        <v>1</v>
      </c>
      <c r="Q433" s="7">
        <v>3</v>
      </c>
      <c r="R433" s="7">
        <f t="shared" si="38"/>
        <v>48</v>
      </c>
      <c r="S433" t="s">
        <v>36</v>
      </c>
      <c r="T433" s="7">
        <v>20</v>
      </c>
      <c r="U433" s="7">
        <v>40</v>
      </c>
      <c r="V433" s="7">
        <v>9</v>
      </c>
      <c r="W433" s="7">
        <v>23</v>
      </c>
      <c r="X433" s="7">
        <f t="shared" si="39"/>
        <v>92</v>
      </c>
      <c r="Y433" t="s">
        <v>36</v>
      </c>
      <c r="Z433">
        <v>85155.663867669995</v>
      </c>
      <c r="AA433" t="s">
        <v>828</v>
      </c>
      <c r="AB433" t="e">
        <v>#N/A</v>
      </c>
      <c r="AF433">
        <v>157</v>
      </c>
      <c r="AG433" s="8">
        <v>23</v>
      </c>
      <c r="AH433">
        <v>44</v>
      </c>
      <c r="AI433">
        <v>44</v>
      </c>
      <c r="AJ433">
        <v>-20</v>
      </c>
      <c r="AK433">
        <v>1.9130434782608696</v>
      </c>
      <c r="AL433">
        <v>9.1746342185112901</v>
      </c>
      <c r="AM433">
        <v>20</v>
      </c>
      <c r="AN433">
        <v>0</v>
      </c>
      <c r="AO433">
        <v>0.91666666666666663</v>
      </c>
      <c r="AP433">
        <v>0.91666666666666663</v>
      </c>
      <c r="AQ433">
        <v>6.25E-2</v>
      </c>
      <c r="AR433">
        <v>0.20833333333333334</v>
      </c>
      <c r="AS433">
        <v>0.70833333333333337</v>
      </c>
      <c r="AT433">
        <v>2.0833333333333332E-2</v>
      </c>
      <c r="AU433">
        <v>100980.99596161999</v>
      </c>
      <c r="AV433" t="s">
        <v>489</v>
      </c>
      <c r="AW433" t="str">
        <f t="shared" si="40"/>
        <v>n/a</v>
      </c>
      <c r="AY433" t="e">
        <f t="shared" si="41"/>
        <v>#N/A</v>
      </c>
      <c r="AZ433" t="e">
        <v>#N/A</v>
      </c>
      <c r="BA433">
        <v>1</v>
      </c>
      <c r="BB433">
        <v>2018</v>
      </c>
      <c r="BC433">
        <v>6</v>
      </c>
      <c r="BD433">
        <v>2018</v>
      </c>
      <c r="BE433">
        <v>11</v>
      </c>
      <c r="BF433">
        <v>2018</v>
      </c>
    </row>
    <row r="434" spans="1:58" x14ac:dyDescent="0.2">
      <c r="A434" s="7">
        <v>3</v>
      </c>
      <c r="B434" s="7">
        <v>10</v>
      </c>
      <c r="C434" s="7">
        <v>0</v>
      </c>
      <c r="D434" s="7">
        <v>0</v>
      </c>
      <c r="E434" s="7">
        <f t="shared" si="36"/>
        <v>13</v>
      </c>
      <c r="F434" s="11" t="s">
        <v>36</v>
      </c>
      <c r="G434">
        <v>4</v>
      </c>
      <c r="H434">
        <v>10</v>
      </c>
      <c r="I434">
        <v>0</v>
      </c>
      <c r="J434">
        <v>0</v>
      </c>
      <c r="K434">
        <f t="shared" si="37"/>
        <v>14</v>
      </c>
      <c r="L434" t="s">
        <v>36</v>
      </c>
      <c r="M434">
        <v>26800.957347200001</v>
      </c>
      <c r="N434" s="7">
        <v>4</v>
      </c>
      <c r="O434" s="7">
        <v>10</v>
      </c>
      <c r="P434" s="7">
        <v>0</v>
      </c>
      <c r="Q434" s="7">
        <v>0</v>
      </c>
      <c r="R434" s="7">
        <f t="shared" si="38"/>
        <v>14</v>
      </c>
      <c r="S434" t="s">
        <v>36</v>
      </c>
      <c r="T434" s="7">
        <v>9</v>
      </c>
      <c r="U434" s="7">
        <v>10</v>
      </c>
      <c r="V434" s="7">
        <v>0</v>
      </c>
      <c r="W434" s="7">
        <v>5</v>
      </c>
      <c r="X434" s="7">
        <f t="shared" si="39"/>
        <v>24</v>
      </c>
      <c r="Y434" t="s">
        <v>39</v>
      </c>
      <c r="Z434">
        <v>206838.14885673</v>
      </c>
      <c r="AA434" t="s">
        <v>829</v>
      </c>
      <c r="AB434">
        <v>72</v>
      </c>
      <c r="AC434">
        <v>0</v>
      </c>
      <c r="AD434" t="s">
        <v>249</v>
      </c>
      <c r="AE434" t="s">
        <v>41</v>
      </c>
      <c r="AF434">
        <v>133</v>
      </c>
      <c r="AG434" s="8">
        <v>238</v>
      </c>
      <c r="AH434">
        <v>10</v>
      </c>
      <c r="AI434">
        <v>11</v>
      </c>
      <c r="AJ434">
        <v>1</v>
      </c>
      <c r="AK434">
        <v>4.2016806722689079E-2</v>
      </c>
      <c r="AL434">
        <v>0.64820372355216438</v>
      </c>
      <c r="AM434">
        <v>0</v>
      </c>
      <c r="AN434">
        <v>0</v>
      </c>
      <c r="AO434">
        <v>0.7142857142857143</v>
      </c>
      <c r="AP434">
        <v>0.76923076923076927</v>
      </c>
      <c r="AQ434">
        <v>0</v>
      </c>
      <c r="AR434">
        <v>0.23076923076923078</v>
      </c>
      <c r="AS434">
        <v>0.76923076923076927</v>
      </c>
      <c r="AT434">
        <v>0</v>
      </c>
      <c r="AU434">
        <v>233639.10620392999</v>
      </c>
      <c r="AV434">
        <v>16</v>
      </c>
      <c r="AW434">
        <f t="shared" si="40"/>
        <v>1</v>
      </c>
      <c r="AX434">
        <v>0</v>
      </c>
      <c r="AY434">
        <f t="shared" si="41"/>
        <v>0</v>
      </c>
      <c r="AZ434">
        <v>0</v>
      </c>
      <c r="BA434">
        <v>6</v>
      </c>
      <c r="BB434">
        <v>2018</v>
      </c>
      <c r="BC434">
        <v>11</v>
      </c>
      <c r="BD434">
        <v>2018</v>
      </c>
      <c r="BE434">
        <v>7</v>
      </c>
      <c r="BF434">
        <v>2018</v>
      </c>
    </row>
    <row r="435" spans="1:58" x14ac:dyDescent="0.2">
      <c r="A435" s="7">
        <v>8</v>
      </c>
      <c r="B435" s="7">
        <v>11</v>
      </c>
      <c r="C435" s="7">
        <v>0</v>
      </c>
      <c r="D435" s="7">
        <v>3</v>
      </c>
      <c r="E435" s="7">
        <f t="shared" si="36"/>
        <v>22</v>
      </c>
      <c r="F435" s="11" t="s">
        <v>36</v>
      </c>
      <c r="G435">
        <v>11</v>
      </c>
      <c r="H435">
        <v>13</v>
      </c>
      <c r="I435">
        <v>0</v>
      </c>
      <c r="J435">
        <v>0</v>
      </c>
      <c r="K435">
        <f t="shared" si="37"/>
        <v>24</v>
      </c>
      <c r="L435" t="s">
        <v>36</v>
      </c>
      <c r="M435">
        <v>25771.830725160002</v>
      </c>
      <c r="N435" s="7">
        <v>7</v>
      </c>
      <c r="O435" s="7">
        <v>11</v>
      </c>
      <c r="P435" s="7">
        <v>0</v>
      </c>
      <c r="Q435" s="7">
        <v>2</v>
      </c>
      <c r="R435" s="7">
        <f t="shared" si="38"/>
        <v>20</v>
      </c>
      <c r="S435" t="s">
        <v>36</v>
      </c>
      <c r="T435" s="7">
        <v>7</v>
      </c>
      <c r="U435" s="7">
        <v>11</v>
      </c>
      <c r="V435" s="7">
        <v>0</v>
      </c>
      <c r="W435" s="7">
        <v>2</v>
      </c>
      <c r="X435" s="7">
        <f t="shared" si="39"/>
        <v>20</v>
      </c>
      <c r="Y435" t="s">
        <v>36</v>
      </c>
      <c r="Z435">
        <v>5424.4540399999996</v>
      </c>
      <c r="AA435" t="s">
        <v>830</v>
      </c>
      <c r="AB435" t="e">
        <v>#N/A</v>
      </c>
      <c r="AF435">
        <v>159</v>
      </c>
      <c r="AG435" s="8">
        <v>0</v>
      </c>
      <c r="AH435">
        <v>0</v>
      </c>
      <c r="AI435">
        <v>-2</v>
      </c>
      <c r="AJ435">
        <v>2</v>
      </c>
      <c r="AK435" t="e">
        <v>#N/A</v>
      </c>
      <c r="AL435" t="e">
        <v>#N/A</v>
      </c>
      <c r="AM435">
        <v>-4</v>
      </c>
      <c r="AN435">
        <v>1</v>
      </c>
      <c r="AO435">
        <v>0</v>
      </c>
      <c r="AP435">
        <v>0</v>
      </c>
      <c r="AQ435">
        <v>0.13636363636363635</v>
      </c>
      <c r="AR435">
        <v>0.36363636363636365</v>
      </c>
      <c r="AS435">
        <v>0.5</v>
      </c>
      <c r="AT435">
        <v>0</v>
      </c>
      <c r="AU435">
        <v>31196.284765160002</v>
      </c>
      <c r="AV435" t="s">
        <v>489</v>
      </c>
      <c r="AW435" t="str">
        <f t="shared" si="40"/>
        <v>n/a</v>
      </c>
      <c r="AY435" t="e">
        <f t="shared" si="41"/>
        <v>#N/A</v>
      </c>
      <c r="AZ435" t="e">
        <v>#N/A</v>
      </c>
      <c r="BA435">
        <v>1</v>
      </c>
      <c r="BB435">
        <v>2018</v>
      </c>
      <c r="BC435">
        <v>6</v>
      </c>
      <c r="BD435">
        <v>2018</v>
      </c>
      <c r="BE435">
        <v>8</v>
      </c>
      <c r="BF435">
        <v>2018</v>
      </c>
    </row>
    <row r="436" spans="1:58" x14ac:dyDescent="0.2">
      <c r="A436" s="7">
        <v>3</v>
      </c>
      <c r="B436" s="7">
        <v>10</v>
      </c>
      <c r="C436" s="7">
        <v>0</v>
      </c>
      <c r="D436" s="7">
        <v>0</v>
      </c>
      <c r="E436" s="7">
        <f t="shared" si="36"/>
        <v>13</v>
      </c>
      <c r="F436" s="11" t="s">
        <v>36</v>
      </c>
      <c r="G436">
        <v>3</v>
      </c>
      <c r="H436">
        <v>10</v>
      </c>
      <c r="I436">
        <v>0</v>
      </c>
      <c r="J436">
        <v>0</v>
      </c>
      <c r="K436">
        <f t="shared" si="37"/>
        <v>13</v>
      </c>
      <c r="L436" t="s">
        <v>36</v>
      </c>
      <c r="M436">
        <v>23115.267396830001</v>
      </c>
      <c r="N436" s="7">
        <v>3</v>
      </c>
      <c r="O436" s="7">
        <v>10</v>
      </c>
      <c r="P436" s="7">
        <v>0</v>
      </c>
      <c r="Q436" s="7">
        <v>0</v>
      </c>
      <c r="R436" s="7">
        <f t="shared" si="38"/>
        <v>13</v>
      </c>
      <c r="S436" t="s">
        <v>36</v>
      </c>
      <c r="T436" s="7">
        <v>12</v>
      </c>
      <c r="U436" s="7">
        <v>18</v>
      </c>
      <c r="V436" s="7">
        <v>8</v>
      </c>
      <c r="W436" s="7">
        <v>7</v>
      </c>
      <c r="X436" s="7">
        <f t="shared" si="39"/>
        <v>45</v>
      </c>
      <c r="Y436" t="s">
        <v>36</v>
      </c>
      <c r="Z436">
        <v>202007.85161638999</v>
      </c>
      <c r="AA436" t="s">
        <v>831</v>
      </c>
      <c r="AB436">
        <v>25</v>
      </c>
      <c r="AC436">
        <v>0</v>
      </c>
      <c r="AD436" t="s">
        <v>248</v>
      </c>
      <c r="AE436" t="s">
        <v>75</v>
      </c>
      <c r="AF436" t="e">
        <v>#N/A</v>
      </c>
      <c r="AG436" s="8">
        <v>246</v>
      </c>
      <c r="AH436">
        <v>32</v>
      </c>
      <c r="AI436">
        <v>32</v>
      </c>
      <c r="AJ436">
        <v>0</v>
      </c>
      <c r="AK436">
        <v>0.13008130081300814</v>
      </c>
      <c r="AL436">
        <v>2.0402454818026823</v>
      </c>
      <c r="AM436">
        <v>0</v>
      </c>
      <c r="AN436">
        <v>0</v>
      </c>
      <c r="AO436">
        <v>2.4615384615384617</v>
      </c>
      <c r="AP436">
        <v>2.4615384615384617</v>
      </c>
      <c r="AQ436">
        <v>0</v>
      </c>
      <c r="AR436">
        <v>0.23076923076923078</v>
      </c>
      <c r="AS436">
        <v>0.76923076923076927</v>
      </c>
      <c r="AT436">
        <v>0</v>
      </c>
      <c r="AU436">
        <v>225123.11901321998</v>
      </c>
      <c r="AV436">
        <v>8</v>
      </c>
      <c r="AW436">
        <f t="shared" si="40"/>
        <v>0</v>
      </c>
      <c r="AX436">
        <v>0</v>
      </c>
      <c r="AY436">
        <f t="shared" si="41"/>
        <v>0</v>
      </c>
      <c r="AZ436" t="e">
        <v>#N/A</v>
      </c>
      <c r="BA436">
        <v>1</v>
      </c>
      <c r="BB436">
        <v>2018</v>
      </c>
      <c r="BC436">
        <v>1</v>
      </c>
      <c r="BD436">
        <v>2018</v>
      </c>
      <c r="BE436">
        <v>6</v>
      </c>
      <c r="BF436">
        <v>2018</v>
      </c>
    </row>
    <row r="437" spans="1:58" x14ac:dyDescent="0.2">
      <c r="A437" s="7">
        <v>0</v>
      </c>
      <c r="B437" s="7">
        <v>0</v>
      </c>
      <c r="C437" s="7">
        <v>0</v>
      </c>
      <c r="D437" s="7">
        <v>0</v>
      </c>
      <c r="E437" s="7">
        <f t="shared" si="36"/>
        <v>0</v>
      </c>
      <c r="F437" s="11" t="e">
        <v>#N/A</v>
      </c>
      <c r="G437">
        <v>0</v>
      </c>
      <c r="H437">
        <v>0</v>
      </c>
      <c r="I437">
        <v>0</v>
      </c>
      <c r="J437">
        <v>0</v>
      </c>
      <c r="K437">
        <f t="shared" si="37"/>
        <v>0</v>
      </c>
      <c r="L437" t="e">
        <v>#N/A</v>
      </c>
      <c r="N437" s="7">
        <v>0</v>
      </c>
      <c r="O437" s="7">
        <v>26</v>
      </c>
      <c r="P437" s="7">
        <v>0</v>
      </c>
      <c r="Q437" s="7">
        <v>3</v>
      </c>
      <c r="R437" s="7">
        <f t="shared" si="38"/>
        <v>29</v>
      </c>
      <c r="S437" t="s">
        <v>36</v>
      </c>
      <c r="T437" s="7">
        <v>0</v>
      </c>
      <c r="U437" s="7">
        <v>26</v>
      </c>
      <c r="V437" s="7">
        <v>0</v>
      </c>
      <c r="W437" s="7">
        <v>3</v>
      </c>
      <c r="X437" s="7">
        <f t="shared" si="39"/>
        <v>29</v>
      </c>
      <c r="Y437" t="s">
        <v>36</v>
      </c>
      <c r="Z437">
        <v>47162.885719409998</v>
      </c>
      <c r="AA437" t="s">
        <v>832</v>
      </c>
      <c r="AB437" t="e">
        <v>#N/A</v>
      </c>
      <c r="AF437" t="e">
        <v>#N/A</v>
      </c>
      <c r="AG437" s="8">
        <v>10</v>
      </c>
      <c r="AH437">
        <v>0</v>
      </c>
      <c r="AI437">
        <v>29</v>
      </c>
      <c r="AJ437">
        <v>0</v>
      </c>
      <c r="AK437">
        <v>0</v>
      </c>
      <c r="AL437">
        <v>0</v>
      </c>
      <c r="AM437">
        <v>29</v>
      </c>
      <c r="AN437">
        <v>0</v>
      </c>
      <c r="AO437">
        <v>0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>
        <v>47162.885719409998</v>
      </c>
      <c r="AV437" t="s">
        <v>489</v>
      </c>
      <c r="AW437" t="str">
        <f t="shared" si="40"/>
        <v>n/a</v>
      </c>
      <c r="AY437" t="e">
        <f t="shared" si="41"/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>
        <v>7</v>
      </c>
      <c r="BF437">
        <v>2018</v>
      </c>
    </row>
    <row r="438" spans="1:58" x14ac:dyDescent="0.2">
      <c r="A438" s="7">
        <v>0</v>
      </c>
      <c r="B438" s="7">
        <v>0</v>
      </c>
      <c r="C438" s="7">
        <v>0</v>
      </c>
      <c r="D438" s="7">
        <v>0</v>
      </c>
      <c r="E438" s="7">
        <f t="shared" si="36"/>
        <v>0</v>
      </c>
      <c r="F438" s="11" t="e">
        <v>#N/A</v>
      </c>
      <c r="G438">
        <v>0</v>
      </c>
      <c r="H438">
        <v>0</v>
      </c>
      <c r="I438">
        <v>0</v>
      </c>
      <c r="J438">
        <v>0</v>
      </c>
      <c r="K438">
        <f t="shared" si="37"/>
        <v>0</v>
      </c>
      <c r="L438" t="e">
        <v>#N/A</v>
      </c>
      <c r="N438" s="7">
        <v>11</v>
      </c>
      <c r="O438" s="7">
        <v>35</v>
      </c>
      <c r="P438" s="7">
        <v>6</v>
      </c>
      <c r="Q438" s="7">
        <v>6</v>
      </c>
      <c r="R438" s="7">
        <f t="shared" si="38"/>
        <v>58</v>
      </c>
      <c r="S438" t="s">
        <v>36</v>
      </c>
      <c r="T438" s="7">
        <v>11</v>
      </c>
      <c r="U438" s="7">
        <v>35</v>
      </c>
      <c r="V438" s="7">
        <v>7</v>
      </c>
      <c r="W438" s="7">
        <v>30</v>
      </c>
      <c r="X438" s="7">
        <f t="shared" si="39"/>
        <v>83</v>
      </c>
      <c r="Y438" t="s">
        <v>36</v>
      </c>
      <c r="Z438">
        <v>57585.724357999992</v>
      </c>
      <c r="AA438" t="s">
        <v>833</v>
      </c>
      <c r="AB438" t="e">
        <v>#N/A</v>
      </c>
      <c r="AF438" t="e">
        <v>#N/A</v>
      </c>
      <c r="AG438" s="8">
        <v>122</v>
      </c>
      <c r="AH438">
        <v>25</v>
      </c>
      <c r="AI438">
        <v>83</v>
      </c>
      <c r="AJ438">
        <v>0</v>
      </c>
      <c r="AK438">
        <v>0.20491803278688525</v>
      </c>
      <c r="AL438">
        <v>2.2633936510629633</v>
      </c>
      <c r="AM438">
        <v>58</v>
      </c>
      <c r="AN438">
        <v>0</v>
      </c>
      <c r="AO438">
        <v>0.43103448275862066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>
        <v>57585.724357999992</v>
      </c>
      <c r="AV438" t="s">
        <v>489</v>
      </c>
      <c r="AW438" t="str">
        <f t="shared" si="40"/>
        <v>n/a</v>
      </c>
      <c r="AY438" t="e">
        <f t="shared" si="41"/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>
        <v>6</v>
      </c>
      <c r="BF438">
        <v>2018</v>
      </c>
    </row>
    <row r="439" spans="1:58" x14ac:dyDescent="0.2">
      <c r="A439" s="7">
        <v>0</v>
      </c>
      <c r="B439" s="7">
        <v>0</v>
      </c>
      <c r="C439" s="7">
        <v>0</v>
      </c>
      <c r="D439" s="7">
        <v>0</v>
      </c>
      <c r="E439" s="7">
        <f t="shared" si="36"/>
        <v>0</v>
      </c>
      <c r="F439" s="11" t="e">
        <v>#N/A</v>
      </c>
      <c r="G439">
        <v>0</v>
      </c>
      <c r="H439">
        <v>0</v>
      </c>
      <c r="I439">
        <v>0</v>
      </c>
      <c r="J439">
        <v>0</v>
      </c>
      <c r="K439">
        <f t="shared" si="37"/>
        <v>0</v>
      </c>
      <c r="L439" t="e">
        <v>#N/A</v>
      </c>
      <c r="M439">
        <v>20415.60296</v>
      </c>
      <c r="N439" s="7">
        <v>0</v>
      </c>
      <c r="O439" s="7">
        <v>13</v>
      </c>
      <c r="P439" s="7">
        <v>0</v>
      </c>
      <c r="Q439" s="7">
        <v>0</v>
      </c>
      <c r="R439" s="7">
        <f t="shared" si="38"/>
        <v>13</v>
      </c>
      <c r="S439" t="e">
        <v>#N/A</v>
      </c>
      <c r="T439" s="7">
        <v>0</v>
      </c>
      <c r="U439" s="7">
        <v>13</v>
      </c>
      <c r="V439" s="7">
        <v>0</v>
      </c>
      <c r="W439" s="7">
        <v>0</v>
      </c>
      <c r="X439" s="7">
        <f t="shared" si="39"/>
        <v>13</v>
      </c>
      <c r="Y439" t="e">
        <v>#N/A</v>
      </c>
      <c r="Z439">
        <v>10911.51612</v>
      </c>
      <c r="AA439" t="s">
        <v>250</v>
      </c>
      <c r="AB439">
        <v>23</v>
      </c>
      <c r="AC439">
        <v>0</v>
      </c>
      <c r="AD439" t="s">
        <v>251</v>
      </c>
      <c r="AE439" t="s">
        <v>41</v>
      </c>
      <c r="AF439" t="e">
        <v>#N/A</v>
      </c>
      <c r="AG439" s="8">
        <v>0</v>
      </c>
      <c r="AH439">
        <v>0</v>
      </c>
      <c r="AI439">
        <v>13</v>
      </c>
      <c r="AJ439">
        <v>0</v>
      </c>
      <c r="AK439" t="e">
        <v>#N/A</v>
      </c>
      <c r="AL439" t="e">
        <v>#N/A</v>
      </c>
      <c r="AM439">
        <v>13</v>
      </c>
      <c r="AN439">
        <v>0</v>
      </c>
      <c r="AO439">
        <v>0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>
        <v>31327.11908</v>
      </c>
      <c r="AV439">
        <v>2</v>
      </c>
      <c r="AW439">
        <f t="shared" si="40"/>
        <v>0</v>
      </c>
      <c r="AX439">
        <v>0</v>
      </c>
      <c r="AY439">
        <f t="shared" si="41"/>
        <v>0</v>
      </c>
      <c r="AZ439" t="e">
        <v>#N/A</v>
      </c>
      <c r="BA439">
        <v>11</v>
      </c>
      <c r="BB439">
        <v>2020</v>
      </c>
      <c r="BC439">
        <v>11</v>
      </c>
      <c r="BD439">
        <v>2020</v>
      </c>
      <c r="BE439">
        <v>2</v>
      </c>
      <c r="BF439">
        <v>2020</v>
      </c>
    </row>
    <row r="440" spans="1:58" x14ac:dyDescent="0.2">
      <c r="A440" s="7">
        <v>0</v>
      </c>
      <c r="B440" s="7">
        <v>3</v>
      </c>
      <c r="C440" s="7">
        <v>0</v>
      </c>
      <c r="D440" s="7">
        <v>0</v>
      </c>
      <c r="E440" s="7">
        <f t="shared" si="36"/>
        <v>3</v>
      </c>
      <c r="F440" s="11" t="s">
        <v>39</v>
      </c>
      <c r="G440">
        <v>0</v>
      </c>
      <c r="H440">
        <v>0</v>
      </c>
      <c r="I440">
        <v>0</v>
      </c>
      <c r="J440">
        <v>0</v>
      </c>
      <c r="K440">
        <f t="shared" si="37"/>
        <v>0</v>
      </c>
      <c r="L440" t="s">
        <v>39</v>
      </c>
      <c r="M440">
        <v>36005.043264040003</v>
      </c>
      <c r="N440" s="7">
        <v>0</v>
      </c>
      <c r="O440" s="7">
        <v>2</v>
      </c>
      <c r="P440" s="7">
        <v>0</v>
      </c>
      <c r="Q440" s="7">
        <v>0</v>
      </c>
      <c r="R440" s="7">
        <f t="shared" si="38"/>
        <v>2</v>
      </c>
      <c r="S440" t="s">
        <v>53</v>
      </c>
      <c r="T440" s="7">
        <v>0</v>
      </c>
      <c r="U440" s="7">
        <v>3</v>
      </c>
      <c r="V440" s="7">
        <v>0</v>
      </c>
      <c r="W440" s="7">
        <v>0</v>
      </c>
      <c r="X440" s="7">
        <f t="shared" si="39"/>
        <v>3</v>
      </c>
      <c r="Y440" t="s">
        <v>39</v>
      </c>
      <c r="Z440">
        <v>150425.42619202001</v>
      </c>
      <c r="AA440" t="s">
        <v>834</v>
      </c>
      <c r="AB440" t="e">
        <v>#N/A</v>
      </c>
      <c r="AF440">
        <v>49</v>
      </c>
      <c r="AG440" s="8">
        <v>11</v>
      </c>
      <c r="AH440">
        <v>1</v>
      </c>
      <c r="AI440">
        <v>0</v>
      </c>
      <c r="AJ440">
        <v>-3</v>
      </c>
      <c r="AK440">
        <v>9.0909090909090912E-2</v>
      </c>
      <c r="AL440">
        <v>0.30151134457776363</v>
      </c>
      <c r="AM440">
        <v>2</v>
      </c>
      <c r="AN440">
        <v>0</v>
      </c>
      <c r="AO440">
        <v>0.5</v>
      </c>
      <c r="AP440">
        <v>0.33333333333333331</v>
      </c>
      <c r="AQ440">
        <v>0</v>
      </c>
      <c r="AR440">
        <v>0</v>
      </c>
      <c r="AS440">
        <v>1</v>
      </c>
      <c r="AT440">
        <v>0</v>
      </c>
      <c r="AU440">
        <v>186430.46945606</v>
      </c>
      <c r="AV440" t="s">
        <v>489</v>
      </c>
      <c r="AW440" t="str">
        <f t="shared" si="40"/>
        <v>n/a</v>
      </c>
      <c r="AY440" t="e">
        <f t="shared" si="41"/>
        <v>#N/A</v>
      </c>
      <c r="AZ440" t="e">
        <v>#N/A</v>
      </c>
      <c r="BA440">
        <v>5</v>
      </c>
      <c r="BB440">
        <v>2018</v>
      </c>
      <c r="BC440">
        <v>6</v>
      </c>
      <c r="BD440">
        <v>2018</v>
      </c>
      <c r="BE440">
        <v>10</v>
      </c>
      <c r="BF440">
        <v>2018</v>
      </c>
    </row>
    <row r="441" spans="1:58" x14ac:dyDescent="0.2">
      <c r="A441" s="7">
        <v>10</v>
      </c>
      <c r="B441" s="7">
        <v>10</v>
      </c>
      <c r="C441" s="7">
        <v>1</v>
      </c>
      <c r="D441" s="7">
        <v>3</v>
      </c>
      <c r="E441" s="7">
        <f t="shared" si="36"/>
        <v>24</v>
      </c>
      <c r="F441" s="11" t="s">
        <v>36</v>
      </c>
      <c r="G441">
        <v>10</v>
      </c>
      <c r="H441">
        <v>10</v>
      </c>
      <c r="I441">
        <v>1</v>
      </c>
      <c r="J441">
        <v>3</v>
      </c>
      <c r="K441">
        <f t="shared" si="37"/>
        <v>24</v>
      </c>
      <c r="L441" t="s">
        <v>36</v>
      </c>
      <c r="M441">
        <v>24126.495821059991</v>
      </c>
      <c r="N441" s="7">
        <v>10</v>
      </c>
      <c r="O441" s="7">
        <v>10</v>
      </c>
      <c r="P441" s="7">
        <v>1</v>
      </c>
      <c r="Q441" s="7">
        <v>3</v>
      </c>
      <c r="R441" s="7">
        <f t="shared" si="38"/>
        <v>24</v>
      </c>
      <c r="S441" t="s">
        <v>36</v>
      </c>
      <c r="T441" s="7">
        <v>10</v>
      </c>
      <c r="U441" s="7">
        <v>10</v>
      </c>
      <c r="V441" s="7">
        <v>3</v>
      </c>
      <c r="W441" s="7">
        <v>7</v>
      </c>
      <c r="X441" s="7">
        <f t="shared" si="39"/>
        <v>30</v>
      </c>
      <c r="Y441" t="s">
        <v>42</v>
      </c>
      <c r="Z441">
        <v>115225.42399609</v>
      </c>
      <c r="AA441" t="s">
        <v>835</v>
      </c>
      <c r="AB441" t="e">
        <v>#N/A</v>
      </c>
      <c r="AF441">
        <v>16</v>
      </c>
      <c r="AG441" s="8">
        <v>174</v>
      </c>
      <c r="AH441">
        <v>6</v>
      </c>
      <c r="AI441">
        <v>6</v>
      </c>
      <c r="AJ441">
        <v>0</v>
      </c>
      <c r="AK441">
        <v>3.4482758620689655E-2</v>
      </c>
      <c r="AL441">
        <v>0.45485882614734202</v>
      </c>
      <c r="AM441">
        <v>0</v>
      </c>
      <c r="AN441">
        <v>0</v>
      </c>
      <c r="AO441">
        <v>0.25</v>
      </c>
      <c r="AP441">
        <v>0.25</v>
      </c>
      <c r="AQ441">
        <v>0.125</v>
      </c>
      <c r="AR441">
        <v>0.41666666666666669</v>
      </c>
      <c r="AS441">
        <v>0.41666666666666669</v>
      </c>
      <c r="AT441">
        <v>4.1666666666666664E-2</v>
      </c>
      <c r="AU441">
        <v>139351.91981714999</v>
      </c>
      <c r="AV441" t="s">
        <v>489</v>
      </c>
      <c r="AW441" t="str">
        <f t="shared" si="40"/>
        <v>n/a</v>
      </c>
      <c r="AY441" t="e">
        <f t="shared" si="41"/>
        <v>#N/A</v>
      </c>
      <c r="AZ441" t="e">
        <v>#N/A</v>
      </c>
      <c r="BA441">
        <v>6</v>
      </c>
      <c r="BB441">
        <v>2018</v>
      </c>
      <c r="BC441">
        <v>7</v>
      </c>
      <c r="BD441">
        <v>2018</v>
      </c>
      <c r="BE441">
        <v>6</v>
      </c>
      <c r="BF441">
        <v>2018</v>
      </c>
    </row>
    <row r="442" spans="1:58" x14ac:dyDescent="0.2">
      <c r="A442" s="7">
        <v>6</v>
      </c>
      <c r="B442" s="7">
        <v>10</v>
      </c>
      <c r="C442" s="7">
        <v>0</v>
      </c>
      <c r="D442" s="7">
        <v>2</v>
      </c>
      <c r="E442" s="7">
        <f t="shared" si="36"/>
        <v>18</v>
      </c>
      <c r="F442" s="11" t="s">
        <v>36</v>
      </c>
      <c r="G442">
        <v>6</v>
      </c>
      <c r="H442">
        <v>10</v>
      </c>
      <c r="I442">
        <v>0</v>
      </c>
      <c r="J442">
        <v>2</v>
      </c>
      <c r="K442">
        <f t="shared" si="37"/>
        <v>18</v>
      </c>
      <c r="L442" t="s">
        <v>36</v>
      </c>
      <c r="M442">
        <v>26568.656591669998</v>
      </c>
      <c r="N442" s="7">
        <v>6</v>
      </c>
      <c r="O442" s="7">
        <v>10</v>
      </c>
      <c r="P442" s="7">
        <v>0</v>
      </c>
      <c r="Q442" s="7">
        <v>2</v>
      </c>
      <c r="R442" s="7">
        <f t="shared" si="38"/>
        <v>18</v>
      </c>
      <c r="S442" t="s">
        <v>36</v>
      </c>
      <c r="T442" s="7">
        <v>18</v>
      </c>
      <c r="U442" s="7">
        <v>33</v>
      </c>
      <c r="V442" s="7">
        <v>9</v>
      </c>
      <c r="W442" s="7">
        <v>9</v>
      </c>
      <c r="X442" s="7">
        <f t="shared" si="39"/>
        <v>69</v>
      </c>
      <c r="Y442" t="s">
        <v>36</v>
      </c>
      <c r="Z442">
        <v>88816.879559609995</v>
      </c>
      <c r="AA442" t="s">
        <v>836</v>
      </c>
      <c r="AB442" t="e">
        <v>#N/A</v>
      </c>
      <c r="AF442" t="e">
        <v>#N/A</v>
      </c>
      <c r="AG442" s="8">
        <v>147</v>
      </c>
      <c r="AH442">
        <v>51</v>
      </c>
      <c r="AI442">
        <v>51</v>
      </c>
      <c r="AJ442">
        <v>0</v>
      </c>
      <c r="AK442">
        <v>0.34693877551020408</v>
      </c>
      <c r="AL442">
        <v>4.2064091040958447</v>
      </c>
      <c r="AM442">
        <v>0</v>
      </c>
      <c r="AN442">
        <v>0</v>
      </c>
      <c r="AO442">
        <v>2.8333333333333335</v>
      </c>
      <c r="AP442">
        <v>2.8333333333333335</v>
      </c>
      <c r="AQ442">
        <v>0.1111111111111111</v>
      </c>
      <c r="AR442">
        <v>0.33333333333333331</v>
      </c>
      <c r="AS442">
        <v>0.55555555555555558</v>
      </c>
      <c r="AT442">
        <v>0</v>
      </c>
      <c r="AU442">
        <v>115385.53615127999</v>
      </c>
      <c r="AV442" t="s">
        <v>489</v>
      </c>
      <c r="AW442" t="str">
        <f t="shared" si="40"/>
        <v>n/a</v>
      </c>
      <c r="AY442" t="e">
        <f t="shared" si="41"/>
        <v>#N/A</v>
      </c>
      <c r="AZ442" t="e">
        <v>#N/A</v>
      </c>
      <c r="BA442">
        <v>6</v>
      </c>
      <c r="BB442">
        <v>2018</v>
      </c>
      <c r="BC442">
        <v>6</v>
      </c>
      <c r="BD442">
        <v>2018</v>
      </c>
      <c r="BE442">
        <v>6</v>
      </c>
      <c r="BF442">
        <v>2018</v>
      </c>
    </row>
    <row r="443" spans="1:58" x14ac:dyDescent="0.2">
      <c r="A443" s="7">
        <v>0</v>
      </c>
      <c r="B443" s="7">
        <v>0</v>
      </c>
      <c r="C443" s="7">
        <v>0</v>
      </c>
      <c r="D443" s="7">
        <v>0</v>
      </c>
      <c r="E443" s="7">
        <f t="shared" si="36"/>
        <v>0</v>
      </c>
      <c r="F443" s="11" t="e">
        <v>#N/A</v>
      </c>
      <c r="G443">
        <v>0</v>
      </c>
      <c r="H443">
        <v>0</v>
      </c>
      <c r="I443">
        <v>0</v>
      </c>
      <c r="J443">
        <v>0</v>
      </c>
      <c r="K443">
        <f t="shared" si="37"/>
        <v>0</v>
      </c>
      <c r="L443" t="e">
        <v>#N/A</v>
      </c>
      <c r="N443" s="7">
        <v>6</v>
      </c>
      <c r="O443" s="7">
        <v>11</v>
      </c>
      <c r="P443" s="7">
        <v>0</v>
      </c>
      <c r="Q443" s="7">
        <v>0</v>
      </c>
      <c r="R443" s="7">
        <f t="shared" si="38"/>
        <v>17</v>
      </c>
      <c r="S443" t="s">
        <v>52</v>
      </c>
      <c r="T443" s="7">
        <v>6</v>
      </c>
      <c r="U443" s="7">
        <v>11</v>
      </c>
      <c r="V443" s="7">
        <v>0</v>
      </c>
      <c r="W443" s="7">
        <v>0</v>
      </c>
      <c r="X443" s="7">
        <f t="shared" si="39"/>
        <v>17</v>
      </c>
      <c r="Y443" t="s">
        <v>52</v>
      </c>
      <c r="Z443">
        <v>57165.523480069998</v>
      </c>
      <c r="AA443" t="s">
        <v>837</v>
      </c>
      <c r="AB443" t="e">
        <v>#N/A</v>
      </c>
      <c r="AF443" t="e">
        <v>#N/A</v>
      </c>
      <c r="AG443" s="8">
        <v>98</v>
      </c>
      <c r="AH443">
        <v>0</v>
      </c>
      <c r="AI443">
        <v>17</v>
      </c>
      <c r="AJ443">
        <v>0</v>
      </c>
      <c r="AK443">
        <v>0</v>
      </c>
      <c r="AL443">
        <v>0</v>
      </c>
      <c r="AM443">
        <v>17</v>
      </c>
      <c r="AN443">
        <v>0</v>
      </c>
      <c r="AO443">
        <v>0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>
        <v>57165.523480069998</v>
      </c>
      <c r="AV443" t="s">
        <v>489</v>
      </c>
      <c r="AW443" t="str">
        <f t="shared" si="40"/>
        <v>n/a</v>
      </c>
      <c r="AY443" t="e">
        <f t="shared" si="41"/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>
        <v>6</v>
      </c>
      <c r="BF443">
        <v>2018</v>
      </c>
    </row>
    <row r="444" spans="1:58" x14ac:dyDescent="0.2">
      <c r="A444" s="7">
        <v>0</v>
      </c>
      <c r="B444" s="7">
        <v>2</v>
      </c>
      <c r="C444" s="7">
        <v>0</v>
      </c>
      <c r="D444" s="7">
        <v>0</v>
      </c>
      <c r="E444" s="7">
        <f t="shared" si="36"/>
        <v>2</v>
      </c>
      <c r="F444" s="11" t="s">
        <v>58</v>
      </c>
      <c r="G444">
        <v>0</v>
      </c>
      <c r="H444">
        <v>2</v>
      </c>
      <c r="I444">
        <v>0</v>
      </c>
      <c r="J444">
        <v>0</v>
      </c>
      <c r="K444">
        <f t="shared" si="37"/>
        <v>2</v>
      </c>
      <c r="L444" t="s">
        <v>58</v>
      </c>
      <c r="M444">
        <v>54288.657034639997</v>
      </c>
      <c r="N444" s="7">
        <v>0</v>
      </c>
      <c r="O444" s="7">
        <v>2</v>
      </c>
      <c r="P444" s="7">
        <v>0</v>
      </c>
      <c r="Q444" s="7">
        <v>0</v>
      </c>
      <c r="R444" s="7">
        <f t="shared" si="38"/>
        <v>2</v>
      </c>
      <c r="S444" t="s">
        <v>58</v>
      </c>
      <c r="T444" s="7">
        <v>6</v>
      </c>
      <c r="U444" s="7">
        <v>22</v>
      </c>
      <c r="V444" s="7">
        <v>5</v>
      </c>
      <c r="W444" s="7">
        <v>0</v>
      </c>
      <c r="X444" s="7">
        <f t="shared" si="39"/>
        <v>33</v>
      </c>
      <c r="Y444" t="s">
        <v>83</v>
      </c>
      <c r="Z444">
        <v>267860.76242072001</v>
      </c>
      <c r="AA444" t="s">
        <v>838</v>
      </c>
      <c r="AB444">
        <v>42</v>
      </c>
      <c r="AC444">
        <v>0</v>
      </c>
      <c r="AD444" t="s">
        <v>252</v>
      </c>
      <c r="AE444" t="s">
        <v>41</v>
      </c>
      <c r="AF444" t="e">
        <v>#N/A</v>
      </c>
      <c r="AG444" s="8">
        <v>441</v>
      </c>
      <c r="AH444">
        <v>31</v>
      </c>
      <c r="AI444">
        <v>31</v>
      </c>
      <c r="AJ444">
        <v>0</v>
      </c>
      <c r="AK444">
        <v>7.029478458049887E-2</v>
      </c>
      <c r="AL444">
        <v>1.4761904761904763</v>
      </c>
      <c r="AM444">
        <v>0</v>
      </c>
      <c r="AN444">
        <v>0</v>
      </c>
      <c r="AO444">
        <v>15.5</v>
      </c>
      <c r="AP444">
        <v>15.5</v>
      </c>
      <c r="AQ444">
        <v>0</v>
      </c>
      <c r="AR444">
        <v>0</v>
      </c>
      <c r="AS444">
        <v>1</v>
      </c>
      <c r="AT444">
        <v>0</v>
      </c>
      <c r="AU444">
        <v>322149.41945536004</v>
      </c>
      <c r="AV444">
        <v>14</v>
      </c>
      <c r="AW444">
        <f t="shared" si="40"/>
        <v>1</v>
      </c>
      <c r="AX444">
        <v>0</v>
      </c>
      <c r="AY444">
        <f t="shared" si="41"/>
        <v>0</v>
      </c>
      <c r="AZ444" t="e">
        <v>#N/A</v>
      </c>
      <c r="BA444">
        <v>7</v>
      </c>
      <c r="BB444">
        <v>2018</v>
      </c>
      <c r="BC444">
        <v>7</v>
      </c>
      <c r="BD444">
        <v>2018</v>
      </c>
      <c r="BE444">
        <v>1</v>
      </c>
      <c r="BF444">
        <v>2018</v>
      </c>
    </row>
    <row r="445" spans="1:58" x14ac:dyDescent="0.2">
      <c r="A445" s="7">
        <v>0</v>
      </c>
      <c r="B445" s="7">
        <v>9</v>
      </c>
      <c r="C445" s="7">
        <v>0</v>
      </c>
      <c r="D445" s="7">
        <v>0</v>
      </c>
      <c r="E445" s="7">
        <f t="shared" si="36"/>
        <v>9</v>
      </c>
      <c r="F445" s="11" t="s">
        <v>36</v>
      </c>
      <c r="G445">
        <v>0</v>
      </c>
      <c r="H445">
        <v>9</v>
      </c>
      <c r="I445">
        <v>0</v>
      </c>
      <c r="J445">
        <v>0</v>
      </c>
      <c r="K445">
        <f t="shared" si="37"/>
        <v>9</v>
      </c>
      <c r="L445" t="s">
        <v>36</v>
      </c>
      <c r="M445">
        <v>96495.86166522</v>
      </c>
      <c r="N445" s="7">
        <v>0</v>
      </c>
      <c r="O445" s="7">
        <v>9</v>
      </c>
      <c r="P445" s="7">
        <v>0</v>
      </c>
      <c r="Q445" s="7">
        <v>0</v>
      </c>
      <c r="R445" s="7">
        <f t="shared" si="38"/>
        <v>9</v>
      </c>
      <c r="S445" t="s">
        <v>36</v>
      </c>
      <c r="T445" s="7">
        <v>19</v>
      </c>
      <c r="U445" s="7">
        <v>40</v>
      </c>
      <c r="V445" s="7">
        <v>10</v>
      </c>
      <c r="W445" s="7">
        <v>17</v>
      </c>
      <c r="X445" s="7">
        <f t="shared" si="39"/>
        <v>86</v>
      </c>
      <c r="Y445" t="s">
        <v>36</v>
      </c>
      <c r="Z445">
        <v>159777.16121949989</v>
      </c>
      <c r="AA445" t="s">
        <v>839</v>
      </c>
      <c r="AB445">
        <v>63</v>
      </c>
      <c r="AC445">
        <v>0</v>
      </c>
      <c r="AD445" t="s">
        <v>253</v>
      </c>
      <c r="AE445" t="s">
        <v>75</v>
      </c>
      <c r="AF445" t="e">
        <v>#N/A</v>
      </c>
      <c r="AG445" s="8">
        <v>408</v>
      </c>
      <c r="AH445">
        <v>77</v>
      </c>
      <c r="AI445">
        <v>77</v>
      </c>
      <c r="AJ445">
        <v>0</v>
      </c>
      <c r="AK445">
        <v>0.18872549019607843</v>
      </c>
      <c r="AL445">
        <v>3.8120680404601961</v>
      </c>
      <c r="AM445">
        <v>0</v>
      </c>
      <c r="AN445">
        <v>0</v>
      </c>
      <c r="AO445">
        <v>8.5555555555555554</v>
      </c>
      <c r="AP445">
        <v>8.5555555555555554</v>
      </c>
      <c r="AQ445">
        <v>0</v>
      </c>
      <c r="AR445">
        <v>0</v>
      </c>
      <c r="AS445">
        <v>1</v>
      </c>
      <c r="AT445">
        <v>0</v>
      </c>
      <c r="AU445">
        <v>256273.02288471989</v>
      </c>
      <c r="AV445">
        <v>7</v>
      </c>
      <c r="AW445">
        <f t="shared" si="40"/>
        <v>0</v>
      </c>
      <c r="AX445">
        <v>0</v>
      </c>
      <c r="AY445">
        <f t="shared" si="41"/>
        <v>0</v>
      </c>
      <c r="AZ445" t="e">
        <v>#N/A</v>
      </c>
      <c r="BA445">
        <v>8</v>
      </c>
      <c r="BB445">
        <v>2018</v>
      </c>
      <c r="BC445">
        <v>8</v>
      </c>
      <c r="BD445">
        <v>2018</v>
      </c>
      <c r="BE445">
        <v>8</v>
      </c>
      <c r="BF445">
        <v>2018</v>
      </c>
    </row>
    <row r="446" spans="1:58" x14ac:dyDescent="0.2">
      <c r="A446" s="7">
        <v>20</v>
      </c>
      <c r="B446" s="7">
        <v>24</v>
      </c>
      <c r="C446" s="7">
        <v>9</v>
      </c>
      <c r="D446" s="7">
        <v>8</v>
      </c>
      <c r="E446" s="7">
        <f t="shared" si="36"/>
        <v>61</v>
      </c>
      <c r="F446" s="11" t="s">
        <v>68</v>
      </c>
      <c r="G446">
        <v>20</v>
      </c>
      <c r="H446">
        <v>24</v>
      </c>
      <c r="I446">
        <v>9</v>
      </c>
      <c r="J446">
        <v>8</v>
      </c>
      <c r="K446">
        <f t="shared" si="37"/>
        <v>61</v>
      </c>
      <c r="L446" t="s">
        <v>68</v>
      </c>
      <c r="M446">
        <v>4845.7911733599994</v>
      </c>
      <c r="N446" s="7">
        <v>20</v>
      </c>
      <c r="O446" s="7">
        <v>24</v>
      </c>
      <c r="P446" s="7">
        <v>9</v>
      </c>
      <c r="Q446" s="7">
        <v>8</v>
      </c>
      <c r="R446" s="7">
        <f t="shared" si="38"/>
        <v>61</v>
      </c>
      <c r="S446" t="s">
        <v>68</v>
      </c>
      <c r="T446" s="7">
        <v>20</v>
      </c>
      <c r="U446" s="7">
        <v>24</v>
      </c>
      <c r="V446" s="7">
        <v>9</v>
      </c>
      <c r="W446" s="7">
        <v>8</v>
      </c>
      <c r="X446" s="7">
        <f t="shared" si="39"/>
        <v>61</v>
      </c>
      <c r="Y446" t="s">
        <v>68</v>
      </c>
      <c r="Z446">
        <v>4572.4994200000001</v>
      </c>
      <c r="AA446" t="s">
        <v>840</v>
      </c>
      <c r="AB446" t="e">
        <v>#N/A</v>
      </c>
      <c r="AF446" t="e">
        <v>#N/A</v>
      </c>
      <c r="AG446" s="8">
        <v>0</v>
      </c>
      <c r="AH446">
        <v>0</v>
      </c>
      <c r="AI446">
        <v>0</v>
      </c>
      <c r="AJ446">
        <v>0</v>
      </c>
      <c r="AK446" t="e">
        <v>#N/A</v>
      </c>
      <c r="AL446" t="e">
        <v>#N/A</v>
      </c>
      <c r="AM446">
        <v>0</v>
      </c>
      <c r="AN446">
        <v>0</v>
      </c>
      <c r="AO446">
        <v>0</v>
      </c>
      <c r="AP446">
        <v>0</v>
      </c>
      <c r="AQ446">
        <v>0.13114754098360656</v>
      </c>
      <c r="AR446">
        <v>0.32786885245901637</v>
      </c>
      <c r="AS446">
        <v>0.39344262295081966</v>
      </c>
      <c r="AT446">
        <v>0.14754098360655737</v>
      </c>
      <c r="AU446">
        <v>9418.2905933599995</v>
      </c>
      <c r="AV446" t="s">
        <v>489</v>
      </c>
      <c r="AW446" t="str">
        <f t="shared" si="40"/>
        <v>n/a</v>
      </c>
      <c r="AY446" t="e">
        <f t="shared" si="41"/>
        <v>#N/A</v>
      </c>
      <c r="AZ446" t="e">
        <v>#N/A</v>
      </c>
      <c r="BA446">
        <v>8</v>
      </c>
      <c r="BB446">
        <v>2018</v>
      </c>
      <c r="BC446">
        <v>8</v>
      </c>
      <c r="BD446">
        <v>2018</v>
      </c>
      <c r="BE446">
        <v>10</v>
      </c>
      <c r="BF446">
        <v>2018</v>
      </c>
    </row>
    <row r="447" spans="1:58" x14ac:dyDescent="0.2">
      <c r="A447" s="7">
        <v>18</v>
      </c>
      <c r="B447" s="7">
        <v>40</v>
      </c>
      <c r="C447" s="7">
        <v>9</v>
      </c>
      <c r="D447" s="7">
        <v>7</v>
      </c>
      <c r="E447" s="7">
        <f t="shared" si="36"/>
        <v>74</v>
      </c>
      <c r="F447" s="11" t="s">
        <v>36</v>
      </c>
      <c r="G447">
        <v>20</v>
      </c>
      <c r="H447">
        <v>40</v>
      </c>
      <c r="I447">
        <v>6</v>
      </c>
      <c r="J447">
        <v>0</v>
      </c>
      <c r="K447">
        <f t="shared" si="37"/>
        <v>66</v>
      </c>
      <c r="L447" t="s">
        <v>36</v>
      </c>
      <c r="M447">
        <v>13726.08120122</v>
      </c>
      <c r="N447" s="7">
        <v>18</v>
      </c>
      <c r="O447" s="7">
        <v>40</v>
      </c>
      <c r="P447" s="7">
        <v>9</v>
      </c>
      <c r="Q447" s="7">
        <v>7</v>
      </c>
      <c r="R447" s="7">
        <f t="shared" si="38"/>
        <v>74</v>
      </c>
      <c r="S447" t="s">
        <v>36</v>
      </c>
      <c r="T447" s="7">
        <v>19</v>
      </c>
      <c r="U447" s="7">
        <v>40</v>
      </c>
      <c r="V447" s="7">
        <v>10</v>
      </c>
      <c r="W447" s="7">
        <v>30</v>
      </c>
      <c r="X447" s="7">
        <f t="shared" si="39"/>
        <v>99</v>
      </c>
      <c r="Y447" t="s">
        <v>36</v>
      </c>
      <c r="Z447">
        <v>18763.303795690001</v>
      </c>
      <c r="AA447" t="s">
        <v>841</v>
      </c>
      <c r="AB447" t="e">
        <v>#N/A</v>
      </c>
      <c r="AF447">
        <v>162</v>
      </c>
      <c r="AG447" s="8">
        <v>32</v>
      </c>
      <c r="AH447">
        <v>25</v>
      </c>
      <c r="AI447">
        <v>25</v>
      </c>
      <c r="AJ447">
        <v>-8</v>
      </c>
      <c r="AK447">
        <v>0.78125</v>
      </c>
      <c r="AL447">
        <v>4.4194173824159213</v>
      </c>
      <c r="AM447">
        <v>8</v>
      </c>
      <c r="AN447">
        <v>0</v>
      </c>
      <c r="AO447">
        <v>0.33783783783783783</v>
      </c>
      <c r="AP447">
        <v>0.33783783783783783</v>
      </c>
      <c r="AQ447">
        <v>9.45945945945946E-2</v>
      </c>
      <c r="AR447">
        <v>0.24324324324324326</v>
      </c>
      <c r="AS447">
        <v>0.54054054054054057</v>
      </c>
      <c r="AT447">
        <v>0.12162162162162163</v>
      </c>
      <c r="AU447">
        <v>32489.384996910001</v>
      </c>
      <c r="AV447" t="s">
        <v>489</v>
      </c>
      <c r="AW447" t="str">
        <f t="shared" si="40"/>
        <v>n/a</v>
      </c>
      <c r="AY447" t="e">
        <f t="shared" si="41"/>
        <v>#N/A</v>
      </c>
      <c r="AZ447" t="e">
        <v>#N/A</v>
      </c>
      <c r="BA447">
        <v>1</v>
      </c>
      <c r="BB447">
        <v>2018</v>
      </c>
      <c r="BC447">
        <v>6</v>
      </c>
      <c r="BD447">
        <v>2018</v>
      </c>
      <c r="BE447">
        <v>7</v>
      </c>
      <c r="BF447">
        <v>2018</v>
      </c>
    </row>
    <row r="448" spans="1:58" x14ac:dyDescent="0.2">
      <c r="A448" s="7">
        <v>14</v>
      </c>
      <c r="B448" s="7">
        <v>10</v>
      </c>
      <c r="C448" s="7">
        <v>0</v>
      </c>
      <c r="D448" s="7">
        <v>0</v>
      </c>
      <c r="E448" s="7">
        <f t="shared" si="36"/>
        <v>24</v>
      </c>
      <c r="F448" s="11" t="s">
        <v>36</v>
      </c>
      <c r="G448">
        <v>17</v>
      </c>
      <c r="H448">
        <v>37</v>
      </c>
      <c r="I448">
        <v>4</v>
      </c>
      <c r="J448">
        <v>5</v>
      </c>
      <c r="K448">
        <f t="shared" si="37"/>
        <v>63</v>
      </c>
      <c r="L448" t="s">
        <v>36</v>
      </c>
      <c r="M448">
        <v>16893.332090560001</v>
      </c>
      <c r="N448" s="7">
        <v>17</v>
      </c>
      <c r="O448" s="7">
        <v>37</v>
      </c>
      <c r="P448" s="7">
        <v>4</v>
      </c>
      <c r="Q448" s="7">
        <v>5</v>
      </c>
      <c r="R448" s="7">
        <f t="shared" si="38"/>
        <v>63</v>
      </c>
      <c r="S448" t="s">
        <v>36</v>
      </c>
      <c r="T448" s="7">
        <v>17</v>
      </c>
      <c r="U448" s="7">
        <v>37</v>
      </c>
      <c r="V448" s="7">
        <v>8</v>
      </c>
      <c r="W448" s="7">
        <v>30</v>
      </c>
      <c r="X448" s="7">
        <f t="shared" si="39"/>
        <v>92</v>
      </c>
      <c r="Y448" t="s">
        <v>36</v>
      </c>
      <c r="Z448">
        <v>33194.344512279997</v>
      </c>
      <c r="AA448" t="s">
        <v>842</v>
      </c>
      <c r="AB448" t="e">
        <v>#N/A</v>
      </c>
      <c r="AF448">
        <v>168</v>
      </c>
      <c r="AG448" s="8">
        <v>63</v>
      </c>
      <c r="AH448">
        <v>29</v>
      </c>
      <c r="AI448">
        <v>68</v>
      </c>
      <c r="AJ448">
        <v>39</v>
      </c>
      <c r="AK448">
        <v>0.46031746031746029</v>
      </c>
      <c r="AL448">
        <v>3.6536565724225296</v>
      </c>
      <c r="AM448">
        <v>0</v>
      </c>
      <c r="AN448">
        <v>0</v>
      </c>
      <c r="AO448">
        <v>0.46031746031746029</v>
      </c>
      <c r="AP448">
        <v>1.2083333333333333</v>
      </c>
      <c r="AQ448">
        <v>0</v>
      </c>
      <c r="AR448">
        <v>0.58333333333333337</v>
      </c>
      <c r="AS448">
        <v>0.41666666666666669</v>
      </c>
      <c r="AT448">
        <v>0</v>
      </c>
      <c r="AU448">
        <v>50087.676602840002</v>
      </c>
      <c r="AV448" t="s">
        <v>489</v>
      </c>
      <c r="AW448" t="str">
        <f t="shared" si="40"/>
        <v>n/a</v>
      </c>
      <c r="AY448" t="e">
        <f t="shared" si="41"/>
        <v>#N/A</v>
      </c>
      <c r="AZ448" t="e">
        <v>#N/A</v>
      </c>
      <c r="BA448">
        <v>6</v>
      </c>
      <c r="BB448">
        <v>2018</v>
      </c>
      <c r="BC448">
        <v>12</v>
      </c>
      <c r="BD448">
        <v>2018</v>
      </c>
      <c r="BE448">
        <v>7</v>
      </c>
      <c r="BF448">
        <v>2018</v>
      </c>
    </row>
    <row r="449" spans="1:58" x14ac:dyDescent="0.2">
      <c r="A449" s="7">
        <v>0</v>
      </c>
      <c r="B449" s="7">
        <v>9</v>
      </c>
      <c r="C449" s="7">
        <v>2</v>
      </c>
      <c r="D449" s="7">
        <v>0</v>
      </c>
      <c r="E449" s="7">
        <f t="shared" si="36"/>
        <v>11</v>
      </c>
      <c r="F449" s="11" t="s">
        <v>36</v>
      </c>
      <c r="G449">
        <v>0</v>
      </c>
      <c r="H449">
        <v>6</v>
      </c>
      <c r="I449">
        <v>0</v>
      </c>
      <c r="J449">
        <v>0</v>
      </c>
      <c r="K449">
        <f t="shared" si="37"/>
        <v>6</v>
      </c>
      <c r="L449" t="s">
        <v>36</v>
      </c>
      <c r="M449">
        <v>26320.383494000002</v>
      </c>
      <c r="N449" s="7">
        <v>0</v>
      </c>
      <c r="O449" s="7">
        <v>9</v>
      </c>
      <c r="P449" s="7">
        <v>2</v>
      </c>
      <c r="Q449" s="7">
        <v>0</v>
      </c>
      <c r="R449" s="7">
        <f t="shared" si="38"/>
        <v>11</v>
      </c>
      <c r="S449" t="s">
        <v>36</v>
      </c>
      <c r="T449" s="7">
        <v>0</v>
      </c>
      <c r="U449" s="7">
        <v>17</v>
      </c>
      <c r="V449" s="7">
        <v>0</v>
      </c>
      <c r="W449" s="7">
        <v>3</v>
      </c>
      <c r="X449" s="7">
        <f t="shared" si="39"/>
        <v>20</v>
      </c>
      <c r="Y449" t="s">
        <v>36</v>
      </c>
      <c r="Z449">
        <v>230031.37999297999</v>
      </c>
      <c r="AA449" t="s">
        <v>843</v>
      </c>
      <c r="AB449">
        <v>59</v>
      </c>
      <c r="AC449">
        <v>0</v>
      </c>
      <c r="AD449" t="s">
        <v>254</v>
      </c>
      <c r="AE449" t="s">
        <v>41</v>
      </c>
      <c r="AF449">
        <v>76</v>
      </c>
      <c r="AG449" s="8">
        <v>360</v>
      </c>
      <c r="AH449">
        <v>9</v>
      </c>
      <c r="AI449">
        <v>9</v>
      </c>
      <c r="AJ449">
        <v>-5</v>
      </c>
      <c r="AK449">
        <v>2.5000000000000001E-2</v>
      </c>
      <c r="AL449">
        <v>0.47434164902525688</v>
      </c>
      <c r="AM449">
        <v>5</v>
      </c>
      <c r="AN449">
        <v>0</v>
      </c>
      <c r="AO449">
        <v>0.81818181818181823</v>
      </c>
      <c r="AP449">
        <v>0.81818181818181823</v>
      </c>
      <c r="AQ449">
        <v>0</v>
      </c>
      <c r="AR449">
        <v>0</v>
      </c>
      <c r="AS449">
        <v>0.81818181818181823</v>
      </c>
      <c r="AT449">
        <v>0.18181818181818182</v>
      </c>
      <c r="AU449">
        <v>256351.76348697999</v>
      </c>
      <c r="AV449">
        <v>12</v>
      </c>
      <c r="AW449">
        <f t="shared" si="40"/>
        <v>1</v>
      </c>
      <c r="AX449">
        <v>0</v>
      </c>
      <c r="AY449">
        <f t="shared" si="41"/>
        <v>0</v>
      </c>
      <c r="AZ449">
        <v>0</v>
      </c>
      <c r="BA449">
        <v>4</v>
      </c>
      <c r="BB449">
        <v>2018</v>
      </c>
      <c r="BC449">
        <v>6</v>
      </c>
      <c r="BD449">
        <v>2018</v>
      </c>
      <c r="BE449">
        <v>11</v>
      </c>
      <c r="BF449">
        <v>2018</v>
      </c>
    </row>
    <row r="450" spans="1:58" x14ac:dyDescent="0.2">
      <c r="A450" s="7">
        <v>12</v>
      </c>
      <c r="B450" s="7">
        <v>11</v>
      </c>
      <c r="C450" s="7">
        <v>0</v>
      </c>
      <c r="D450" s="7">
        <v>0</v>
      </c>
      <c r="E450" s="7">
        <f t="shared" ref="E450:E513" si="42">SUM(A450,B450,C450,D450)</f>
        <v>23</v>
      </c>
      <c r="F450" s="11" t="s">
        <v>36</v>
      </c>
      <c r="G450">
        <v>12</v>
      </c>
      <c r="H450">
        <v>11</v>
      </c>
      <c r="I450">
        <v>0</v>
      </c>
      <c r="J450">
        <v>0</v>
      </c>
      <c r="K450">
        <f t="shared" ref="K450:K513" si="43">SUM(G450,H450,I450,J450)</f>
        <v>23</v>
      </c>
      <c r="L450" t="s">
        <v>36</v>
      </c>
      <c r="M450">
        <v>17342.576424399998</v>
      </c>
      <c r="N450" s="7">
        <v>9</v>
      </c>
      <c r="O450" s="7">
        <v>11</v>
      </c>
      <c r="P450" s="7">
        <v>1</v>
      </c>
      <c r="Q450" s="7">
        <v>5</v>
      </c>
      <c r="R450" s="7">
        <f t="shared" ref="R450:R513" si="44">SUM(N450,O450,P450,Q450)</f>
        <v>26</v>
      </c>
      <c r="S450" t="s">
        <v>36</v>
      </c>
      <c r="T450" s="7">
        <v>18</v>
      </c>
      <c r="U450" s="7">
        <v>26</v>
      </c>
      <c r="V450" s="7">
        <v>5</v>
      </c>
      <c r="W450" s="7">
        <v>8</v>
      </c>
      <c r="X450" s="7">
        <f t="shared" ref="X450:X513" si="45">SUM(T450,U450,V450,W450)</f>
        <v>57</v>
      </c>
      <c r="Y450" t="s">
        <v>36</v>
      </c>
      <c r="Z450">
        <v>149050.39244324001</v>
      </c>
      <c r="AA450" t="s">
        <v>844</v>
      </c>
      <c r="AB450">
        <v>65</v>
      </c>
      <c r="AC450">
        <v>0</v>
      </c>
      <c r="AD450" t="s">
        <v>255</v>
      </c>
      <c r="AE450" t="s">
        <v>41</v>
      </c>
      <c r="AF450" t="e">
        <v>#N/A</v>
      </c>
      <c r="AG450" s="8">
        <v>125</v>
      </c>
      <c r="AH450">
        <v>31</v>
      </c>
      <c r="AI450">
        <v>34</v>
      </c>
      <c r="AJ450">
        <v>0</v>
      </c>
      <c r="AK450">
        <v>0.248</v>
      </c>
      <c r="AL450">
        <v>2.7727242920997393</v>
      </c>
      <c r="AM450">
        <v>3</v>
      </c>
      <c r="AN450">
        <v>0</v>
      </c>
      <c r="AO450">
        <v>1.1923076923076923</v>
      </c>
      <c r="AP450">
        <v>1.3478260869565217</v>
      </c>
      <c r="AQ450">
        <v>0</v>
      </c>
      <c r="AR450">
        <v>0.52173913043478259</v>
      </c>
      <c r="AS450">
        <v>0.47826086956521741</v>
      </c>
      <c r="AT450">
        <v>0</v>
      </c>
      <c r="AU450">
        <v>166392.96886764001</v>
      </c>
      <c r="AV450">
        <v>9</v>
      </c>
      <c r="AW450">
        <f t="shared" si="40"/>
        <v>0</v>
      </c>
      <c r="AX450">
        <v>0</v>
      </c>
      <c r="AY450">
        <f t="shared" si="41"/>
        <v>0</v>
      </c>
      <c r="AZ450" t="e">
        <v>#N/A</v>
      </c>
      <c r="BA450">
        <v>9</v>
      </c>
      <c r="BB450">
        <v>2019</v>
      </c>
      <c r="BC450">
        <v>9</v>
      </c>
      <c r="BD450">
        <v>2019</v>
      </c>
      <c r="BE450">
        <v>1</v>
      </c>
      <c r="BF450">
        <v>2019</v>
      </c>
    </row>
    <row r="451" spans="1:58" x14ac:dyDescent="0.2">
      <c r="A451" s="7">
        <v>0</v>
      </c>
      <c r="B451" s="7">
        <v>0</v>
      </c>
      <c r="C451" s="7">
        <v>0</v>
      </c>
      <c r="D451" s="7">
        <v>0</v>
      </c>
      <c r="E451" s="7">
        <f t="shared" si="42"/>
        <v>0</v>
      </c>
      <c r="F451" s="11" t="e">
        <v>#N/A</v>
      </c>
      <c r="G451">
        <v>0</v>
      </c>
      <c r="H451">
        <v>0</v>
      </c>
      <c r="I451">
        <v>0</v>
      </c>
      <c r="J451">
        <v>0</v>
      </c>
      <c r="K451">
        <f t="shared" si="43"/>
        <v>0</v>
      </c>
      <c r="L451" t="e">
        <v>#N/A</v>
      </c>
      <c r="N451" s="7">
        <v>0</v>
      </c>
      <c r="O451" s="7">
        <v>21</v>
      </c>
      <c r="P451" s="7">
        <v>0</v>
      </c>
      <c r="Q451" s="7">
        <v>0</v>
      </c>
      <c r="R451" s="7">
        <f t="shared" si="44"/>
        <v>21</v>
      </c>
      <c r="S451" t="e">
        <v>#N/A</v>
      </c>
      <c r="T451" s="7">
        <v>0</v>
      </c>
      <c r="U451" s="7">
        <v>21</v>
      </c>
      <c r="V451" s="7">
        <v>0</v>
      </c>
      <c r="W451" s="7">
        <v>0</v>
      </c>
      <c r="X451" s="7">
        <f t="shared" si="45"/>
        <v>21</v>
      </c>
      <c r="Y451" t="e">
        <v>#N/A</v>
      </c>
      <c r="Z451">
        <v>2785.4764599999999</v>
      </c>
      <c r="AA451" t="s">
        <v>256</v>
      </c>
      <c r="AB451">
        <v>19</v>
      </c>
      <c r="AC451">
        <v>0</v>
      </c>
      <c r="AD451" t="s">
        <v>257</v>
      </c>
      <c r="AE451" t="s">
        <v>41</v>
      </c>
      <c r="AF451" t="e">
        <v>#N/A</v>
      </c>
      <c r="AG451" s="8">
        <v>0</v>
      </c>
      <c r="AH451">
        <v>0</v>
      </c>
      <c r="AI451">
        <v>21</v>
      </c>
      <c r="AJ451">
        <v>0</v>
      </c>
      <c r="AK451" t="e">
        <v>#N/A</v>
      </c>
      <c r="AL451" t="e">
        <v>#N/A</v>
      </c>
      <c r="AM451">
        <v>21</v>
      </c>
      <c r="AN451">
        <v>0</v>
      </c>
      <c r="AO451">
        <v>0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>
        <v>2785.4764599999999</v>
      </c>
      <c r="AV451">
        <v>7</v>
      </c>
      <c r="AW451">
        <f t="shared" ref="AW451:AW514" si="46">IF(AV451="n/a","n/a",IF(AV451&gt;=10,1,0))</f>
        <v>0</v>
      </c>
      <c r="AX451">
        <v>0</v>
      </c>
      <c r="AY451">
        <f t="shared" ref="AY451:AY514" si="47">IF(
  ISBLANK(AX451),
  NA(),
  IF(AX451&gt;0, 1, 0)
)</f>
        <v>0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>
        <v>12</v>
      </c>
      <c r="BF451">
        <v>2020</v>
      </c>
    </row>
    <row r="452" spans="1:58" x14ac:dyDescent="0.2">
      <c r="A452" s="7">
        <v>0</v>
      </c>
      <c r="B452" s="7">
        <v>0</v>
      </c>
      <c r="C452" s="7">
        <v>0</v>
      </c>
      <c r="D452" s="7">
        <v>0</v>
      </c>
      <c r="E452" s="7">
        <f t="shared" si="42"/>
        <v>0</v>
      </c>
      <c r="F452" s="11" t="e">
        <v>#N/A</v>
      </c>
      <c r="G452">
        <v>0</v>
      </c>
      <c r="H452">
        <v>0</v>
      </c>
      <c r="I452">
        <v>0</v>
      </c>
      <c r="J452">
        <v>0</v>
      </c>
      <c r="K452">
        <f t="shared" si="43"/>
        <v>0</v>
      </c>
      <c r="L452" t="e">
        <v>#N/A</v>
      </c>
      <c r="N452" s="7">
        <v>0</v>
      </c>
      <c r="O452" s="7">
        <v>2</v>
      </c>
      <c r="P452" s="7">
        <v>0</v>
      </c>
      <c r="Q452" s="7">
        <v>0</v>
      </c>
      <c r="R452" s="7">
        <f t="shared" si="44"/>
        <v>2</v>
      </c>
      <c r="S452" t="s">
        <v>36</v>
      </c>
      <c r="T452" s="7">
        <v>0</v>
      </c>
      <c r="U452" s="7">
        <v>11</v>
      </c>
      <c r="V452" s="7">
        <v>0</v>
      </c>
      <c r="W452" s="7">
        <v>0</v>
      </c>
      <c r="X452" s="7">
        <f t="shared" si="45"/>
        <v>11</v>
      </c>
      <c r="Y452" t="s">
        <v>83</v>
      </c>
      <c r="Z452">
        <v>233804.33627520001</v>
      </c>
      <c r="AA452" t="s">
        <v>845</v>
      </c>
      <c r="AB452">
        <v>73</v>
      </c>
      <c r="AC452">
        <v>0</v>
      </c>
      <c r="AD452" t="s">
        <v>254</v>
      </c>
      <c r="AE452" t="s">
        <v>41</v>
      </c>
      <c r="AF452" t="e">
        <v>#N/A</v>
      </c>
      <c r="AG452" s="8">
        <v>663</v>
      </c>
      <c r="AH452">
        <v>9</v>
      </c>
      <c r="AI452">
        <v>11</v>
      </c>
      <c r="AJ452">
        <v>0</v>
      </c>
      <c r="AK452">
        <v>1.3574660633484163E-2</v>
      </c>
      <c r="AL452">
        <v>0.34953103682127779</v>
      </c>
      <c r="AM452">
        <v>2</v>
      </c>
      <c r="AN452">
        <v>0</v>
      </c>
      <c r="AO452">
        <v>4.5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>
        <v>233804.33627520001</v>
      </c>
      <c r="AV452">
        <v>17</v>
      </c>
      <c r="AW452">
        <f t="shared" si="46"/>
        <v>1</v>
      </c>
      <c r="AX452">
        <v>0</v>
      </c>
      <c r="AY452">
        <f t="shared" si="47"/>
        <v>0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>
        <v>1</v>
      </c>
      <c r="BF452">
        <v>2018</v>
      </c>
    </row>
    <row r="453" spans="1:58" x14ac:dyDescent="0.2">
      <c r="A453" s="7">
        <v>2</v>
      </c>
      <c r="B453" s="7">
        <v>5</v>
      </c>
      <c r="C453" s="7">
        <v>0</v>
      </c>
      <c r="D453" s="7">
        <v>3</v>
      </c>
      <c r="E453" s="7">
        <f t="shared" si="42"/>
        <v>10</v>
      </c>
      <c r="F453" s="11" t="s">
        <v>42</v>
      </c>
      <c r="G453">
        <v>2</v>
      </c>
      <c r="H453">
        <v>5</v>
      </c>
      <c r="I453">
        <v>0</v>
      </c>
      <c r="J453">
        <v>3</v>
      </c>
      <c r="K453">
        <f t="shared" si="43"/>
        <v>10</v>
      </c>
      <c r="L453" t="s">
        <v>42</v>
      </c>
      <c r="M453">
        <v>11710.52983302</v>
      </c>
      <c r="N453" s="7">
        <v>2</v>
      </c>
      <c r="O453" s="7">
        <v>5</v>
      </c>
      <c r="P453" s="7">
        <v>0</v>
      </c>
      <c r="Q453" s="7">
        <v>3</v>
      </c>
      <c r="R453" s="7">
        <f t="shared" si="44"/>
        <v>10</v>
      </c>
      <c r="S453" t="s">
        <v>42</v>
      </c>
      <c r="T453" s="7">
        <v>2</v>
      </c>
      <c r="U453" s="7">
        <v>5</v>
      </c>
      <c r="V453" s="7">
        <v>0</v>
      </c>
      <c r="W453" s="7">
        <v>3</v>
      </c>
      <c r="X453" s="7">
        <f t="shared" si="45"/>
        <v>10</v>
      </c>
      <c r="Y453" t="s">
        <v>42</v>
      </c>
      <c r="Z453">
        <v>11590.37517023</v>
      </c>
      <c r="AA453" t="s">
        <v>846</v>
      </c>
      <c r="AB453" t="e">
        <v>#N/A</v>
      </c>
      <c r="AF453" t="e">
        <v>#N/A</v>
      </c>
      <c r="AG453" s="8">
        <v>125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0.3</v>
      </c>
      <c r="AR453">
        <v>0.2</v>
      </c>
      <c r="AS453">
        <v>0.5</v>
      </c>
      <c r="AT453">
        <v>0</v>
      </c>
      <c r="AU453">
        <v>23300.905003250002</v>
      </c>
      <c r="AV453" t="s">
        <v>489</v>
      </c>
      <c r="AW453" t="str">
        <f t="shared" si="46"/>
        <v>n/a</v>
      </c>
      <c r="AY453" t="e">
        <f t="shared" si="47"/>
        <v>#N/A</v>
      </c>
      <c r="AZ453" t="e">
        <v>#N/A</v>
      </c>
      <c r="BA453">
        <v>10</v>
      </c>
      <c r="BB453">
        <v>2018</v>
      </c>
      <c r="BC453">
        <v>10</v>
      </c>
      <c r="BD453">
        <v>2018</v>
      </c>
      <c r="BE453">
        <v>7</v>
      </c>
      <c r="BF453">
        <v>2018</v>
      </c>
    </row>
    <row r="454" spans="1:58" x14ac:dyDescent="0.2">
      <c r="A454" s="7">
        <v>6</v>
      </c>
      <c r="B454" s="7">
        <v>8</v>
      </c>
      <c r="C454" s="7">
        <v>0</v>
      </c>
      <c r="D454" s="7">
        <v>4</v>
      </c>
      <c r="E454" s="7">
        <f t="shared" si="42"/>
        <v>18</v>
      </c>
      <c r="F454" s="11" t="s">
        <v>36</v>
      </c>
      <c r="G454">
        <v>6</v>
      </c>
      <c r="H454">
        <v>8</v>
      </c>
      <c r="I454">
        <v>0</v>
      </c>
      <c r="J454">
        <v>4</v>
      </c>
      <c r="K454">
        <f t="shared" si="43"/>
        <v>18</v>
      </c>
      <c r="L454" t="s">
        <v>36</v>
      </c>
      <c r="M454">
        <v>18175.561748880002</v>
      </c>
      <c r="N454" s="7">
        <v>6</v>
      </c>
      <c r="O454" s="7">
        <v>8</v>
      </c>
      <c r="P454" s="7">
        <v>0</v>
      </c>
      <c r="Q454" s="7">
        <v>4</v>
      </c>
      <c r="R454" s="7">
        <f t="shared" si="44"/>
        <v>18</v>
      </c>
      <c r="S454" t="s">
        <v>36</v>
      </c>
      <c r="T454" s="7">
        <v>20</v>
      </c>
      <c r="U454" s="7">
        <v>36</v>
      </c>
      <c r="V454" s="7">
        <v>9</v>
      </c>
      <c r="W454" s="7">
        <v>26</v>
      </c>
      <c r="X454" s="7">
        <f t="shared" si="45"/>
        <v>91</v>
      </c>
      <c r="Y454" t="s">
        <v>36</v>
      </c>
      <c r="Z454">
        <v>65319.059511360007</v>
      </c>
      <c r="AA454" t="s">
        <v>847</v>
      </c>
      <c r="AB454" t="e">
        <v>#N/A</v>
      </c>
      <c r="AF454">
        <v>162</v>
      </c>
      <c r="AG454" s="8">
        <v>111</v>
      </c>
      <c r="AH454">
        <v>73</v>
      </c>
      <c r="AI454">
        <v>73</v>
      </c>
      <c r="AJ454">
        <v>0</v>
      </c>
      <c r="AK454">
        <v>0.65765765765765771</v>
      </c>
      <c r="AL454">
        <v>6.9288533689932432</v>
      </c>
      <c r="AM454">
        <v>0</v>
      </c>
      <c r="AN454">
        <v>0</v>
      </c>
      <c r="AO454">
        <v>4.0555555555555554</v>
      </c>
      <c r="AP454">
        <v>4.0555555555555554</v>
      </c>
      <c r="AQ454">
        <v>0.22222222222222221</v>
      </c>
      <c r="AR454">
        <v>0.33333333333333331</v>
      </c>
      <c r="AS454">
        <v>0.44444444444444442</v>
      </c>
      <c r="AT454">
        <v>0</v>
      </c>
      <c r="AU454">
        <v>83494.621260240005</v>
      </c>
      <c r="AV454" t="s">
        <v>489</v>
      </c>
      <c r="AW454" t="str">
        <f t="shared" si="46"/>
        <v>n/a</v>
      </c>
      <c r="AY454" t="e">
        <f t="shared" si="47"/>
        <v>#N/A</v>
      </c>
      <c r="AZ454" t="e">
        <v>#N/A</v>
      </c>
      <c r="BA454">
        <v>2</v>
      </c>
      <c r="BB454">
        <v>2018</v>
      </c>
      <c r="BC454">
        <v>7</v>
      </c>
      <c r="BD454">
        <v>2018</v>
      </c>
      <c r="BE454">
        <v>7</v>
      </c>
      <c r="BF454">
        <v>2018</v>
      </c>
    </row>
    <row r="455" spans="1:58" x14ac:dyDescent="0.2">
      <c r="A455" s="7">
        <v>3</v>
      </c>
      <c r="B455" s="7">
        <v>10</v>
      </c>
      <c r="C455" s="7">
        <v>0</v>
      </c>
      <c r="D455" s="7">
        <v>0</v>
      </c>
      <c r="E455" s="7">
        <f t="shared" si="42"/>
        <v>13</v>
      </c>
      <c r="F455" s="11" t="s">
        <v>32</v>
      </c>
      <c r="G455">
        <v>3</v>
      </c>
      <c r="H455">
        <v>10</v>
      </c>
      <c r="I455">
        <v>0</v>
      </c>
      <c r="J455">
        <v>0</v>
      </c>
      <c r="K455">
        <f t="shared" si="43"/>
        <v>13</v>
      </c>
      <c r="L455" t="s">
        <v>36</v>
      </c>
      <c r="M455">
        <v>19035.909417679999</v>
      </c>
      <c r="N455" s="7">
        <v>3</v>
      </c>
      <c r="O455" s="7">
        <v>10</v>
      </c>
      <c r="P455" s="7">
        <v>0</v>
      </c>
      <c r="Q455" s="7">
        <v>0</v>
      </c>
      <c r="R455" s="7">
        <f t="shared" si="44"/>
        <v>13</v>
      </c>
      <c r="S455" t="s">
        <v>32</v>
      </c>
      <c r="T455" s="7">
        <v>3</v>
      </c>
      <c r="U455" s="7">
        <v>10</v>
      </c>
      <c r="V455" s="7">
        <v>0</v>
      </c>
      <c r="W455" s="7">
        <v>0</v>
      </c>
      <c r="X455" s="7">
        <f t="shared" si="45"/>
        <v>13</v>
      </c>
      <c r="Y455" t="s">
        <v>32</v>
      </c>
      <c r="Z455">
        <v>31676.867676279999</v>
      </c>
      <c r="AA455" t="s">
        <v>848</v>
      </c>
      <c r="AB455" t="e">
        <v>#N/A</v>
      </c>
      <c r="AF455">
        <v>186</v>
      </c>
      <c r="AG455" s="8">
        <v>23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0.23076923076923078</v>
      </c>
      <c r="AS455">
        <v>0.76923076923076927</v>
      </c>
      <c r="AT455">
        <v>0</v>
      </c>
      <c r="AU455">
        <v>50712.777093960001</v>
      </c>
      <c r="AV455" t="s">
        <v>489</v>
      </c>
      <c r="AW455" t="str">
        <f t="shared" si="46"/>
        <v>n/a</v>
      </c>
      <c r="AY455" t="e">
        <f t="shared" si="47"/>
        <v>#N/A</v>
      </c>
      <c r="AZ455" t="e">
        <v>#N/A</v>
      </c>
      <c r="BA455">
        <v>1</v>
      </c>
      <c r="BB455">
        <v>2018</v>
      </c>
      <c r="BC455">
        <v>7</v>
      </c>
      <c r="BD455">
        <v>2018</v>
      </c>
      <c r="BE455">
        <v>8</v>
      </c>
      <c r="BF455">
        <v>2018</v>
      </c>
    </row>
    <row r="456" spans="1:58" x14ac:dyDescent="0.2">
      <c r="A456" s="7">
        <v>11</v>
      </c>
      <c r="B456" s="7">
        <v>10</v>
      </c>
      <c r="C456" s="7">
        <v>0</v>
      </c>
      <c r="D456" s="7">
        <v>5</v>
      </c>
      <c r="E456" s="7">
        <f t="shared" si="42"/>
        <v>26</v>
      </c>
      <c r="F456" s="11" t="s">
        <v>36</v>
      </c>
      <c r="G456">
        <v>11</v>
      </c>
      <c r="H456">
        <v>10</v>
      </c>
      <c r="I456">
        <v>0</v>
      </c>
      <c r="J456">
        <v>5</v>
      </c>
      <c r="K456">
        <f t="shared" si="43"/>
        <v>26</v>
      </c>
      <c r="L456" t="s">
        <v>36</v>
      </c>
      <c r="M456">
        <v>18687.714492939998</v>
      </c>
      <c r="N456" s="7">
        <v>11</v>
      </c>
      <c r="O456" s="7">
        <v>10</v>
      </c>
      <c r="P456" s="7">
        <v>0</v>
      </c>
      <c r="Q456" s="7">
        <v>5</v>
      </c>
      <c r="R456" s="7">
        <f t="shared" si="44"/>
        <v>26</v>
      </c>
      <c r="S456" t="s">
        <v>36</v>
      </c>
      <c r="T456" s="7">
        <v>18</v>
      </c>
      <c r="U456" s="7">
        <v>39</v>
      </c>
      <c r="V456" s="7">
        <v>9</v>
      </c>
      <c r="W456" s="7">
        <v>17</v>
      </c>
      <c r="X456" s="7">
        <f t="shared" si="45"/>
        <v>83</v>
      </c>
      <c r="Y456" t="s">
        <v>36</v>
      </c>
      <c r="Z456">
        <v>71538.43852566999</v>
      </c>
      <c r="AA456" t="s">
        <v>849</v>
      </c>
      <c r="AB456" t="e">
        <v>#N/A</v>
      </c>
      <c r="AF456">
        <v>72</v>
      </c>
      <c r="AG456" s="8">
        <v>148</v>
      </c>
      <c r="AH456">
        <v>57</v>
      </c>
      <c r="AI456">
        <v>57</v>
      </c>
      <c r="AJ456">
        <v>0</v>
      </c>
      <c r="AK456">
        <v>0.38513513513513514</v>
      </c>
      <c r="AL456">
        <v>4.685371138202683</v>
      </c>
      <c r="AM456">
        <v>0</v>
      </c>
      <c r="AN456">
        <v>0</v>
      </c>
      <c r="AO456">
        <v>2.1923076923076925</v>
      </c>
      <c r="AP456">
        <v>2.1923076923076925</v>
      </c>
      <c r="AQ456">
        <v>0.19230769230769232</v>
      </c>
      <c r="AR456">
        <v>0.42307692307692307</v>
      </c>
      <c r="AS456">
        <v>0.38461538461538464</v>
      </c>
      <c r="AT456">
        <v>0</v>
      </c>
      <c r="AU456">
        <v>90226.153018609984</v>
      </c>
      <c r="AV456" t="s">
        <v>489</v>
      </c>
      <c r="AW456" t="str">
        <f t="shared" si="46"/>
        <v>n/a</v>
      </c>
      <c r="AY456" t="e">
        <f t="shared" si="47"/>
        <v>#N/A</v>
      </c>
      <c r="AZ456" t="e">
        <v>#N/A</v>
      </c>
      <c r="BA456">
        <v>5</v>
      </c>
      <c r="BB456">
        <v>2018</v>
      </c>
      <c r="BC456">
        <v>7</v>
      </c>
      <c r="BD456">
        <v>2018</v>
      </c>
      <c r="BE456">
        <v>7</v>
      </c>
      <c r="BF456">
        <v>2018</v>
      </c>
    </row>
    <row r="457" spans="1:58" x14ac:dyDescent="0.2">
      <c r="A457" s="7">
        <v>19</v>
      </c>
      <c r="B457" s="7">
        <v>34</v>
      </c>
      <c r="C457" s="7">
        <v>7</v>
      </c>
      <c r="D457" s="7">
        <v>6</v>
      </c>
      <c r="E457" s="7">
        <f t="shared" si="42"/>
        <v>66</v>
      </c>
      <c r="F457" s="11" t="s">
        <v>36</v>
      </c>
      <c r="G457">
        <v>16</v>
      </c>
      <c r="H457">
        <v>22</v>
      </c>
      <c r="I457">
        <v>7</v>
      </c>
      <c r="J457">
        <v>4</v>
      </c>
      <c r="K457">
        <f t="shared" si="43"/>
        <v>49</v>
      </c>
      <c r="L457" t="s">
        <v>36</v>
      </c>
      <c r="M457">
        <v>12644.76329098</v>
      </c>
      <c r="N457" s="7">
        <v>19</v>
      </c>
      <c r="O457" s="7">
        <v>34</v>
      </c>
      <c r="P457" s="7">
        <v>7</v>
      </c>
      <c r="Q457" s="7">
        <v>6</v>
      </c>
      <c r="R457" s="7">
        <f t="shared" si="44"/>
        <v>66</v>
      </c>
      <c r="S457" t="s">
        <v>36</v>
      </c>
      <c r="T457" s="7">
        <v>20</v>
      </c>
      <c r="U457" s="7">
        <v>38</v>
      </c>
      <c r="V457" s="7">
        <v>9</v>
      </c>
      <c r="W457" s="7">
        <v>10</v>
      </c>
      <c r="X457" s="7">
        <f t="shared" si="45"/>
        <v>77</v>
      </c>
      <c r="Y457" t="s">
        <v>36</v>
      </c>
      <c r="Z457">
        <v>75101.788655869983</v>
      </c>
      <c r="AA457" t="s">
        <v>850</v>
      </c>
      <c r="AB457">
        <v>43</v>
      </c>
      <c r="AC457">
        <v>0</v>
      </c>
      <c r="AD457" t="s">
        <v>249</v>
      </c>
      <c r="AE457" t="s">
        <v>41</v>
      </c>
      <c r="AF457">
        <v>303</v>
      </c>
      <c r="AG457" s="8">
        <v>159</v>
      </c>
      <c r="AH457">
        <v>11</v>
      </c>
      <c r="AI457">
        <v>11</v>
      </c>
      <c r="AJ457">
        <v>-17</v>
      </c>
      <c r="AK457">
        <v>6.9182389937106917E-2</v>
      </c>
      <c r="AL457">
        <v>0.87235674428995857</v>
      </c>
      <c r="AM457">
        <v>17</v>
      </c>
      <c r="AN457">
        <v>0</v>
      </c>
      <c r="AO457">
        <v>0.16666666666666666</v>
      </c>
      <c r="AP457">
        <v>0.16666666666666666</v>
      </c>
      <c r="AQ457">
        <v>9.0909090909090912E-2</v>
      </c>
      <c r="AR457">
        <v>0.2878787878787879</v>
      </c>
      <c r="AS457">
        <v>0.51515151515151514</v>
      </c>
      <c r="AT457">
        <v>0.10606060606060606</v>
      </c>
      <c r="AU457">
        <v>87746.551946849984</v>
      </c>
      <c r="AV457">
        <v>9</v>
      </c>
      <c r="AW457">
        <f t="shared" si="46"/>
        <v>0</v>
      </c>
      <c r="AX457">
        <v>0</v>
      </c>
      <c r="AY457">
        <f t="shared" si="47"/>
        <v>0</v>
      </c>
      <c r="AZ457">
        <v>0</v>
      </c>
      <c r="BA457">
        <v>1</v>
      </c>
      <c r="BB457">
        <v>2018</v>
      </c>
      <c r="BC457">
        <v>11</v>
      </c>
      <c r="BD457">
        <v>2018</v>
      </c>
      <c r="BE457">
        <v>8</v>
      </c>
      <c r="BF457">
        <v>2018</v>
      </c>
    </row>
    <row r="458" spans="1:58" x14ac:dyDescent="0.2">
      <c r="A458" s="7">
        <v>0</v>
      </c>
      <c r="B458" s="7">
        <v>0</v>
      </c>
      <c r="C458" s="7">
        <v>0</v>
      </c>
      <c r="D458" s="7">
        <v>0</v>
      </c>
      <c r="E458" s="7">
        <f t="shared" si="42"/>
        <v>0</v>
      </c>
      <c r="F458" s="11" t="e">
        <v>#N/A</v>
      </c>
      <c r="G458">
        <v>0</v>
      </c>
      <c r="H458">
        <v>0</v>
      </c>
      <c r="I458">
        <v>0</v>
      </c>
      <c r="J458">
        <v>0</v>
      </c>
      <c r="K458">
        <f t="shared" si="43"/>
        <v>0</v>
      </c>
      <c r="L458" t="e">
        <v>#N/A</v>
      </c>
      <c r="N458" s="7">
        <v>19</v>
      </c>
      <c r="O458" s="7">
        <v>33</v>
      </c>
      <c r="P458" s="7">
        <v>9</v>
      </c>
      <c r="Q458" s="7">
        <v>7</v>
      </c>
      <c r="R458" s="7">
        <f t="shared" si="44"/>
        <v>68</v>
      </c>
      <c r="S458" t="s">
        <v>36</v>
      </c>
      <c r="T458" s="7">
        <v>19</v>
      </c>
      <c r="U458" s="7">
        <v>33</v>
      </c>
      <c r="V458" s="7">
        <v>9</v>
      </c>
      <c r="W458" s="7">
        <v>8</v>
      </c>
      <c r="X458" s="7">
        <f t="shared" si="45"/>
        <v>69</v>
      </c>
      <c r="Y458" t="s">
        <v>36</v>
      </c>
      <c r="Z458">
        <v>123582.88379275</v>
      </c>
      <c r="AA458" t="s">
        <v>851</v>
      </c>
      <c r="AB458">
        <v>33</v>
      </c>
      <c r="AC458">
        <v>0</v>
      </c>
      <c r="AD458" t="s">
        <v>258</v>
      </c>
      <c r="AE458" t="s">
        <v>41</v>
      </c>
      <c r="AF458" t="e">
        <v>#N/A</v>
      </c>
      <c r="AG458" s="8">
        <v>393</v>
      </c>
      <c r="AH458">
        <v>1</v>
      </c>
      <c r="AI458">
        <v>69</v>
      </c>
      <c r="AJ458">
        <v>0</v>
      </c>
      <c r="AK458">
        <v>2.5445292620865142E-3</v>
      </c>
      <c r="AL458">
        <v>5.0443327230531826E-2</v>
      </c>
      <c r="AM458">
        <v>68</v>
      </c>
      <c r="AN458">
        <v>0</v>
      </c>
      <c r="AO458">
        <v>1.4705882352941176E-2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>
        <v>123582.88379275</v>
      </c>
      <c r="AV458">
        <v>9</v>
      </c>
      <c r="AW458">
        <f t="shared" si="46"/>
        <v>0</v>
      </c>
      <c r="AX458">
        <v>0</v>
      </c>
      <c r="AY458">
        <f t="shared" si="47"/>
        <v>0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>
        <v>1</v>
      </c>
      <c r="BF458">
        <v>2018</v>
      </c>
    </row>
    <row r="459" spans="1:58" x14ac:dyDescent="0.2">
      <c r="A459" s="7">
        <v>0</v>
      </c>
      <c r="B459" s="7">
        <v>0</v>
      </c>
      <c r="C459" s="7">
        <v>0</v>
      </c>
      <c r="D459" s="7">
        <v>4</v>
      </c>
      <c r="E459" s="7">
        <f t="shared" si="42"/>
        <v>4</v>
      </c>
      <c r="F459" s="11" t="s">
        <v>36</v>
      </c>
      <c r="G459">
        <v>0</v>
      </c>
      <c r="H459">
        <v>0</v>
      </c>
      <c r="I459">
        <v>0</v>
      </c>
      <c r="J459">
        <v>4</v>
      </c>
      <c r="K459">
        <f t="shared" si="43"/>
        <v>4</v>
      </c>
      <c r="L459" t="s">
        <v>36</v>
      </c>
      <c r="M459">
        <v>26838.967859060002</v>
      </c>
      <c r="N459" s="7">
        <v>0</v>
      </c>
      <c r="O459" s="7">
        <v>11</v>
      </c>
      <c r="P459" s="7">
        <v>0</v>
      </c>
      <c r="Q459" s="7">
        <v>4</v>
      </c>
      <c r="R459" s="7">
        <f t="shared" si="44"/>
        <v>15</v>
      </c>
      <c r="S459" t="s">
        <v>36</v>
      </c>
      <c r="T459" s="7">
        <v>0</v>
      </c>
      <c r="U459" s="7">
        <v>20</v>
      </c>
      <c r="V459" s="7">
        <v>0</v>
      </c>
      <c r="W459" s="7">
        <v>4</v>
      </c>
      <c r="X459" s="7">
        <f t="shared" si="45"/>
        <v>24</v>
      </c>
      <c r="Y459" t="e">
        <v>#N/A</v>
      </c>
      <c r="Z459">
        <v>125163.2349269</v>
      </c>
      <c r="AA459" t="s">
        <v>852</v>
      </c>
      <c r="AB459">
        <v>18</v>
      </c>
      <c r="AC459">
        <v>246</v>
      </c>
      <c r="AD459" t="s">
        <v>259</v>
      </c>
      <c r="AE459" t="s">
        <v>75</v>
      </c>
      <c r="AF459" t="e">
        <v>#N/A</v>
      </c>
      <c r="AG459" s="8">
        <v>436</v>
      </c>
      <c r="AH459">
        <v>9</v>
      </c>
      <c r="AI459">
        <v>20</v>
      </c>
      <c r="AJ459">
        <v>0</v>
      </c>
      <c r="AK459">
        <v>2.0642201834862386E-2</v>
      </c>
      <c r="AL459">
        <v>0.43102182834951813</v>
      </c>
      <c r="AM459">
        <v>11</v>
      </c>
      <c r="AN459">
        <v>0</v>
      </c>
      <c r="AO459">
        <v>0.6</v>
      </c>
      <c r="AP459">
        <v>2.25</v>
      </c>
      <c r="AQ459">
        <v>1</v>
      </c>
      <c r="AR459">
        <v>0</v>
      </c>
      <c r="AS459">
        <v>0</v>
      </c>
      <c r="AT459">
        <v>0</v>
      </c>
      <c r="AU459">
        <v>152002.20278595999</v>
      </c>
      <c r="AV459">
        <v>8</v>
      </c>
      <c r="AW459">
        <f t="shared" si="46"/>
        <v>0</v>
      </c>
      <c r="AX459">
        <v>246</v>
      </c>
      <c r="AY459">
        <f t="shared" si="47"/>
        <v>1</v>
      </c>
      <c r="AZ459" t="e">
        <v>#N/A</v>
      </c>
      <c r="BA459">
        <v>6</v>
      </c>
      <c r="BB459">
        <v>2019</v>
      </c>
      <c r="BC459">
        <v>6</v>
      </c>
      <c r="BD459">
        <v>2019</v>
      </c>
      <c r="BE459">
        <v>1</v>
      </c>
      <c r="BF459">
        <v>2019</v>
      </c>
    </row>
    <row r="460" spans="1:58" x14ac:dyDescent="0.2">
      <c r="A460" s="7">
        <v>11</v>
      </c>
      <c r="B460" s="7">
        <v>10</v>
      </c>
      <c r="C460" s="7">
        <v>0</v>
      </c>
      <c r="D460" s="7">
        <v>4</v>
      </c>
      <c r="E460" s="7">
        <f t="shared" si="42"/>
        <v>25</v>
      </c>
      <c r="F460" s="11" t="s">
        <v>36</v>
      </c>
      <c r="G460">
        <v>11</v>
      </c>
      <c r="H460">
        <v>10</v>
      </c>
      <c r="I460">
        <v>0</v>
      </c>
      <c r="J460">
        <v>0</v>
      </c>
      <c r="K460">
        <f t="shared" si="43"/>
        <v>21</v>
      </c>
      <c r="L460" t="s">
        <v>36</v>
      </c>
      <c r="M460">
        <v>18230.385648160001</v>
      </c>
      <c r="N460" s="7">
        <v>11</v>
      </c>
      <c r="O460" s="7">
        <v>10</v>
      </c>
      <c r="P460" s="7">
        <v>0</v>
      </c>
      <c r="Q460" s="7">
        <v>4</v>
      </c>
      <c r="R460" s="7">
        <f t="shared" si="44"/>
        <v>25</v>
      </c>
      <c r="S460" t="s">
        <v>36</v>
      </c>
      <c r="T460" s="7">
        <v>17</v>
      </c>
      <c r="U460" s="7">
        <v>33</v>
      </c>
      <c r="V460" s="7">
        <v>9</v>
      </c>
      <c r="W460" s="7">
        <v>8</v>
      </c>
      <c r="X460" s="7">
        <f t="shared" si="45"/>
        <v>67</v>
      </c>
      <c r="Y460" t="s">
        <v>36</v>
      </c>
      <c r="Z460">
        <v>87500.907413829991</v>
      </c>
      <c r="AA460" t="s">
        <v>853</v>
      </c>
      <c r="AB460">
        <v>19</v>
      </c>
      <c r="AC460">
        <v>0</v>
      </c>
      <c r="AD460" t="s">
        <v>258</v>
      </c>
      <c r="AE460" t="s">
        <v>41</v>
      </c>
      <c r="AF460">
        <v>193</v>
      </c>
      <c r="AG460" s="8">
        <v>297</v>
      </c>
      <c r="AH460">
        <v>42</v>
      </c>
      <c r="AI460">
        <v>42</v>
      </c>
      <c r="AJ460">
        <v>-4</v>
      </c>
      <c r="AK460">
        <v>0.14141414141414141</v>
      </c>
      <c r="AL460">
        <v>2.4370871833797696</v>
      </c>
      <c r="AM460">
        <v>4</v>
      </c>
      <c r="AN460">
        <v>0</v>
      </c>
      <c r="AO460">
        <v>1.68</v>
      </c>
      <c r="AP460">
        <v>1.68</v>
      </c>
      <c r="AQ460">
        <v>0.16</v>
      </c>
      <c r="AR460">
        <v>0.44</v>
      </c>
      <c r="AS460">
        <v>0.4</v>
      </c>
      <c r="AT460">
        <v>0</v>
      </c>
      <c r="AU460">
        <v>105731.29306199</v>
      </c>
      <c r="AV460">
        <v>8</v>
      </c>
      <c r="AW460">
        <f t="shared" si="46"/>
        <v>0</v>
      </c>
      <c r="AX460">
        <v>0</v>
      </c>
      <c r="AY460">
        <f t="shared" si="47"/>
        <v>0</v>
      </c>
      <c r="AZ460">
        <v>0</v>
      </c>
      <c r="BA460">
        <v>1</v>
      </c>
      <c r="BB460">
        <v>2018</v>
      </c>
      <c r="BC460">
        <v>7</v>
      </c>
      <c r="BD460">
        <v>2018</v>
      </c>
      <c r="BE460">
        <v>8</v>
      </c>
      <c r="BF460">
        <v>2018</v>
      </c>
    </row>
    <row r="461" spans="1:58" x14ac:dyDescent="0.2">
      <c r="A461" s="7">
        <v>0</v>
      </c>
      <c r="B461" s="7">
        <v>0</v>
      </c>
      <c r="C461" s="7">
        <v>0</v>
      </c>
      <c r="D461" s="7">
        <v>0</v>
      </c>
      <c r="E461" s="7">
        <f t="shared" si="42"/>
        <v>0</v>
      </c>
      <c r="F461" s="11" t="e">
        <v>#N/A</v>
      </c>
      <c r="G461">
        <v>0</v>
      </c>
      <c r="H461">
        <v>0</v>
      </c>
      <c r="I461">
        <v>0</v>
      </c>
      <c r="J461">
        <v>0</v>
      </c>
      <c r="K461">
        <f t="shared" si="43"/>
        <v>0</v>
      </c>
      <c r="L461" t="e">
        <v>#N/A</v>
      </c>
      <c r="N461" s="7">
        <v>0</v>
      </c>
      <c r="O461" s="7">
        <v>5</v>
      </c>
      <c r="P461" s="7">
        <v>2</v>
      </c>
      <c r="Q461" s="7">
        <v>0</v>
      </c>
      <c r="R461" s="7">
        <f t="shared" si="44"/>
        <v>7</v>
      </c>
      <c r="S461" t="s">
        <v>83</v>
      </c>
      <c r="T461" s="7">
        <v>0</v>
      </c>
      <c r="U461" s="7">
        <v>20</v>
      </c>
      <c r="V461" s="7">
        <v>2</v>
      </c>
      <c r="W461" s="7">
        <v>0</v>
      </c>
      <c r="X461" s="7">
        <f t="shared" si="45"/>
        <v>22</v>
      </c>
      <c r="Y461" t="s">
        <v>83</v>
      </c>
      <c r="Z461">
        <v>172084.53814006</v>
      </c>
      <c r="AA461" t="s">
        <v>854</v>
      </c>
      <c r="AB461">
        <v>60</v>
      </c>
      <c r="AC461">
        <v>79</v>
      </c>
      <c r="AD461" t="s">
        <v>244</v>
      </c>
      <c r="AE461" t="s">
        <v>75</v>
      </c>
      <c r="AF461" t="e">
        <v>#N/A</v>
      </c>
      <c r="AG461" s="8">
        <v>43</v>
      </c>
      <c r="AH461">
        <v>15</v>
      </c>
      <c r="AI461">
        <v>22</v>
      </c>
      <c r="AJ461">
        <v>0</v>
      </c>
      <c r="AK461">
        <v>0.34883720930232559</v>
      </c>
      <c r="AL461">
        <v>2.2874785549890699</v>
      </c>
      <c r="AM461">
        <v>7</v>
      </c>
      <c r="AN461">
        <v>0</v>
      </c>
      <c r="AO461">
        <v>2.1428571428571428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>
        <v>172084.53814006</v>
      </c>
      <c r="AV461">
        <v>23</v>
      </c>
      <c r="AW461">
        <f t="shared" si="46"/>
        <v>1</v>
      </c>
      <c r="AX461">
        <v>79</v>
      </c>
      <c r="AY461">
        <f t="shared" si="47"/>
        <v>1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>
        <v>11</v>
      </c>
      <c r="BF461">
        <v>2018</v>
      </c>
    </row>
    <row r="462" spans="1:58" x14ac:dyDescent="0.2">
      <c r="A462" s="7">
        <v>0</v>
      </c>
      <c r="B462" s="7">
        <v>21</v>
      </c>
      <c r="C462" s="7">
        <v>2</v>
      </c>
      <c r="D462" s="7">
        <v>2</v>
      </c>
      <c r="E462" s="7">
        <f t="shared" si="42"/>
        <v>25</v>
      </c>
      <c r="F462" s="11" t="s">
        <v>36</v>
      </c>
      <c r="G462">
        <v>0</v>
      </c>
      <c r="H462">
        <v>8</v>
      </c>
      <c r="I462">
        <v>0</v>
      </c>
      <c r="J462">
        <v>0</v>
      </c>
      <c r="K462">
        <f t="shared" si="43"/>
        <v>8</v>
      </c>
      <c r="L462" t="s">
        <v>36</v>
      </c>
      <c r="M462">
        <v>46664.155707949998</v>
      </c>
      <c r="N462" s="7">
        <v>0</v>
      </c>
      <c r="O462" s="7">
        <v>21</v>
      </c>
      <c r="P462" s="7">
        <v>3</v>
      </c>
      <c r="Q462" s="7">
        <v>2</v>
      </c>
      <c r="R462" s="7">
        <f t="shared" si="44"/>
        <v>26</v>
      </c>
      <c r="S462" t="s">
        <v>36</v>
      </c>
      <c r="T462" s="7">
        <v>17</v>
      </c>
      <c r="U462" s="7">
        <v>39</v>
      </c>
      <c r="V462" s="7">
        <v>9</v>
      </c>
      <c r="W462" s="7">
        <v>9</v>
      </c>
      <c r="X462" s="7">
        <f t="shared" si="45"/>
        <v>74</v>
      </c>
      <c r="Y462" t="s">
        <v>36</v>
      </c>
      <c r="Z462">
        <v>80072.892577639999</v>
      </c>
      <c r="AA462" t="s">
        <v>855</v>
      </c>
      <c r="AB462">
        <v>27</v>
      </c>
      <c r="AC462">
        <v>0</v>
      </c>
      <c r="AD462" t="s">
        <v>254</v>
      </c>
      <c r="AE462" t="s">
        <v>41</v>
      </c>
      <c r="AF462">
        <v>91</v>
      </c>
      <c r="AG462" s="8">
        <v>104</v>
      </c>
      <c r="AH462">
        <v>48</v>
      </c>
      <c r="AI462">
        <v>49</v>
      </c>
      <c r="AJ462">
        <v>-17</v>
      </c>
      <c r="AK462">
        <v>0.46153846153846156</v>
      </c>
      <c r="AL462">
        <v>4.7067872433164171</v>
      </c>
      <c r="AM462">
        <v>18</v>
      </c>
      <c r="AN462">
        <v>0</v>
      </c>
      <c r="AO462">
        <v>1.8461538461538463</v>
      </c>
      <c r="AP462">
        <v>1.92</v>
      </c>
      <c r="AQ462">
        <v>0.08</v>
      </c>
      <c r="AR462">
        <v>0</v>
      </c>
      <c r="AS462">
        <v>0.84</v>
      </c>
      <c r="AT462">
        <v>0.08</v>
      </c>
      <c r="AU462">
        <v>126737.04828558999</v>
      </c>
      <c r="AV462">
        <v>8</v>
      </c>
      <c r="AW462">
        <f t="shared" si="46"/>
        <v>0</v>
      </c>
      <c r="AX462">
        <v>0</v>
      </c>
      <c r="AY462">
        <f t="shared" si="47"/>
        <v>0</v>
      </c>
      <c r="AZ462">
        <v>0</v>
      </c>
      <c r="BA462">
        <v>6</v>
      </c>
      <c r="BB462">
        <v>2018</v>
      </c>
      <c r="BC462">
        <v>9</v>
      </c>
      <c r="BD462">
        <v>2018</v>
      </c>
      <c r="BE462">
        <v>9</v>
      </c>
      <c r="BF462">
        <v>2018</v>
      </c>
    </row>
    <row r="463" spans="1:58" x14ac:dyDescent="0.2">
      <c r="A463" s="7">
        <v>4</v>
      </c>
      <c r="B463" s="7">
        <v>10</v>
      </c>
      <c r="C463" s="7">
        <v>0</v>
      </c>
      <c r="D463" s="7">
        <v>1</v>
      </c>
      <c r="E463" s="7">
        <f t="shared" si="42"/>
        <v>15</v>
      </c>
      <c r="F463" s="11" t="s">
        <v>36</v>
      </c>
      <c r="G463">
        <v>4</v>
      </c>
      <c r="H463">
        <v>10</v>
      </c>
      <c r="I463">
        <v>0</v>
      </c>
      <c r="J463">
        <v>1</v>
      </c>
      <c r="K463">
        <f t="shared" si="43"/>
        <v>15</v>
      </c>
      <c r="L463" t="s">
        <v>36</v>
      </c>
      <c r="M463">
        <v>30433.45230185</v>
      </c>
      <c r="N463" s="7">
        <v>4</v>
      </c>
      <c r="O463" s="7">
        <v>10</v>
      </c>
      <c r="P463" s="7">
        <v>0</v>
      </c>
      <c r="Q463" s="7">
        <v>1</v>
      </c>
      <c r="R463" s="7">
        <f t="shared" si="44"/>
        <v>15</v>
      </c>
      <c r="S463" t="s">
        <v>36</v>
      </c>
      <c r="T463" s="7">
        <v>20</v>
      </c>
      <c r="U463" s="7">
        <v>28</v>
      </c>
      <c r="V463" s="7">
        <v>9</v>
      </c>
      <c r="W463" s="7">
        <v>17</v>
      </c>
      <c r="X463" s="7">
        <f t="shared" si="45"/>
        <v>74</v>
      </c>
      <c r="Y463" t="s">
        <v>36</v>
      </c>
      <c r="Z463">
        <v>91534.257906569997</v>
      </c>
      <c r="AA463" t="s">
        <v>856</v>
      </c>
      <c r="AB463">
        <v>36</v>
      </c>
      <c r="AC463">
        <v>0</v>
      </c>
      <c r="AD463" t="s">
        <v>260</v>
      </c>
      <c r="AE463" t="s">
        <v>41</v>
      </c>
      <c r="AF463" t="e">
        <v>#N/A</v>
      </c>
      <c r="AG463" s="8">
        <v>154</v>
      </c>
      <c r="AH463">
        <v>59</v>
      </c>
      <c r="AI463">
        <v>59</v>
      </c>
      <c r="AJ463">
        <v>0</v>
      </c>
      <c r="AK463">
        <v>0.38311688311688313</v>
      </c>
      <c r="AL463">
        <v>4.754355487749744</v>
      </c>
      <c r="AM463">
        <v>0</v>
      </c>
      <c r="AN463">
        <v>0</v>
      </c>
      <c r="AO463">
        <v>3.9333333333333331</v>
      </c>
      <c r="AP463">
        <v>3.9333333333333331</v>
      </c>
      <c r="AQ463">
        <v>6.6666666666666666E-2</v>
      </c>
      <c r="AR463">
        <v>0.26666666666666666</v>
      </c>
      <c r="AS463">
        <v>0.66666666666666663</v>
      </c>
      <c r="AT463">
        <v>0</v>
      </c>
      <c r="AU463">
        <v>121967.71020842</v>
      </c>
      <c r="AV463">
        <v>13</v>
      </c>
      <c r="AW463">
        <f t="shared" si="46"/>
        <v>1</v>
      </c>
      <c r="AX463">
        <v>0</v>
      </c>
      <c r="AY463">
        <f t="shared" si="47"/>
        <v>0</v>
      </c>
      <c r="AZ463" t="e">
        <v>#N/A</v>
      </c>
      <c r="BA463">
        <v>1</v>
      </c>
      <c r="BB463">
        <v>2018</v>
      </c>
      <c r="BC463">
        <v>1</v>
      </c>
      <c r="BD463">
        <v>2018</v>
      </c>
      <c r="BE463">
        <v>8</v>
      </c>
      <c r="BF463">
        <v>2018</v>
      </c>
    </row>
    <row r="464" spans="1:58" x14ac:dyDescent="0.2">
      <c r="A464" s="7">
        <v>12</v>
      </c>
      <c r="B464" s="7">
        <v>19</v>
      </c>
      <c r="C464" s="7">
        <v>0</v>
      </c>
      <c r="D464" s="7">
        <v>0</v>
      </c>
      <c r="E464" s="7">
        <f t="shared" si="42"/>
        <v>31</v>
      </c>
      <c r="F464" s="11" t="s">
        <v>36</v>
      </c>
      <c r="G464">
        <v>12</v>
      </c>
      <c r="H464">
        <v>19</v>
      </c>
      <c r="I464">
        <v>0</v>
      </c>
      <c r="J464">
        <v>0</v>
      </c>
      <c r="K464">
        <f t="shared" si="43"/>
        <v>31</v>
      </c>
      <c r="L464" t="s">
        <v>36</v>
      </c>
      <c r="M464">
        <v>18584.019530369998</v>
      </c>
      <c r="N464" s="7">
        <v>12</v>
      </c>
      <c r="O464" s="7">
        <v>19</v>
      </c>
      <c r="P464" s="7">
        <v>0</v>
      </c>
      <c r="Q464" s="7">
        <v>0</v>
      </c>
      <c r="R464" s="7">
        <f t="shared" si="44"/>
        <v>31</v>
      </c>
      <c r="S464" t="s">
        <v>36</v>
      </c>
      <c r="T464" s="7">
        <v>20</v>
      </c>
      <c r="U464" s="7">
        <v>36</v>
      </c>
      <c r="V464" s="7">
        <v>9</v>
      </c>
      <c r="W464" s="7">
        <v>8</v>
      </c>
      <c r="X464" s="7">
        <f t="shared" si="45"/>
        <v>73</v>
      </c>
      <c r="Y464" t="s">
        <v>36</v>
      </c>
      <c r="Z464">
        <v>93420.467130999998</v>
      </c>
      <c r="AA464" t="s">
        <v>857</v>
      </c>
      <c r="AB464">
        <v>29</v>
      </c>
      <c r="AC464">
        <v>0</v>
      </c>
      <c r="AD464" t="s">
        <v>119</v>
      </c>
      <c r="AE464" t="s">
        <v>75</v>
      </c>
      <c r="AF464" t="e">
        <v>#N/A</v>
      </c>
      <c r="AG464" s="8">
        <v>159</v>
      </c>
      <c r="AH464">
        <v>42</v>
      </c>
      <c r="AI464">
        <v>42</v>
      </c>
      <c r="AJ464">
        <v>0</v>
      </c>
      <c r="AK464">
        <v>0.26415094339622641</v>
      </c>
      <c r="AL464">
        <v>3.3308166600162052</v>
      </c>
      <c r="AM464">
        <v>0</v>
      </c>
      <c r="AN464">
        <v>0</v>
      </c>
      <c r="AO464">
        <v>1.3548387096774193</v>
      </c>
      <c r="AP464">
        <v>1.3548387096774193</v>
      </c>
      <c r="AQ464">
        <v>0</v>
      </c>
      <c r="AR464">
        <v>0.38709677419354838</v>
      </c>
      <c r="AS464">
        <v>0.61290322580645162</v>
      </c>
      <c r="AT464">
        <v>0</v>
      </c>
      <c r="AU464">
        <v>112004.48666137</v>
      </c>
      <c r="AV464">
        <v>4</v>
      </c>
      <c r="AW464">
        <f t="shared" si="46"/>
        <v>0</v>
      </c>
      <c r="AX464">
        <v>0</v>
      </c>
      <c r="AY464">
        <f t="shared" si="47"/>
        <v>0</v>
      </c>
      <c r="AZ464" t="e">
        <v>#N/A</v>
      </c>
      <c r="BA464">
        <v>4</v>
      </c>
      <c r="BB464">
        <v>2018</v>
      </c>
      <c r="BC464">
        <v>4</v>
      </c>
      <c r="BD464">
        <v>2018</v>
      </c>
      <c r="BE464">
        <v>8</v>
      </c>
      <c r="BF464">
        <v>2018</v>
      </c>
    </row>
    <row r="465" spans="1:58" x14ac:dyDescent="0.2">
      <c r="A465" s="7">
        <v>18</v>
      </c>
      <c r="B465" s="7">
        <v>35</v>
      </c>
      <c r="C465" s="7">
        <v>8</v>
      </c>
      <c r="D465" s="7">
        <v>7</v>
      </c>
      <c r="E465" s="7">
        <f t="shared" si="42"/>
        <v>68</v>
      </c>
      <c r="F465" s="11" t="e">
        <v>#N/A</v>
      </c>
      <c r="G465">
        <v>18</v>
      </c>
      <c r="H465">
        <v>35</v>
      </c>
      <c r="I465">
        <v>8</v>
      </c>
      <c r="J465">
        <v>7</v>
      </c>
      <c r="K465">
        <f t="shared" si="43"/>
        <v>68</v>
      </c>
      <c r="L465" t="e">
        <v>#N/A</v>
      </c>
      <c r="M465">
        <v>16084.184822110001</v>
      </c>
      <c r="N465" s="7">
        <v>16</v>
      </c>
      <c r="O465" s="7">
        <v>35</v>
      </c>
      <c r="P465" s="7">
        <v>4</v>
      </c>
      <c r="Q465" s="7">
        <v>6</v>
      </c>
      <c r="R465" s="7">
        <f t="shared" si="44"/>
        <v>61</v>
      </c>
      <c r="S465" t="e">
        <v>#N/A</v>
      </c>
      <c r="T465" s="7">
        <v>20</v>
      </c>
      <c r="U465" s="7">
        <v>36</v>
      </c>
      <c r="V465" s="7">
        <v>8</v>
      </c>
      <c r="W465" s="7">
        <v>6</v>
      </c>
      <c r="X465" s="7">
        <f t="shared" si="45"/>
        <v>70</v>
      </c>
      <c r="Y465" t="e">
        <v>#N/A</v>
      </c>
      <c r="Z465">
        <v>30933.52711323</v>
      </c>
      <c r="AA465" t="s">
        <v>261</v>
      </c>
      <c r="AB465">
        <v>31</v>
      </c>
      <c r="AC465">
        <v>0</v>
      </c>
      <c r="AD465" t="s">
        <v>262</v>
      </c>
      <c r="AE465" t="s">
        <v>75</v>
      </c>
      <c r="AF465" t="e">
        <v>#N/A</v>
      </c>
      <c r="AG465" s="8">
        <v>285</v>
      </c>
      <c r="AH465">
        <v>9</v>
      </c>
      <c r="AI465">
        <v>2</v>
      </c>
      <c r="AJ465">
        <v>0</v>
      </c>
      <c r="AK465">
        <v>3.1578947368421054E-2</v>
      </c>
      <c r="AL465">
        <v>0.53311398998318305</v>
      </c>
      <c r="AM465">
        <v>-7</v>
      </c>
      <c r="AN465">
        <v>1</v>
      </c>
      <c r="AO465">
        <v>0.14754098360655737</v>
      </c>
      <c r="AP465">
        <v>0.13235294117647059</v>
      </c>
      <c r="AQ465">
        <v>0.10294117647058823</v>
      </c>
      <c r="AR465">
        <v>0.26470588235294118</v>
      </c>
      <c r="AS465">
        <v>0.51470588235294112</v>
      </c>
      <c r="AT465">
        <v>0.11764705882352941</v>
      </c>
      <c r="AU465">
        <v>47017.711935340005</v>
      </c>
      <c r="AV465">
        <v>8</v>
      </c>
      <c r="AW465">
        <f t="shared" si="46"/>
        <v>0</v>
      </c>
      <c r="AX465">
        <v>0</v>
      </c>
      <c r="AY465">
        <f t="shared" si="47"/>
        <v>0</v>
      </c>
      <c r="AZ465" t="e">
        <v>#N/A</v>
      </c>
      <c r="BA465">
        <v>7</v>
      </c>
      <c r="BB465">
        <v>2020</v>
      </c>
      <c r="BC465">
        <v>7</v>
      </c>
      <c r="BD465">
        <v>2020</v>
      </c>
      <c r="BE465">
        <v>1</v>
      </c>
      <c r="BF465">
        <v>2020</v>
      </c>
    </row>
    <row r="466" spans="1:58" x14ac:dyDescent="0.2">
      <c r="A466" s="7">
        <v>7</v>
      </c>
      <c r="B466" s="7">
        <v>18</v>
      </c>
      <c r="C466" s="7">
        <v>0</v>
      </c>
      <c r="D466" s="7">
        <v>0</v>
      </c>
      <c r="E466" s="7">
        <f t="shared" si="42"/>
        <v>25</v>
      </c>
      <c r="F466" s="11" t="s">
        <v>39</v>
      </c>
      <c r="G466">
        <v>7</v>
      </c>
      <c r="H466">
        <v>18</v>
      </c>
      <c r="I466">
        <v>0</v>
      </c>
      <c r="J466">
        <v>0</v>
      </c>
      <c r="K466">
        <f t="shared" si="43"/>
        <v>25</v>
      </c>
      <c r="L466" t="s">
        <v>39</v>
      </c>
      <c r="M466">
        <v>21347.93673632</v>
      </c>
      <c r="N466" s="7">
        <v>10</v>
      </c>
      <c r="O466" s="7">
        <v>18</v>
      </c>
      <c r="P466" s="7">
        <v>1</v>
      </c>
      <c r="Q466" s="7">
        <v>3</v>
      </c>
      <c r="R466" s="7">
        <f t="shared" si="44"/>
        <v>32</v>
      </c>
      <c r="S466" t="s">
        <v>54</v>
      </c>
      <c r="T466" s="7">
        <v>18</v>
      </c>
      <c r="U466" s="7">
        <v>35</v>
      </c>
      <c r="V466" s="7">
        <v>9</v>
      </c>
      <c r="W466" s="7">
        <v>6</v>
      </c>
      <c r="X466" s="7">
        <f t="shared" si="45"/>
        <v>68</v>
      </c>
      <c r="Y466" t="s">
        <v>36</v>
      </c>
      <c r="Z466">
        <v>141973.14013760001</v>
      </c>
      <c r="AA466" t="s">
        <v>858</v>
      </c>
      <c r="AB466">
        <v>66</v>
      </c>
      <c r="AC466">
        <v>21</v>
      </c>
      <c r="AD466" t="s">
        <v>174</v>
      </c>
      <c r="AE466" t="s">
        <v>75</v>
      </c>
      <c r="AF466" t="e">
        <v>#N/A</v>
      </c>
      <c r="AG466" s="8">
        <v>408</v>
      </c>
      <c r="AH466">
        <v>36</v>
      </c>
      <c r="AI466">
        <v>43</v>
      </c>
      <c r="AJ466">
        <v>0</v>
      </c>
      <c r="AK466">
        <v>8.8235294117647065E-2</v>
      </c>
      <c r="AL466">
        <v>1.7822655773580138</v>
      </c>
      <c r="AM466">
        <v>7</v>
      </c>
      <c r="AN466">
        <v>0</v>
      </c>
      <c r="AO466">
        <v>1.125</v>
      </c>
      <c r="AP466">
        <v>1.44</v>
      </c>
      <c r="AQ466">
        <v>0</v>
      </c>
      <c r="AR466">
        <v>0.28000000000000003</v>
      </c>
      <c r="AS466">
        <v>0.72</v>
      </c>
      <c r="AT466">
        <v>0</v>
      </c>
      <c r="AU466">
        <v>163321.07687392001</v>
      </c>
      <c r="AV466">
        <v>10</v>
      </c>
      <c r="AW466">
        <f t="shared" si="46"/>
        <v>1</v>
      </c>
      <c r="AX466">
        <v>21</v>
      </c>
      <c r="AY466">
        <f t="shared" si="47"/>
        <v>1</v>
      </c>
      <c r="AZ466" t="e">
        <v>#N/A</v>
      </c>
      <c r="BA466">
        <v>8</v>
      </c>
      <c r="BB466">
        <v>2018</v>
      </c>
      <c r="BC466">
        <v>8</v>
      </c>
      <c r="BD466">
        <v>2018</v>
      </c>
      <c r="BE466">
        <v>1</v>
      </c>
      <c r="BF466">
        <v>2018</v>
      </c>
    </row>
    <row r="467" spans="1:58" x14ac:dyDescent="0.2">
      <c r="A467" s="7">
        <v>0</v>
      </c>
      <c r="B467" s="7">
        <v>0</v>
      </c>
      <c r="C467" s="7">
        <v>0</v>
      </c>
      <c r="D467" s="7">
        <v>0</v>
      </c>
      <c r="E467" s="7">
        <f t="shared" si="42"/>
        <v>0</v>
      </c>
      <c r="F467" s="11" t="e">
        <v>#N/A</v>
      </c>
      <c r="G467">
        <v>0</v>
      </c>
      <c r="H467">
        <v>0</v>
      </c>
      <c r="I467">
        <v>0</v>
      </c>
      <c r="J467">
        <v>0</v>
      </c>
      <c r="K467">
        <f t="shared" si="43"/>
        <v>0</v>
      </c>
      <c r="L467" t="e">
        <v>#N/A</v>
      </c>
      <c r="N467" s="7">
        <v>0</v>
      </c>
      <c r="O467" s="7">
        <v>10</v>
      </c>
      <c r="P467" s="7">
        <v>0</v>
      </c>
      <c r="Q467" s="7">
        <v>0</v>
      </c>
      <c r="R467" s="7">
        <f t="shared" si="44"/>
        <v>10</v>
      </c>
      <c r="S467" t="s">
        <v>68</v>
      </c>
      <c r="T467" s="7">
        <v>2</v>
      </c>
      <c r="U467" s="7">
        <v>18</v>
      </c>
      <c r="V467" s="7">
        <v>0</v>
      </c>
      <c r="W467" s="7">
        <v>0</v>
      </c>
      <c r="X467" s="7">
        <f t="shared" si="45"/>
        <v>20</v>
      </c>
      <c r="Y467" t="s">
        <v>68</v>
      </c>
      <c r="Z467">
        <v>81344.865434899999</v>
      </c>
      <c r="AA467" t="s">
        <v>859</v>
      </c>
      <c r="AB467" t="e">
        <v>#N/A</v>
      </c>
      <c r="AF467" t="e">
        <v>#N/A</v>
      </c>
      <c r="AG467" s="8">
        <v>67</v>
      </c>
      <c r="AH467">
        <v>10</v>
      </c>
      <c r="AI467">
        <v>20</v>
      </c>
      <c r="AJ467">
        <v>0</v>
      </c>
      <c r="AK467">
        <v>0.14925373134328357</v>
      </c>
      <c r="AL467">
        <v>1.2216944435630521</v>
      </c>
      <c r="AM467">
        <v>10</v>
      </c>
      <c r="AN467">
        <v>0</v>
      </c>
      <c r="AO467">
        <v>1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>
        <v>81344.865434899999</v>
      </c>
      <c r="AV467" t="s">
        <v>489</v>
      </c>
      <c r="AW467" t="str">
        <f t="shared" si="46"/>
        <v>n/a</v>
      </c>
      <c r="AY467" t="e">
        <f t="shared" si="47"/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>
        <v>10</v>
      </c>
      <c r="BF467">
        <v>2018</v>
      </c>
    </row>
    <row r="468" spans="1:58" x14ac:dyDescent="0.2">
      <c r="A468" s="7">
        <v>0</v>
      </c>
      <c r="B468" s="7">
        <v>6</v>
      </c>
      <c r="C468" s="7">
        <v>0</v>
      </c>
      <c r="D468" s="7">
        <v>0</v>
      </c>
      <c r="E468" s="7">
        <f t="shared" si="42"/>
        <v>6</v>
      </c>
      <c r="F468" s="11" t="s">
        <v>36</v>
      </c>
      <c r="G468">
        <v>0</v>
      </c>
      <c r="H468">
        <v>6</v>
      </c>
      <c r="I468">
        <v>0</v>
      </c>
      <c r="J468">
        <v>0</v>
      </c>
      <c r="K468">
        <f t="shared" si="43"/>
        <v>6</v>
      </c>
      <c r="L468" t="s">
        <v>36</v>
      </c>
      <c r="M468">
        <v>20505.983538600001</v>
      </c>
      <c r="N468" s="7">
        <v>0</v>
      </c>
      <c r="O468" s="7">
        <v>15</v>
      </c>
      <c r="P468" s="7">
        <v>0</v>
      </c>
      <c r="Q468" s="7">
        <v>3</v>
      </c>
      <c r="R468" s="7">
        <f t="shared" si="44"/>
        <v>18</v>
      </c>
      <c r="S468" t="s">
        <v>36</v>
      </c>
      <c r="T468" s="7">
        <v>10</v>
      </c>
      <c r="U468" s="7">
        <v>11</v>
      </c>
      <c r="V468" s="7">
        <v>9</v>
      </c>
      <c r="W468" s="7">
        <v>9</v>
      </c>
      <c r="X468" s="7">
        <f t="shared" si="45"/>
        <v>39</v>
      </c>
      <c r="Y468" t="s">
        <v>36</v>
      </c>
      <c r="Z468">
        <v>182641.69546377001</v>
      </c>
      <c r="AA468" t="s">
        <v>860</v>
      </c>
      <c r="AB468">
        <v>53</v>
      </c>
      <c r="AC468">
        <v>0</v>
      </c>
      <c r="AD468" t="s">
        <v>254</v>
      </c>
      <c r="AE468" t="s">
        <v>41</v>
      </c>
      <c r="AF468">
        <v>17</v>
      </c>
      <c r="AG468" s="8">
        <v>475</v>
      </c>
      <c r="AH468">
        <v>21</v>
      </c>
      <c r="AI468">
        <v>33</v>
      </c>
      <c r="AJ468">
        <v>0</v>
      </c>
      <c r="AK468">
        <v>4.4210526315789471E-2</v>
      </c>
      <c r="AL468">
        <v>0.9635460822563594</v>
      </c>
      <c r="AM468">
        <v>12</v>
      </c>
      <c r="AN468">
        <v>0</v>
      </c>
      <c r="AO468">
        <v>1.1666666666666667</v>
      </c>
      <c r="AP468">
        <v>3.5</v>
      </c>
      <c r="AQ468">
        <v>0</v>
      </c>
      <c r="AR468">
        <v>0</v>
      </c>
      <c r="AS468">
        <v>1</v>
      </c>
      <c r="AT468">
        <v>0</v>
      </c>
      <c r="AU468">
        <v>203147.67900237002</v>
      </c>
      <c r="AV468">
        <v>8</v>
      </c>
      <c r="AW468">
        <f t="shared" si="46"/>
        <v>0</v>
      </c>
      <c r="AX468">
        <v>0</v>
      </c>
      <c r="AY468">
        <f t="shared" si="47"/>
        <v>0</v>
      </c>
      <c r="AZ468">
        <v>0</v>
      </c>
      <c r="BA468">
        <v>8</v>
      </c>
      <c r="BB468">
        <v>2018</v>
      </c>
      <c r="BC468">
        <v>9</v>
      </c>
      <c r="BD468">
        <v>2018</v>
      </c>
      <c r="BE468">
        <v>1</v>
      </c>
      <c r="BF468">
        <v>2018</v>
      </c>
    </row>
    <row r="469" spans="1:58" x14ac:dyDescent="0.2">
      <c r="A469" s="7">
        <v>7</v>
      </c>
      <c r="B469" s="7">
        <v>15</v>
      </c>
      <c r="C469" s="7">
        <v>4</v>
      </c>
      <c r="D469" s="7">
        <v>3</v>
      </c>
      <c r="E469" s="7">
        <f t="shared" si="42"/>
        <v>29</v>
      </c>
      <c r="F469" s="11" t="e">
        <v>#N/A</v>
      </c>
      <c r="G469">
        <v>7</v>
      </c>
      <c r="H469">
        <v>15</v>
      </c>
      <c r="I469">
        <v>4</v>
      </c>
      <c r="J469">
        <v>3</v>
      </c>
      <c r="K469">
        <f t="shared" si="43"/>
        <v>29</v>
      </c>
      <c r="L469" t="e">
        <v>#N/A</v>
      </c>
      <c r="M469">
        <v>23155.712303429998</v>
      </c>
      <c r="N469" s="7">
        <v>8</v>
      </c>
      <c r="O469" s="7">
        <v>15</v>
      </c>
      <c r="P469" s="7">
        <v>4</v>
      </c>
      <c r="Q469" s="7">
        <v>3</v>
      </c>
      <c r="R469" s="7">
        <f t="shared" si="44"/>
        <v>30</v>
      </c>
      <c r="S469" t="e">
        <v>#N/A</v>
      </c>
      <c r="T469" s="7">
        <v>11</v>
      </c>
      <c r="U469" s="7">
        <v>15</v>
      </c>
      <c r="V469" s="7">
        <v>7</v>
      </c>
      <c r="W469" s="7">
        <v>4</v>
      </c>
      <c r="X469" s="7">
        <f t="shared" si="45"/>
        <v>37</v>
      </c>
      <c r="Y469" t="e">
        <v>#N/A</v>
      </c>
      <c r="Z469">
        <v>14929.600000259999</v>
      </c>
      <c r="AA469" t="s">
        <v>263</v>
      </c>
      <c r="AB469">
        <v>55</v>
      </c>
      <c r="AC469">
        <v>0</v>
      </c>
      <c r="AD469" t="s">
        <v>99</v>
      </c>
      <c r="AE469" t="s">
        <v>41</v>
      </c>
      <c r="AF469" t="e">
        <v>#N/A</v>
      </c>
      <c r="AG469" s="8">
        <v>244</v>
      </c>
      <c r="AH469">
        <v>7</v>
      </c>
      <c r="AI469">
        <v>8</v>
      </c>
      <c r="AJ469">
        <v>0</v>
      </c>
      <c r="AK469">
        <v>2.8688524590163935E-2</v>
      </c>
      <c r="AL469">
        <v>0.44812907976513594</v>
      </c>
      <c r="AM469">
        <v>1</v>
      </c>
      <c r="AN469">
        <v>0</v>
      </c>
      <c r="AO469">
        <v>0.23333333333333334</v>
      </c>
      <c r="AP469">
        <v>0.2413793103448276</v>
      </c>
      <c r="AQ469">
        <v>0.10344827586206896</v>
      </c>
      <c r="AR469">
        <v>0.2413793103448276</v>
      </c>
      <c r="AS469">
        <v>0.51724137931034486</v>
      </c>
      <c r="AT469">
        <v>0.13793103448275862</v>
      </c>
      <c r="AU469">
        <v>38085.31230369</v>
      </c>
      <c r="AV469">
        <v>6</v>
      </c>
      <c r="AW469">
        <f t="shared" si="46"/>
        <v>0</v>
      </c>
      <c r="AX469">
        <v>0</v>
      </c>
      <c r="AY469">
        <f t="shared" si="47"/>
        <v>0</v>
      </c>
      <c r="AZ469" t="e">
        <v>#N/A</v>
      </c>
      <c r="BA469">
        <v>5</v>
      </c>
      <c r="BB469">
        <v>2020</v>
      </c>
      <c r="BC469">
        <v>5</v>
      </c>
      <c r="BD469">
        <v>2020</v>
      </c>
      <c r="BE469">
        <v>1</v>
      </c>
      <c r="BF469">
        <v>2020</v>
      </c>
    </row>
    <row r="470" spans="1:58" x14ac:dyDescent="0.2">
      <c r="A470" s="7">
        <v>8</v>
      </c>
      <c r="B470" s="7">
        <v>21</v>
      </c>
      <c r="C470" s="7">
        <v>0</v>
      </c>
      <c r="D470" s="7">
        <v>2</v>
      </c>
      <c r="E470" s="7">
        <f t="shared" si="42"/>
        <v>31</v>
      </c>
      <c r="F470" s="11" t="s">
        <v>39</v>
      </c>
      <c r="G470">
        <v>8</v>
      </c>
      <c r="H470">
        <v>10</v>
      </c>
      <c r="I470">
        <v>0</v>
      </c>
      <c r="J470">
        <v>0</v>
      </c>
      <c r="K470">
        <f t="shared" si="43"/>
        <v>18</v>
      </c>
      <c r="L470" t="s">
        <v>36</v>
      </c>
      <c r="M470">
        <v>24998.05549146</v>
      </c>
      <c r="N470" s="7">
        <v>8</v>
      </c>
      <c r="O470" s="7">
        <v>21</v>
      </c>
      <c r="P470" s="7">
        <v>0</v>
      </c>
      <c r="Q470" s="7">
        <v>2</v>
      </c>
      <c r="R470" s="7">
        <f t="shared" si="44"/>
        <v>31</v>
      </c>
      <c r="S470" t="s">
        <v>39</v>
      </c>
      <c r="T470" s="7">
        <v>20</v>
      </c>
      <c r="U470" s="7">
        <v>35</v>
      </c>
      <c r="V470" s="7">
        <v>9</v>
      </c>
      <c r="W470" s="7">
        <v>8</v>
      </c>
      <c r="X470" s="7">
        <f t="shared" si="45"/>
        <v>72</v>
      </c>
      <c r="Y470" t="s">
        <v>36</v>
      </c>
      <c r="Z470">
        <v>134828.23489858999</v>
      </c>
      <c r="AA470" t="s">
        <v>861</v>
      </c>
      <c r="AB470">
        <v>47</v>
      </c>
      <c r="AC470">
        <v>0</v>
      </c>
      <c r="AD470" t="s">
        <v>254</v>
      </c>
      <c r="AE470" t="s">
        <v>41</v>
      </c>
      <c r="AF470">
        <v>220</v>
      </c>
      <c r="AG470" s="8">
        <v>216</v>
      </c>
      <c r="AH470">
        <v>41</v>
      </c>
      <c r="AI470">
        <v>41</v>
      </c>
      <c r="AJ470">
        <v>-13</v>
      </c>
      <c r="AK470">
        <v>0.18981481481481483</v>
      </c>
      <c r="AL470">
        <v>2.7896966515030637</v>
      </c>
      <c r="AM470">
        <v>13</v>
      </c>
      <c r="AN470">
        <v>0</v>
      </c>
      <c r="AO470">
        <v>1.3225806451612903</v>
      </c>
      <c r="AP470">
        <v>1.3225806451612903</v>
      </c>
      <c r="AQ470">
        <v>6.4516129032258063E-2</v>
      </c>
      <c r="AR470">
        <v>0.25806451612903225</v>
      </c>
      <c r="AS470">
        <v>0.67741935483870963</v>
      </c>
      <c r="AT470">
        <v>0</v>
      </c>
      <c r="AU470">
        <v>159826.29039004998</v>
      </c>
      <c r="AV470">
        <v>8</v>
      </c>
      <c r="AW470">
        <f t="shared" si="46"/>
        <v>0</v>
      </c>
      <c r="AX470">
        <v>0</v>
      </c>
      <c r="AY470">
        <f t="shared" si="47"/>
        <v>0</v>
      </c>
      <c r="AZ470">
        <v>0</v>
      </c>
      <c r="BA470">
        <v>1</v>
      </c>
      <c r="BB470">
        <v>2018</v>
      </c>
      <c r="BC470">
        <v>8</v>
      </c>
      <c r="BD470">
        <v>2018</v>
      </c>
      <c r="BE470">
        <v>9</v>
      </c>
      <c r="BF470">
        <v>2018</v>
      </c>
    </row>
    <row r="471" spans="1:58" x14ac:dyDescent="0.2">
      <c r="A471" s="7">
        <v>7</v>
      </c>
      <c r="B471" s="7">
        <v>15</v>
      </c>
      <c r="C471" s="7">
        <v>0</v>
      </c>
      <c r="D471" s="7">
        <v>5</v>
      </c>
      <c r="E471" s="7">
        <f t="shared" si="42"/>
        <v>27</v>
      </c>
      <c r="F471" s="11" t="s">
        <v>36</v>
      </c>
      <c r="G471">
        <v>7</v>
      </c>
      <c r="H471">
        <v>15</v>
      </c>
      <c r="I471">
        <v>0</v>
      </c>
      <c r="J471">
        <v>0</v>
      </c>
      <c r="K471">
        <f t="shared" si="43"/>
        <v>22</v>
      </c>
      <c r="L471" t="s">
        <v>36</v>
      </c>
      <c r="M471">
        <v>19918.727765340001</v>
      </c>
      <c r="N471" s="7">
        <v>7</v>
      </c>
      <c r="O471" s="7">
        <v>15</v>
      </c>
      <c r="P471" s="7">
        <v>0</v>
      </c>
      <c r="Q471" s="7">
        <v>5</v>
      </c>
      <c r="R471" s="7">
        <f t="shared" si="44"/>
        <v>27</v>
      </c>
      <c r="S471" t="s">
        <v>36</v>
      </c>
      <c r="T471" s="7">
        <v>13</v>
      </c>
      <c r="U471" s="7">
        <v>24</v>
      </c>
      <c r="V471" s="7">
        <v>7</v>
      </c>
      <c r="W471" s="7">
        <v>6</v>
      </c>
      <c r="X471" s="7">
        <f t="shared" si="45"/>
        <v>50</v>
      </c>
      <c r="Y471" t="s">
        <v>68</v>
      </c>
      <c r="Z471">
        <v>131646.60199676501</v>
      </c>
      <c r="AA471" t="s">
        <v>862</v>
      </c>
      <c r="AB471">
        <v>71</v>
      </c>
      <c r="AC471">
        <v>0</v>
      </c>
      <c r="AD471" t="s">
        <v>131</v>
      </c>
      <c r="AE471" t="s">
        <v>41</v>
      </c>
      <c r="AF471">
        <v>224</v>
      </c>
      <c r="AG471" s="8">
        <v>572</v>
      </c>
      <c r="AH471">
        <v>23</v>
      </c>
      <c r="AI471">
        <v>23</v>
      </c>
      <c r="AJ471">
        <v>-5</v>
      </c>
      <c r="AK471">
        <v>4.0209790209790208E-2</v>
      </c>
      <c r="AL471">
        <v>0.96167831150815442</v>
      </c>
      <c r="AM471">
        <v>5</v>
      </c>
      <c r="AN471">
        <v>0</v>
      </c>
      <c r="AO471">
        <v>0.85185185185185186</v>
      </c>
      <c r="AP471">
        <v>0.85185185185185186</v>
      </c>
      <c r="AQ471">
        <v>0.18518518518518517</v>
      </c>
      <c r="AR471">
        <v>0.25925925925925924</v>
      </c>
      <c r="AS471">
        <v>0.55555555555555558</v>
      </c>
      <c r="AT471">
        <v>0</v>
      </c>
      <c r="AU471">
        <v>151565.32976210502</v>
      </c>
      <c r="AV471">
        <v>10</v>
      </c>
      <c r="AW471">
        <f t="shared" si="46"/>
        <v>1</v>
      </c>
      <c r="AX471">
        <v>0</v>
      </c>
      <c r="AY471">
        <f t="shared" si="47"/>
        <v>0</v>
      </c>
      <c r="AZ471">
        <v>0</v>
      </c>
      <c r="BA471">
        <v>1</v>
      </c>
      <c r="BB471">
        <v>2018</v>
      </c>
      <c r="BC471">
        <v>8</v>
      </c>
      <c r="BD471">
        <v>2018</v>
      </c>
      <c r="BE471">
        <v>5</v>
      </c>
      <c r="BF471">
        <v>2018</v>
      </c>
    </row>
    <row r="472" spans="1:58" x14ac:dyDescent="0.2">
      <c r="A472" s="7">
        <v>7</v>
      </c>
      <c r="B472" s="7">
        <v>13</v>
      </c>
      <c r="C472" s="7">
        <v>0</v>
      </c>
      <c r="D472" s="7">
        <v>5</v>
      </c>
      <c r="E472" s="7">
        <f t="shared" si="42"/>
        <v>25</v>
      </c>
      <c r="F472" s="11" t="s">
        <v>39</v>
      </c>
      <c r="G472">
        <v>7</v>
      </c>
      <c r="H472">
        <v>13</v>
      </c>
      <c r="I472">
        <v>0</v>
      </c>
      <c r="J472">
        <v>5</v>
      </c>
      <c r="K472">
        <f t="shared" si="43"/>
        <v>25</v>
      </c>
      <c r="L472" t="s">
        <v>39</v>
      </c>
      <c r="M472">
        <v>72555.665351019998</v>
      </c>
      <c r="N472" s="7">
        <v>7</v>
      </c>
      <c r="O472" s="7">
        <v>11</v>
      </c>
      <c r="P472" s="7">
        <v>0</v>
      </c>
      <c r="Q472" s="7">
        <v>5</v>
      </c>
      <c r="R472" s="7">
        <f t="shared" si="44"/>
        <v>23</v>
      </c>
      <c r="S472" t="s">
        <v>39</v>
      </c>
      <c r="T472" s="7">
        <v>19</v>
      </c>
      <c r="U472" s="7">
        <v>25</v>
      </c>
      <c r="V472" s="7">
        <v>9</v>
      </c>
      <c r="W472" s="7">
        <v>17</v>
      </c>
      <c r="X472" s="7">
        <f t="shared" si="45"/>
        <v>70</v>
      </c>
      <c r="Y472" t="s">
        <v>36</v>
      </c>
      <c r="Z472">
        <v>80392.122470949995</v>
      </c>
      <c r="AA472" t="s">
        <v>863</v>
      </c>
      <c r="AB472">
        <v>68</v>
      </c>
      <c r="AC472">
        <v>0</v>
      </c>
      <c r="AD472" t="s">
        <v>131</v>
      </c>
      <c r="AE472" t="s">
        <v>41</v>
      </c>
      <c r="AF472" t="e">
        <v>#N/A</v>
      </c>
      <c r="AG472" s="8">
        <v>67</v>
      </c>
      <c r="AH472">
        <v>47</v>
      </c>
      <c r="AI472">
        <v>45</v>
      </c>
      <c r="AJ472">
        <v>0</v>
      </c>
      <c r="AK472">
        <v>0.70149253731343286</v>
      </c>
      <c r="AL472">
        <v>5.7419638847463457</v>
      </c>
      <c r="AM472">
        <v>-2</v>
      </c>
      <c r="AN472">
        <v>1</v>
      </c>
      <c r="AO472">
        <v>2.0434782608695654</v>
      </c>
      <c r="AP472">
        <v>1.88</v>
      </c>
      <c r="AQ472">
        <v>0.2</v>
      </c>
      <c r="AR472">
        <v>0.28000000000000003</v>
      </c>
      <c r="AS472">
        <v>0.52</v>
      </c>
      <c r="AT472">
        <v>0</v>
      </c>
      <c r="AU472">
        <v>152947.78782197001</v>
      </c>
      <c r="AV472">
        <v>12</v>
      </c>
      <c r="AW472">
        <f t="shared" si="46"/>
        <v>1</v>
      </c>
      <c r="AX472">
        <v>0</v>
      </c>
      <c r="AY472">
        <f t="shared" si="47"/>
        <v>0</v>
      </c>
      <c r="AZ472" t="e">
        <v>#N/A</v>
      </c>
      <c r="BA472">
        <v>2</v>
      </c>
      <c r="BB472">
        <v>2018</v>
      </c>
      <c r="BC472">
        <v>2</v>
      </c>
      <c r="BD472">
        <v>2018</v>
      </c>
      <c r="BE472">
        <v>12</v>
      </c>
      <c r="BF472">
        <v>2018</v>
      </c>
    </row>
    <row r="473" spans="1:58" x14ac:dyDescent="0.2">
      <c r="A473" s="7">
        <v>10</v>
      </c>
      <c r="B473" s="7">
        <v>20</v>
      </c>
      <c r="C473" s="7">
        <v>0</v>
      </c>
      <c r="D473" s="7">
        <v>3</v>
      </c>
      <c r="E473" s="7">
        <f t="shared" si="42"/>
        <v>33</v>
      </c>
      <c r="F473" s="11" t="s">
        <v>36</v>
      </c>
      <c r="G473">
        <v>8</v>
      </c>
      <c r="H473">
        <v>13</v>
      </c>
      <c r="I473">
        <v>0</v>
      </c>
      <c r="J473">
        <v>3</v>
      </c>
      <c r="K473">
        <f t="shared" si="43"/>
        <v>24</v>
      </c>
      <c r="L473" t="s">
        <v>36</v>
      </c>
      <c r="M473">
        <v>19606.328723629998</v>
      </c>
      <c r="N473" s="7">
        <v>19</v>
      </c>
      <c r="O473" s="7">
        <v>36</v>
      </c>
      <c r="P473" s="7">
        <v>9</v>
      </c>
      <c r="Q473" s="7">
        <v>20</v>
      </c>
      <c r="R473" s="7">
        <f t="shared" si="44"/>
        <v>84</v>
      </c>
      <c r="S473" t="s">
        <v>36</v>
      </c>
      <c r="T473" s="7">
        <v>19</v>
      </c>
      <c r="U473" s="7">
        <v>36</v>
      </c>
      <c r="V473" s="7">
        <v>9</v>
      </c>
      <c r="W473" s="7">
        <v>20</v>
      </c>
      <c r="X473" s="7">
        <f t="shared" si="45"/>
        <v>84</v>
      </c>
      <c r="Y473" t="s">
        <v>36</v>
      </c>
      <c r="Z473">
        <v>76680.299426750003</v>
      </c>
      <c r="AA473" t="s">
        <v>864</v>
      </c>
      <c r="AB473">
        <v>38</v>
      </c>
      <c r="AC473">
        <v>0</v>
      </c>
      <c r="AD473" t="s">
        <v>119</v>
      </c>
      <c r="AE473" t="s">
        <v>41</v>
      </c>
      <c r="AF473">
        <v>107</v>
      </c>
      <c r="AG473" s="8">
        <v>670</v>
      </c>
      <c r="AH473">
        <v>0</v>
      </c>
      <c r="AI473">
        <v>51</v>
      </c>
      <c r="AJ473">
        <v>-9</v>
      </c>
      <c r="AK473">
        <v>0</v>
      </c>
      <c r="AL473">
        <v>0</v>
      </c>
      <c r="AM473">
        <v>60</v>
      </c>
      <c r="AN473">
        <v>0</v>
      </c>
      <c r="AO473">
        <v>0</v>
      </c>
      <c r="AP473">
        <v>0</v>
      </c>
      <c r="AQ473">
        <v>9.0909090909090912E-2</v>
      </c>
      <c r="AR473">
        <v>0.30303030303030304</v>
      </c>
      <c r="AS473">
        <v>0.60606060606060608</v>
      </c>
      <c r="AT473">
        <v>0</v>
      </c>
      <c r="AU473">
        <v>96286.628150379998</v>
      </c>
      <c r="AV473">
        <v>4</v>
      </c>
      <c r="AW473">
        <f t="shared" si="46"/>
        <v>0</v>
      </c>
      <c r="AX473">
        <v>0</v>
      </c>
      <c r="AY473">
        <f t="shared" si="47"/>
        <v>0</v>
      </c>
      <c r="AZ473">
        <v>0</v>
      </c>
      <c r="BA473">
        <v>5</v>
      </c>
      <c r="BB473">
        <v>2018</v>
      </c>
      <c r="BC473">
        <v>8</v>
      </c>
      <c r="BD473">
        <v>2018</v>
      </c>
      <c r="BE473">
        <v>1</v>
      </c>
      <c r="BF473">
        <v>2018</v>
      </c>
    </row>
    <row r="474" spans="1:58" x14ac:dyDescent="0.2">
      <c r="A474" s="7">
        <v>0</v>
      </c>
      <c r="B474" s="7">
        <v>0</v>
      </c>
      <c r="C474" s="7">
        <v>0</v>
      </c>
      <c r="D474" s="7">
        <v>0</v>
      </c>
      <c r="E474" s="7">
        <f t="shared" si="42"/>
        <v>0</v>
      </c>
      <c r="F474" s="11" t="e">
        <v>#N/A</v>
      </c>
      <c r="G474">
        <v>0</v>
      </c>
      <c r="H474">
        <v>0</v>
      </c>
      <c r="I474">
        <v>0</v>
      </c>
      <c r="J474">
        <v>0</v>
      </c>
      <c r="K474">
        <f t="shared" si="43"/>
        <v>0</v>
      </c>
      <c r="L474" t="e">
        <v>#N/A</v>
      </c>
      <c r="N474" s="7">
        <v>0</v>
      </c>
      <c r="O474" s="7">
        <v>2</v>
      </c>
      <c r="P474" s="7">
        <v>0</v>
      </c>
      <c r="Q474" s="7">
        <v>0</v>
      </c>
      <c r="R474" s="7">
        <f t="shared" si="44"/>
        <v>2</v>
      </c>
      <c r="S474" t="s">
        <v>45</v>
      </c>
      <c r="T474" s="7">
        <v>0</v>
      </c>
      <c r="U474" s="7">
        <v>2</v>
      </c>
      <c r="V474" s="7">
        <v>0</v>
      </c>
      <c r="W474" s="7">
        <v>0</v>
      </c>
      <c r="X474" s="7">
        <f t="shared" si="45"/>
        <v>2</v>
      </c>
      <c r="Y474" t="s">
        <v>59</v>
      </c>
      <c r="Z474">
        <v>91985.388464470001</v>
      </c>
      <c r="AA474" t="s">
        <v>865</v>
      </c>
      <c r="AB474">
        <v>65</v>
      </c>
      <c r="AC474">
        <v>0</v>
      </c>
      <c r="AD474" t="s">
        <v>264</v>
      </c>
      <c r="AE474" t="s">
        <v>75</v>
      </c>
      <c r="AF474" t="e">
        <v>#N/A</v>
      </c>
      <c r="AG474" s="8">
        <v>188</v>
      </c>
      <c r="AH474">
        <v>0</v>
      </c>
      <c r="AI474">
        <v>2</v>
      </c>
      <c r="AJ474">
        <v>0</v>
      </c>
      <c r="AK474">
        <v>0</v>
      </c>
      <c r="AL474">
        <v>0</v>
      </c>
      <c r="AM474">
        <v>2</v>
      </c>
      <c r="AN474">
        <v>0</v>
      </c>
      <c r="AO474">
        <v>0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>
        <v>91985.388464470001</v>
      </c>
      <c r="AV474">
        <v>21</v>
      </c>
      <c r="AW474">
        <f t="shared" si="46"/>
        <v>1</v>
      </c>
      <c r="AX474">
        <v>0</v>
      </c>
      <c r="AY474">
        <f t="shared" si="47"/>
        <v>0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>
        <v>10</v>
      </c>
      <c r="BF474">
        <v>2018</v>
      </c>
    </row>
    <row r="475" spans="1:58" x14ac:dyDescent="0.2">
      <c r="A475" s="7">
        <v>11</v>
      </c>
      <c r="B475" s="7">
        <v>10</v>
      </c>
      <c r="C475" s="7">
        <v>0</v>
      </c>
      <c r="D475" s="7">
        <v>3</v>
      </c>
      <c r="E475" s="7">
        <f t="shared" si="42"/>
        <v>24</v>
      </c>
      <c r="F475" s="11" t="s">
        <v>39</v>
      </c>
      <c r="G475">
        <v>8</v>
      </c>
      <c r="H475">
        <v>10</v>
      </c>
      <c r="I475">
        <v>0</v>
      </c>
      <c r="J475">
        <v>3</v>
      </c>
      <c r="K475">
        <f t="shared" si="43"/>
        <v>21</v>
      </c>
      <c r="L475" t="s">
        <v>39</v>
      </c>
      <c r="M475">
        <v>13632.596991099999</v>
      </c>
      <c r="N475" s="7">
        <v>11</v>
      </c>
      <c r="O475" s="7">
        <v>10</v>
      </c>
      <c r="P475" s="7">
        <v>1</v>
      </c>
      <c r="Q475" s="7">
        <v>3</v>
      </c>
      <c r="R475" s="7">
        <f t="shared" si="44"/>
        <v>25</v>
      </c>
      <c r="S475" t="s">
        <v>39</v>
      </c>
      <c r="T475" s="7">
        <v>11</v>
      </c>
      <c r="U475" s="7">
        <v>10</v>
      </c>
      <c r="V475" s="7">
        <v>1</v>
      </c>
      <c r="W475" s="7">
        <v>3</v>
      </c>
      <c r="X475" s="7">
        <f t="shared" si="45"/>
        <v>25</v>
      </c>
      <c r="Y475" t="s">
        <v>39</v>
      </c>
      <c r="Z475">
        <v>8092.3784266499988</v>
      </c>
      <c r="AA475" t="s">
        <v>866</v>
      </c>
      <c r="AB475">
        <v>68</v>
      </c>
      <c r="AC475">
        <v>0</v>
      </c>
      <c r="AD475" t="s">
        <v>217</v>
      </c>
      <c r="AE475" t="s">
        <v>75</v>
      </c>
      <c r="AF475">
        <v>257</v>
      </c>
      <c r="AG475" s="8">
        <v>0</v>
      </c>
      <c r="AH475">
        <v>0</v>
      </c>
      <c r="AI475">
        <v>1</v>
      </c>
      <c r="AJ475">
        <v>-3</v>
      </c>
      <c r="AK475" t="e">
        <v>#N/A</v>
      </c>
      <c r="AL475" t="e">
        <v>#N/A</v>
      </c>
      <c r="AM475">
        <v>4</v>
      </c>
      <c r="AN475">
        <v>0</v>
      </c>
      <c r="AO475">
        <v>0</v>
      </c>
      <c r="AP475">
        <v>0</v>
      </c>
      <c r="AQ475">
        <v>0.125</v>
      </c>
      <c r="AR475">
        <v>0.45833333333333331</v>
      </c>
      <c r="AS475">
        <v>0.41666666666666669</v>
      </c>
      <c r="AT475">
        <v>0</v>
      </c>
      <c r="AU475">
        <v>21724.97541775</v>
      </c>
      <c r="AV475">
        <v>9</v>
      </c>
      <c r="AW475">
        <f t="shared" si="46"/>
        <v>0</v>
      </c>
      <c r="AX475">
        <v>0</v>
      </c>
      <c r="AY475">
        <f t="shared" si="47"/>
        <v>0</v>
      </c>
      <c r="AZ475">
        <v>0</v>
      </c>
      <c r="BA475">
        <v>1</v>
      </c>
      <c r="BB475">
        <v>2019</v>
      </c>
      <c r="BC475">
        <v>9</v>
      </c>
      <c r="BD475">
        <v>2019</v>
      </c>
      <c r="BE475">
        <v>10</v>
      </c>
      <c r="BF475">
        <v>2019</v>
      </c>
    </row>
    <row r="476" spans="1:58" x14ac:dyDescent="0.2">
      <c r="A476" s="7">
        <v>17</v>
      </c>
      <c r="B476" s="7">
        <v>39</v>
      </c>
      <c r="C476" s="7">
        <v>9</v>
      </c>
      <c r="D476" s="7">
        <v>7</v>
      </c>
      <c r="E476" s="7">
        <f t="shared" si="42"/>
        <v>72</v>
      </c>
      <c r="F476" s="11" t="s">
        <v>36</v>
      </c>
      <c r="G476">
        <v>17</v>
      </c>
      <c r="H476">
        <v>39</v>
      </c>
      <c r="I476">
        <v>9</v>
      </c>
      <c r="J476">
        <v>7</v>
      </c>
      <c r="K476">
        <f t="shared" si="43"/>
        <v>72</v>
      </c>
      <c r="L476" t="s">
        <v>36</v>
      </c>
      <c r="M476">
        <v>12089.053556090001</v>
      </c>
      <c r="N476" s="7">
        <v>20</v>
      </c>
      <c r="O476" s="7">
        <v>39</v>
      </c>
      <c r="P476" s="7">
        <v>9</v>
      </c>
      <c r="Q476" s="7">
        <v>27</v>
      </c>
      <c r="R476" s="7">
        <f t="shared" si="44"/>
        <v>95</v>
      </c>
      <c r="S476" t="s">
        <v>36</v>
      </c>
      <c r="T476" s="7">
        <v>19</v>
      </c>
      <c r="U476" s="7">
        <v>39</v>
      </c>
      <c r="V476" s="7">
        <v>9</v>
      </c>
      <c r="W476" s="7">
        <v>28</v>
      </c>
      <c r="X476" s="7">
        <f t="shared" si="45"/>
        <v>95</v>
      </c>
      <c r="Y476" t="s">
        <v>36</v>
      </c>
      <c r="Z476">
        <v>13798.89644255</v>
      </c>
      <c r="AA476" t="s">
        <v>867</v>
      </c>
      <c r="AB476" t="e">
        <v>#N/A</v>
      </c>
      <c r="AF476">
        <v>78</v>
      </c>
      <c r="AG476" s="8">
        <v>290</v>
      </c>
      <c r="AH476">
        <v>0</v>
      </c>
      <c r="AI476">
        <v>23</v>
      </c>
      <c r="AJ476">
        <v>0</v>
      </c>
      <c r="AK476">
        <v>0</v>
      </c>
      <c r="AL476">
        <v>0</v>
      </c>
      <c r="AM476">
        <v>23</v>
      </c>
      <c r="AN476">
        <v>0</v>
      </c>
      <c r="AO476">
        <v>0</v>
      </c>
      <c r="AP476">
        <v>0</v>
      </c>
      <c r="AQ476">
        <v>9.7222222222222224E-2</v>
      </c>
      <c r="AR476">
        <v>0.2361111111111111</v>
      </c>
      <c r="AS476">
        <v>0.54166666666666663</v>
      </c>
      <c r="AT476">
        <v>0.125</v>
      </c>
      <c r="AU476">
        <v>25887.949998640001</v>
      </c>
      <c r="AV476" t="s">
        <v>489</v>
      </c>
      <c r="AW476" t="str">
        <f t="shared" si="46"/>
        <v>n/a</v>
      </c>
      <c r="AY476" t="e">
        <f t="shared" si="47"/>
        <v>#N/A</v>
      </c>
      <c r="AZ476" t="e">
        <v>#N/A</v>
      </c>
      <c r="BA476">
        <v>7</v>
      </c>
      <c r="BB476">
        <v>2018</v>
      </c>
      <c r="BC476">
        <v>9</v>
      </c>
      <c r="BD476">
        <v>2018</v>
      </c>
      <c r="BE476">
        <v>1</v>
      </c>
      <c r="BF476">
        <v>2018</v>
      </c>
    </row>
    <row r="477" spans="1:58" x14ac:dyDescent="0.2">
      <c r="A477" s="7">
        <v>15</v>
      </c>
      <c r="B477" s="7">
        <v>25</v>
      </c>
      <c r="C477" s="7">
        <v>9</v>
      </c>
      <c r="D477" s="7">
        <v>30</v>
      </c>
      <c r="E477" s="7">
        <f t="shared" si="42"/>
        <v>79</v>
      </c>
      <c r="F477" s="11" t="s">
        <v>36</v>
      </c>
      <c r="G477">
        <v>15</v>
      </c>
      <c r="H477">
        <v>25</v>
      </c>
      <c r="I477">
        <v>9</v>
      </c>
      <c r="J477">
        <v>30</v>
      </c>
      <c r="K477">
        <f t="shared" si="43"/>
        <v>79</v>
      </c>
      <c r="L477" t="s">
        <v>36</v>
      </c>
      <c r="M477">
        <v>9453.2492924500002</v>
      </c>
      <c r="N477" s="7">
        <v>15</v>
      </c>
      <c r="O477" s="7">
        <v>25</v>
      </c>
      <c r="P477" s="7">
        <v>9</v>
      </c>
      <c r="Q477" s="7">
        <v>30</v>
      </c>
      <c r="R477" s="7">
        <f t="shared" si="44"/>
        <v>79</v>
      </c>
      <c r="S477" t="s">
        <v>36</v>
      </c>
      <c r="T477" s="7">
        <v>18</v>
      </c>
      <c r="U477" s="7">
        <v>35</v>
      </c>
      <c r="V477" s="7">
        <v>9</v>
      </c>
      <c r="W477" s="7">
        <v>30</v>
      </c>
      <c r="X477" s="7">
        <f t="shared" si="45"/>
        <v>92</v>
      </c>
      <c r="Y477" t="s">
        <v>36</v>
      </c>
      <c r="Z477">
        <v>19334.15766678</v>
      </c>
      <c r="AA477" t="s">
        <v>868</v>
      </c>
      <c r="AB477" t="e">
        <v>#N/A</v>
      </c>
      <c r="AF477">
        <v>102</v>
      </c>
      <c r="AG477" s="8">
        <v>34</v>
      </c>
      <c r="AH477">
        <v>13</v>
      </c>
      <c r="AI477">
        <v>13</v>
      </c>
      <c r="AJ477">
        <v>0</v>
      </c>
      <c r="AK477">
        <v>0.38235294117647056</v>
      </c>
      <c r="AL477">
        <v>2.2294816068526147</v>
      </c>
      <c r="AM477">
        <v>0</v>
      </c>
      <c r="AN477">
        <v>0</v>
      </c>
      <c r="AO477">
        <v>0.16455696202531644</v>
      </c>
      <c r="AP477">
        <v>0.16455696202531644</v>
      </c>
      <c r="AQ477">
        <v>0.379746835443038</v>
      </c>
      <c r="AR477">
        <v>0.189873417721519</v>
      </c>
      <c r="AS477">
        <v>0.31645569620253167</v>
      </c>
      <c r="AT477">
        <v>0.11392405063291139</v>
      </c>
      <c r="AU477">
        <v>28787.40695923</v>
      </c>
      <c r="AV477" t="s">
        <v>489</v>
      </c>
      <c r="AW477" t="str">
        <f t="shared" si="46"/>
        <v>n/a</v>
      </c>
      <c r="AY477" t="e">
        <f t="shared" si="47"/>
        <v>#N/A</v>
      </c>
      <c r="AZ477" t="e">
        <v>#N/A</v>
      </c>
      <c r="BA477">
        <v>6</v>
      </c>
      <c r="BB477">
        <v>2018</v>
      </c>
      <c r="BC477">
        <v>9</v>
      </c>
      <c r="BD477">
        <v>2018</v>
      </c>
      <c r="BE477">
        <v>9</v>
      </c>
      <c r="BF477">
        <v>2018</v>
      </c>
    </row>
    <row r="478" spans="1:58" x14ac:dyDescent="0.2">
      <c r="A478" s="7">
        <v>9</v>
      </c>
      <c r="B478" s="7">
        <v>14</v>
      </c>
      <c r="C478" s="7">
        <v>5</v>
      </c>
      <c r="D478" s="7">
        <v>6</v>
      </c>
      <c r="E478" s="7">
        <f t="shared" si="42"/>
        <v>34</v>
      </c>
      <c r="F478" s="11" t="s">
        <v>42</v>
      </c>
      <c r="G478">
        <v>9</v>
      </c>
      <c r="H478">
        <v>14</v>
      </c>
      <c r="I478">
        <v>5</v>
      </c>
      <c r="J478">
        <v>6</v>
      </c>
      <c r="K478">
        <f t="shared" si="43"/>
        <v>34</v>
      </c>
      <c r="L478" t="s">
        <v>42</v>
      </c>
      <c r="M478">
        <v>26386.500012659999</v>
      </c>
      <c r="N478" s="7">
        <v>9</v>
      </c>
      <c r="O478" s="7">
        <v>14</v>
      </c>
      <c r="P478" s="7">
        <v>5</v>
      </c>
      <c r="Q478" s="7">
        <v>6</v>
      </c>
      <c r="R478" s="7">
        <f t="shared" si="44"/>
        <v>34</v>
      </c>
      <c r="S478" t="s">
        <v>42</v>
      </c>
      <c r="T478" s="7">
        <v>20</v>
      </c>
      <c r="U478" s="7">
        <v>35</v>
      </c>
      <c r="V478" s="7">
        <v>9</v>
      </c>
      <c r="W478" s="7">
        <v>25</v>
      </c>
      <c r="X478" s="7">
        <f t="shared" si="45"/>
        <v>89</v>
      </c>
      <c r="Y478" t="s">
        <v>36</v>
      </c>
      <c r="Z478">
        <v>68518.877145099992</v>
      </c>
      <c r="AA478" t="s">
        <v>869</v>
      </c>
      <c r="AB478">
        <v>29</v>
      </c>
      <c r="AC478">
        <v>0</v>
      </c>
      <c r="AD478" t="s">
        <v>265</v>
      </c>
      <c r="AE478" t="s">
        <v>75</v>
      </c>
      <c r="AF478">
        <v>223</v>
      </c>
      <c r="AG478" s="8">
        <v>403</v>
      </c>
      <c r="AH478">
        <v>55</v>
      </c>
      <c r="AI478">
        <v>55</v>
      </c>
      <c r="AJ478">
        <v>0</v>
      </c>
      <c r="AK478">
        <v>0.13647642679900746</v>
      </c>
      <c r="AL478">
        <v>2.7397451476269481</v>
      </c>
      <c r="AM478">
        <v>0</v>
      </c>
      <c r="AN478">
        <v>0</v>
      </c>
      <c r="AO478">
        <v>1.6176470588235294</v>
      </c>
      <c r="AP478">
        <v>1.6176470588235294</v>
      </c>
      <c r="AQ478">
        <v>0.17647058823529413</v>
      </c>
      <c r="AR478">
        <v>0.26470588235294118</v>
      </c>
      <c r="AS478">
        <v>0.41176470588235292</v>
      </c>
      <c r="AT478">
        <v>0.14705882352941177</v>
      </c>
      <c r="AU478">
        <v>94905.377157759998</v>
      </c>
      <c r="AV478">
        <v>12</v>
      </c>
      <c r="AW478">
        <f t="shared" si="46"/>
        <v>1</v>
      </c>
      <c r="AX478">
        <v>0</v>
      </c>
      <c r="AY478">
        <f t="shared" si="47"/>
        <v>0</v>
      </c>
      <c r="AZ478">
        <v>0</v>
      </c>
      <c r="BA478">
        <v>3</v>
      </c>
      <c r="BB478">
        <v>2018</v>
      </c>
      <c r="BC478">
        <v>10</v>
      </c>
      <c r="BD478">
        <v>2018</v>
      </c>
      <c r="BE478">
        <v>10</v>
      </c>
      <c r="BF478">
        <v>2018</v>
      </c>
    </row>
    <row r="479" spans="1:58" x14ac:dyDescent="0.2">
      <c r="A479" s="7">
        <v>13</v>
      </c>
      <c r="B479" s="7">
        <v>10</v>
      </c>
      <c r="C479" s="7">
        <v>2</v>
      </c>
      <c r="D479" s="7">
        <v>0</v>
      </c>
      <c r="E479" s="7">
        <f t="shared" si="42"/>
        <v>25</v>
      </c>
      <c r="F479" s="11" t="s">
        <v>36</v>
      </c>
      <c r="G479">
        <v>13</v>
      </c>
      <c r="H479">
        <v>10</v>
      </c>
      <c r="I479">
        <v>3</v>
      </c>
      <c r="J479">
        <v>4</v>
      </c>
      <c r="K479">
        <f t="shared" si="43"/>
        <v>30</v>
      </c>
      <c r="L479" t="s">
        <v>36</v>
      </c>
      <c r="M479">
        <v>12083.11424295</v>
      </c>
      <c r="N479" s="7">
        <v>13</v>
      </c>
      <c r="O479" s="7">
        <v>10</v>
      </c>
      <c r="P479" s="7">
        <v>3</v>
      </c>
      <c r="Q479" s="7">
        <v>4</v>
      </c>
      <c r="R479" s="7">
        <f t="shared" si="44"/>
        <v>30</v>
      </c>
      <c r="S479" t="s">
        <v>36</v>
      </c>
      <c r="T479" s="7">
        <v>20</v>
      </c>
      <c r="U479" s="7">
        <v>35</v>
      </c>
      <c r="V479" s="7">
        <v>9</v>
      </c>
      <c r="W479" s="7">
        <v>7</v>
      </c>
      <c r="X479" s="7">
        <f t="shared" si="45"/>
        <v>71</v>
      </c>
      <c r="Y479" t="s">
        <v>39</v>
      </c>
      <c r="Z479">
        <v>70077.962742200005</v>
      </c>
      <c r="AA479" t="s">
        <v>870</v>
      </c>
      <c r="AB479">
        <v>52</v>
      </c>
      <c r="AC479">
        <v>0</v>
      </c>
      <c r="AD479" t="s">
        <v>119</v>
      </c>
      <c r="AE479" t="s">
        <v>41</v>
      </c>
      <c r="AF479">
        <v>13</v>
      </c>
      <c r="AG479" s="8">
        <v>154</v>
      </c>
      <c r="AH479">
        <v>41</v>
      </c>
      <c r="AI479">
        <v>46</v>
      </c>
      <c r="AJ479">
        <v>5</v>
      </c>
      <c r="AK479">
        <v>0.26623376623376621</v>
      </c>
      <c r="AL479">
        <v>3.3038741525040591</v>
      </c>
      <c r="AM479">
        <v>0</v>
      </c>
      <c r="AN479">
        <v>0</v>
      </c>
      <c r="AO479">
        <v>1.3666666666666667</v>
      </c>
      <c r="AP479">
        <v>1.64</v>
      </c>
      <c r="AQ479">
        <v>0</v>
      </c>
      <c r="AR479">
        <v>0.52</v>
      </c>
      <c r="AS479">
        <v>0.4</v>
      </c>
      <c r="AT479">
        <v>0.08</v>
      </c>
      <c r="AU479">
        <v>82161.076985150008</v>
      </c>
      <c r="AV479">
        <v>8</v>
      </c>
      <c r="AW479">
        <f t="shared" si="46"/>
        <v>0</v>
      </c>
      <c r="AX479">
        <v>0</v>
      </c>
      <c r="AY479">
        <f t="shared" si="47"/>
        <v>0</v>
      </c>
      <c r="AZ479">
        <v>0</v>
      </c>
      <c r="BA479">
        <v>9</v>
      </c>
      <c r="BB479">
        <v>2018</v>
      </c>
      <c r="BC479">
        <v>10</v>
      </c>
      <c r="BD479">
        <v>2018</v>
      </c>
      <c r="BE479">
        <v>10</v>
      </c>
      <c r="BF479">
        <v>2018</v>
      </c>
    </row>
    <row r="480" spans="1:58" x14ac:dyDescent="0.2">
      <c r="A480" s="7">
        <v>9</v>
      </c>
      <c r="B480" s="7">
        <v>18</v>
      </c>
      <c r="C480" s="7">
        <v>0</v>
      </c>
      <c r="D480" s="7">
        <v>5</v>
      </c>
      <c r="E480" s="7">
        <f t="shared" si="42"/>
        <v>32</v>
      </c>
      <c r="F480" s="11" t="s">
        <v>36</v>
      </c>
      <c r="G480">
        <v>9</v>
      </c>
      <c r="H480">
        <v>18</v>
      </c>
      <c r="I480">
        <v>0</v>
      </c>
      <c r="J480">
        <v>5</v>
      </c>
      <c r="K480">
        <f t="shared" si="43"/>
        <v>32</v>
      </c>
      <c r="L480" t="s">
        <v>36</v>
      </c>
      <c r="M480">
        <v>32527.815120710002</v>
      </c>
      <c r="N480" s="7">
        <v>9</v>
      </c>
      <c r="O480" s="7">
        <v>18</v>
      </c>
      <c r="P480" s="7">
        <v>0</v>
      </c>
      <c r="Q480" s="7">
        <v>5</v>
      </c>
      <c r="R480" s="7">
        <f t="shared" si="44"/>
        <v>32</v>
      </c>
      <c r="S480" t="s">
        <v>36</v>
      </c>
      <c r="T480" s="7">
        <v>16</v>
      </c>
      <c r="U480" s="7">
        <v>33</v>
      </c>
      <c r="V480" s="7">
        <v>6</v>
      </c>
      <c r="W480" s="7">
        <v>7</v>
      </c>
      <c r="X480" s="7">
        <f t="shared" si="45"/>
        <v>62</v>
      </c>
      <c r="Y480" t="s">
        <v>36</v>
      </c>
      <c r="Z480">
        <v>131257.56354721001</v>
      </c>
      <c r="AA480" t="s">
        <v>871</v>
      </c>
      <c r="AB480">
        <v>41</v>
      </c>
      <c r="AC480">
        <v>0</v>
      </c>
      <c r="AD480" t="s">
        <v>119</v>
      </c>
      <c r="AE480" t="s">
        <v>75</v>
      </c>
      <c r="AF480">
        <v>258</v>
      </c>
      <c r="AG480" s="8">
        <v>156</v>
      </c>
      <c r="AH480">
        <v>30</v>
      </c>
      <c r="AI480">
        <v>30</v>
      </c>
      <c r="AJ480">
        <v>0</v>
      </c>
      <c r="AK480">
        <v>0.19230769230769232</v>
      </c>
      <c r="AL480">
        <v>2.4019223070763069</v>
      </c>
      <c r="AM480">
        <v>0</v>
      </c>
      <c r="AN480">
        <v>0</v>
      </c>
      <c r="AO480">
        <v>0.9375</v>
      </c>
      <c r="AP480">
        <v>0.9375</v>
      </c>
      <c r="AQ480">
        <v>0.15625</v>
      </c>
      <c r="AR480">
        <v>0.28125</v>
      </c>
      <c r="AS480">
        <v>0.5625</v>
      </c>
      <c r="AT480">
        <v>0</v>
      </c>
      <c r="AU480">
        <v>163785.37866792001</v>
      </c>
      <c r="AV480">
        <v>7</v>
      </c>
      <c r="AW480">
        <f t="shared" si="46"/>
        <v>0</v>
      </c>
      <c r="AX480">
        <v>0</v>
      </c>
      <c r="AY480">
        <f t="shared" si="47"/>
        <v>0</v>
      </c>
      <c r="AZ480">
        <v>0</v>
      </c>
      <c r="BA480">
        <v>1</v>
      </c>
      <c r="BB480">
        <v>2018</v>
      </c>
      <c r="BC480">
        <v>9</v>
      </c>
      <c r="BD480">
        <v>2018</v>
      </c>
      <c r="BE480">
        <v>11</v>
      </c>
      <c r="BF480">
        <v>2018</v>
      </c>
    </row>
    <row r="481" spans="1:58" x14ac:dyDescent="0.2">
      <c r="A481" s="7">
        <v>3</v>
      </c>
      <c r="B481" s="7">
        <v>26</v>
      </c>
      <c r="C481" s="7">
        <v>6</v>
      </c>
      <c r="D481" s="7">
        <v>3</v>
      </c>
      <c r="E481" s="7">
        <f t="shared" si="42"/>
        <v>38</v>
      </c>
      <c r="F481" s="11" t="s">
        <v>36</v>
      </c>
      <c r="G481">
        <v>3</v>
      </c>
      <c r="H481">
        <v>26</v>
      </c>
      <c r="I481">
        <v>6</v>
      </c>
      <c r="J481">
        <v>3</v>
      </c>
      <c r="K481">
        <f t="shared" si="43"/>
        <v>38</v>
      </c>
      <c r="L481" t="s">
        <v>36</v>
      </c>
      <c r="M481">
        <v>38243.311619380009</v>
      </c>
      <c r="N481" s="7">
        <v>3</v>
      </c>
      <c r="O481" s="7">
        <v>26</v>
      </c>
      <c r="P481" s="7">
        <v>6</v>
      </c>
      <c r="Q481" s="7">
        <v>3</v>
      </c>
      <c r="R481" s="7">
        <f t="shared" si="44"/>
        <v>38</v>
      </c>
      <c r="S481" t="s">
        <v>36</v>
      </c>
      <c r="T481" s="7">
        <v>20</v>
      </c>
      <c r="U481" s="7">
        <v>40</v>
      </c>
      <c r="V481" s="7">
        <v>9</v>
      </c>
      <c r="W481" s="7">
        <v>17</v>
      </c>
      <c r="X481" s="7">
        <f t="shared" si="45"/>
        <v>86</v>
      </c>
      <c r="Y481" t="s">
        <v>36</v>
      </c>
      <c r="Z481">
        <v>101504.7895178</v>
      </c>
      <c r="AA481" t="s">
        <v>872</v>
      </c>
      <c r="AB481">
        <v>69</v>
      </c>
      <c r="AC481">
        <v>0</v>
      </c>
      <c r="AD481" t="s">
        <v>244</v>
      </c>
      <c r="AE481" t="s">
        <v>41</v>
      </c>
      <c r="AF481" t="e">
        <v>#N/A</v>
      </c>
      <c r="AG481" s="8">
        <v>124</v>
      </c>
      <c r="AH481">
        <v>48</v>
      </c>
      <c r="AI481">
        <v>48</v>
      </c>
      <c r="AJ481">
        <v>0</v>
      </c>
      <c r="AK481">
        <v>0.38709677419354838</v>
      </c>
      <c r="AL481">
        <v>4.3105272486425976</v>
      </c>
      <c r="AM481">
        <v>0</v>
      </c>
      <c r="AN481">
        <v>0</v>
      </c>
      <c r="AO481">
        <v>1.263157894736842</v>
      </c>
      <c r="AP481">
        <v>1.263157894736842</v>
      </c>
      <c r="AQ481">
        <v>7.8947368421052627E-2</v>
      </c>
      <c r="AR481">
        <v>7.8947368421052627E-2</v>
      </c>
      <c r="AS481">
        <v>0.68421052631578949</v>
      </c>
      <c r="AT481">
        <v>0.15789473684210525</v>
      </c>
      <c r="AU481">
        <v>139748.10113718</v>
      </c>
      <c r="AV481">
        <v>10</v>
      </c>
      <c r="AW481">
        <f t="shared" si="46"/>
        <v>1</v>
      </c>
      <c r="AX481">
        <v>0</v>
      </c>
      <c r="AY481">
        <f t="shared" si="47"/>
        <v>0</v>
      </c>
      <c r="AZ481" t="e">
        <v>#N/A</v>
      </c>
      <c r="BA481">
        <v>11</v>
      </c>
      <c r="BB481">
        <v>2018</v>
      </c>
      <c r="BC481">
        <v>11</v>
      </c>
      <c r="BD481">
        <v>2018</v>
      </c>
      <c r="BE481">
        <v>10</v>
      </c>
      <c r="BF481">
        <v>2018</v>
      </c>
    </row>
    <row r="482" spans="1:58" x14ac:dyDescent="0.2">
      <c r="A482" s="7">
        <v>8</v>
      </c>
      <c r="B482" s="7">
        <v>35</v>
      </c>
      <c r="C482" s="7">
        <v>7</v>
      </c>
      <c r="D482" s="7">
        <v>2</v>
      </c>
      <c r="E482" s="7">
        <f t="shared" si="42"/>
        <v>52</v>
      </c>
      <c r="F482" s="11" t="s">
        <v>39</v>
      </c>
      <c r="G482">
        <v>8</v>
      </c>
      <c r="H482">
        <v>35</v>
      </c>
      <c r="I482">
        <v>7</v>
      </c>
      <c r="J482">
        <v>2</v>
      </c>
      <c r="K482">
        <f t="shared" si="43"/>
        <v>52</v>
      </c>
      <c r="L482" t="s">
        <v>39</v>
      </c>
      <c r="M482">
        <v>13205.65860248</v>
      </c>
      <c r="N482" s="7">
        <v>2</v>
      </c>
      <c r="O482" s="7">
        <v>21</v>
      </c>
      <c r="P482" s="7">
        <v>4</v>
      </c>
      <c r="Q482" s="7">
        <v>0</v>
      </c>
      <c r="R482" s="7">
        <f t="shared" si="44"/>
        <v>27</v>
      </c>
      <c r="S482" t="s">
        <v>39</v>
      </c>
      <c r="T482" s="7">
        <v>1</v>
      </c>
      <c r="U482" s="7">
        <v>10</v>
      </c>
      <c r="V482" s="7">
        <v>0</v>
      </c>
      <c r="W482" s="7">
        <v>3</v>
      </c>
      <c r="X482" s="7">
        <f t="shared" si="45"/>
        <v>14</v>
      </c>
      <c r="Y482" t="s">
        <v>36</v>
      </c>
      <c r="Z482">
        <v>163768.87475143</v>
      </c>
      <c r="AA482" t="s">
        <v>873</v>
      </c>
      <c r="AB482">
        <v>63</v>
      </c>
      <c r="AC482">
        <v>22</v>
      </c>
      <c r="AD482" t="s">
        <v>64</v>
      </c>
      <c r="AE482" t="s">
        <v>75</v>
      </c>
      <c r="AF482" t="e">
        <v>#N/A</v>
      </c>
      <c r="AG482" s="8">
        <v>268</v>
      </c>
      <c r="AH482">
        <v>-13</v>
      </c>
      <c r="AI482">
        <v>-38</v>
      </c>
      <c r="AJ482">
        <v>0</v>
      </c>
      <c r="AK482">
        <v>-4.8507462686567165E-2</v>
      </c>
      <c r="AL482">
        <v>-0.79410138831598387</v>
      </c>
      <c r="AM482">
        <v>-25</v>
      </c>
      <c r="AN482">
        <v>1</v>
      </c>
      <c r="AO482">
        <v>-0.48148148148148145</v>
      </c>
      <c r="AP482">
        <v>-0.25</v>
      </c>
      <c r="AQ482">
        <v>3.8461538461538464E-2</v>
      </c>
      <c r="AR482">
        <v>0.15384615384615385</v>
      </c>
      <c r="AS482">
        <v>0.67307692307692313</v>
      </c>
      <c r="AT482">
        <v>0.13461538461538461</v>
      </c>
      <c r="AU482">
        <v>176974.53335391</v>
      </c>
      <c r="AV482">
        <v>6</v>
      </c>
      <c r="AW482">
        <f t="shared" si="46"/>
        <v>0</v>
      </c>
      <c r="AX482">
        <v>22</v>
      </c>
      <c r="AY482">
        <f t="shared" si="47"/>
        <v>1</v>
      </c>
      <c r="AZ482" t="e">
        <v>#N/A</v>
      </c>
      <c r="BA482">
        <v>9</v>
      </c>
      <c r="BB482">
        <v>2019</v>
      </c>
      <c r="BC482">
        <v>9</v>
      </c>
      <c r="BD482">
        <v>2019</v>
      </c>
      <c r="BE482">
        <v>1</v>
      </c>
      <c r="BF482">
        <v>2019</v>
      </c>
    </row>
    <row r="483" spans="1:58" x14ac:dyDescent="0.2">
      <c r="A483" s="7">
        <v>0</v>
      </c>
      <c r="B483" s="7">
        <v>18</v>
      </c>
      <c r="C483" s="7">
        <v>0</v>
      </c>
      <c r="D483" s="7">
        <v>0</v>
      </c>
      <c r="E483" s="7">
        <f t="shared" si="42"/>
        <v>18</v>
      </c>
      <c r="F483" s="11" t="e">
        <v>#N/A</v>
      </c>
      <c r="G483">
        <v>0</v>
      </c>
      <c r="H483">
        <v>18</v>
      </c>
      <c r="I483">
        <v>0</v>
      </c>
      <c r="J483">
        <v>0</v>
      </c>
      <c r="K483">
        <f t="shared" si="43"/>
        <v>18</v>
      </c>
      <c r="L483" t="e">
        <v>#N/A</v>
      </c>
      <c r="M483">
        <v>22753.709281330001</v>
      </c>
      <c r="N483" s="7">
        <v>0</v>
      </c>
      <c r="O483" s="7">
        <v>18</v>
      </c>
      <c r="P483" s="7">
        <v>0</v>
      </c>
      <c r="Q483" s="7">
        <v>0</v>
      </c>
      <c r="R483" s="7">
        <f t="shared" si="44"/>
        <v>18</v>
      </c>
      <c r="S483" t="e">
        <v>#N/A</v>
      </c>
      <c r="T483" s="7">
        <v>0</v>
      </c>
      <c r="U483" s="7">
        <v>30</v>
      </c>
      <c r="V483" s="7">
        <v>0</v>
      </c>
      <c r="W483" s="7">
        <v>0</v>
      </c>
      <c r="X483" s="7">
        <f t="shared" si="45"/>
        <v>30</v>
      </c>
      <c r="Y483" t="s">
        <v>68</v>
      </c>
      <c r="Z483">
        <v>124972.82836357001</v>
      </c>
      <c r="AA483" t="s">
        <v>874</v>
      </c>
      <c r="AB483">
        <v>73</v>
      </c>
      <c r="AC483">
        <v>0</v>
      </c>
      <c r="AD483" t="s">
        <v>254</v>
      </c>
      <c r="AE483" t="s">
        <v>41</v>
      </c>
      <c r="AF483">
        <v>131</v>
      </c>
      <c r="AG483" s="8">
        <v>70</v>
      </c>
      <c r="AH483">
        <v>12</v>
      </c>
      <c r="AI483">
        <v>12</v>
      </c>
      <c r="AJ483">
        <v>0</v>
      </c>
      <c r="AK483">
        <v>0.17142857142857143</v>
      </c>
      <c r="AL483">
        <v>1.4342743312012722</v>
      </c>
      <c r="AM483">
        <v>0</v>
      </c>
      <c r="AN483">
        <v>0</v>
      </c>
      <c r="AO483">
        <v>0.66666666666666663</v>
      </c>
      <c r="AP483">
        <v>0.66666666666666663</v>
      </c>
      <c r="AQ483">
        <v>0</v>
      </c>
      <c r="AR483">
        <v>0</v>
      </c>
      <c r="AS483">
        <v>1</v>
      </c>
      <c r="AT483">
        <v>0</v>
      </c>
      <c r="AU483">
        <v>147726.5376449</v>
      </c>
      <c r="AV483">
        <v>11</v>
      </c>
      <c r="AW483">
        <f t="shared" si="46"/>
        <v>1</v>
      </c>
      <c r="AX483">
        <v>0</v>
      </c>
      <c r="AY483">
        <f t="shared" si="47"/>
        <v>0</v>
      </c>
      <c r="AZ483">
        <v>0</v>
      </c>
      <c r="BA483">
        <v>6</v>
      </c>
      <c r="BB483">
        <v>2018</v>
      </c>
      <c r="BC483">
        <v>10</v>
      </c>
      <c r="BD483">
        <v>2018</v>
      </c>
      <c r="BE483">
        <v>10</v>
      </c>
      <c r="BF483">
        <v>2018</v>
      </c>
    </row>
    <row r="484" spans="1:58" x14ac:dyDescent="0.2">
      <c r="A484" s="7">
        <v>12</v>
      </c>
      <c r="B484" s="7">
        <v>17</v>
      </c>
      <c r="C484" s="7">
        <v>1</v>
      </c>
      <c r="D484" s="7">
        <v>0</v>
      </c>
      <c r="E484" s="7">
        <f t="shared" si="42"/>
        <v>30</v>
      </c>
      <c r="F484" s="11" t="s">
        <v>80</v>
      </c>
      <c r="G484">
        <v>12</v>
      </c>
      <c r="H484">
        <v>17</v>
      </c>
      <c r="I484">
        <v>1</v>
      </c>
      <c r="J484">
        <v>0</v>
      </c>
      <c r="K484">
        <f t="shared" si="43"/>
        <v>30</v>
      </c>
      <c r="L484" t="s">
        <v>80</v>
      </c>
      <c r="M484">
        <v>23059.83671937</v>
      </c>
      <c r="N484" s="7">
        <v>12</v>
      </c>
      <c r="O484" s="7">
        <v>17</v>
      </c>
      <c r="P484" s="7">
        <v>1</v>
      </c>
      <c r="Q484" s="7">
        <v>0</v>
      </c>
      <c r="R484" s="7">
        <f t="shared" si="44"/>
        <v>30</v>
      </c>
      <c r="S484" t="s">
        <v>80</v>
      </c>
      <c r="T484" s="7">
        <v>14</v>
      </c>
      <c r="U484" s="7">
        <v>15</v>
      </c>
      <c r="V484" s="7">
        <v>7</v>
      </c>
      <c r="W484" s="7">
        <v>6</v>
      </c>
      <c r="X484" s="7">
        <f t="shared" si="45"/>
        <v>42</v>
      </c>
      <c r="Y484" t="s">
        <v>35</v>
      </c>
      <c r="Z484">
        <v>106415.91436323999</v>
      </c>
      <c r="AA484" t="s">
        <v>875</v>
      </c>
      <c r="AB484">
        <v>18</v>
      </c>
      <c r="AC484">
        <v>0</v>
      </c>
      <c r="AD484" t="s">
        <v>258</v>
      </c>
      <c r="AE484" t="s">
        <v>41</v>
      </c>
      <c r="AF484" t="e">
        <v>#N/A</v>
      </c>
      <c r="AG484" s="8">
        <v>74</v>
      </c>
      <c r="AH484">
        <v>12</v>
      </c>
      <c r="AI484">
        <v>12</v>
      </c>
      <c r="AJ484">
        <v>0</v>
      </c>
      <c r="AK484">
        <v>0.16216216216216217</v>
      </c>
      <c r="AL484">
        <v>1.3949716649258315</v>
      </c>
      <c r="AM484">
        <v>0</v>
      </c>
      <c r="AN484">
        <v>0</v>
      </c>
      <c r="AO484">
        <v>0.4</v>
      </c>
      <c r="AP484">
        <v>0.4</v>
      </c>
      <c r="AQ484">
        <v>0</v>
      </c>
      <c r="AR484">
        <v>0.4</v>
      </c>
      <c r="AS484">
        <v>0.56666666666666665</v>
      </c>
      <c r="AT484">
        <v>3.3333333333333333E-2</v>
      </c>
      <c r="AU484">
        <v>129475.75108260999</v>
      </c>
      <c r="AV484">
        <v>9</v>
      </c>
      <c r="AW484">
        <f t="shared" si="46"/>
        <v>0</v>
      </c>
      <c r="AX484">
        <v>0</v>
      </c>
      <c r="AY484">
        <f t="shared" si="47"/>
        <v>0</v>
      </c>
      <c r="AZ484" t="e">
        <v>#N/A</v>
      </c>
      <c r="BA484">
        <v>1</v>
      </c>
      <c r="BB484">
        <v>2018</v>
      </c>
      <c r="BC484">
        <v>1</v>
      </c>
      <c r="BD484">
        <v>2018</v>
      </c>
      <c r="BE484">
        <v>11</v>
      </c>
      <c r="BF484">
        <v>2018</v>
      </c>
    </row>
    <row r="485" spans="1:58" x14ac:dyDescent="0.2">
      <c r="A485" s="7">
        <v>0</v>
      </c>
      <c r="B485" s="7">
        <v>10</v>
      </c>
      <c r="C485" s="7">
        <v>0</v>
      </c>
      <c r="D485" s="7">
        <v>0</v>
      </c>
      <c r="E485" s="7">
        <f t="shared" si="42"/>
        <v>10</v>
      </c>
      <c r="F485" s="11" t="s">
        <v>65</v>
      </c>
      <c r="G485">
        <v>0</v>
      </c>
      <c r="H485">
        <v>10</v>
      </c>
      <c r="I485">
        <v>0</v>
      </c>
      <c r="J485">
        <v>0</v>
      </c>
      <c r="K485">
        <f t="shared" si="43"/>
        <v>10</v>
      </c>
      <c r="L485" t="s">
        <v>65</v>
      </c>
      <c r="M485">
        <v>23853.429638509999</v>
      </c>
      <c r="N485" s="7">
        <v>0</v>
      </c>
      <c r="O485" s="7">
        <v>15</v>
      </c>
      <c r="P485" s="7">
        <v>0</v>
      </c>
      <c r="Q485" s="7">
        <v>0</v>
      </c>
      <c r="R485" s="7">
        <f t="shared" si="44"/>
        <v>15</v>
      </c>
      <c r="S485" t="s">
        <v>65</v>
      </c>
      <c r="T485" s="7">
        <v>3</v>
      </c>
      <c r="U485" s="7">
        <v>28</v>
      </c>
      <c r="V485" s="7">
        <v>2</v>
      </c>
      <c r="W485" s="7">
        <v>1</v>
      </c>
      <c r="X485" s="7">
        <f t="shared" si="45"/>
        <v>34</v>
      </c>
      <c r="Y485" t="s">
        <v>35</v>
      </c>
      <c r="Z485">
        <v>152331.63136447</v>
      </c>
      <c r="AA485" t="s">
        <v>876</v>
      </c>
      <c r="AB485">
        <v>74</v>
      </c>
      <c r="AC485">
        <v>0</v>
      </c>
      <c r="AD485" t="s">
        <v>254</v>
      </c>
      <c r="AE485" t="s">
        <v>75</v>
      </c>
      <c r="AF485" t="e">
        <v>#N/A</v>
      </c>
      <c r="AG485" s="8">
        <v>570</v>
      </c>
      <c r="AH485">
        <v>19</v>
      </c>
      <c r="AI485">
        <v>24</v>
      </c>
      <c r="AJ485">
        <v>0</v>
      </c>
      <c r="AK485">
        <v>3.3333333333333333E-2</v>
      </c>
      <c r="AL485">
        <v>0.79582242575422135</v>
      </c>
      <c r="AM485">
        <v>5</v>
      </c>
      <c r="AN485">
        <v>0</v>
      </c>
      <c r="AO485">
        <v>1.2666666666666666</v>
      </c>
      <c r="AP485">
        <v>1.9</v>
      </c>
      <c r="AQ485">
        <v>0</v>
      </c>
      <c r="AR485">
        <v>0</v>
      </c>
      <c r="AS485">
        <v>1</v>
      </c>
      <c r="AT485">
        <v>0</v>
      </c>
      <c r="AU485">
        <v>176185.06100297999</v>
      </c>
      <c r="AV485">
        <v>15</v>
      </c>
      <c r="AW485">
        <f t="shared" si="46"/>
        <v>1</v>
      </c>
      <c r="AX485">
        <v>0</v>
      </c>
      <c r="AY485">
        <f t="shared" si="47"/>
        <v>0</v>
      </c>
      <c r="AZ485" t="e">
        <v>#N/A</v>
      </c>
      <c r="BA485">
        <v>3</v>
      </c>
      <c r="BB485">
        <v>2018</v>
      </c>
      <c r="BC485">
        <v>3</v>
      </c>
      <c r="BD485">
        <v>2018</v>
      </c>
      <c r="BE485">
        <v>1</v>
      </c>
      <c r="BF485">
        <v>2018</v>
      </c>
    </row>
    <row r="486" spans="1:58" x14ac:dyDescent="0.2">
      <c r="A486" s="7">
        <v>19</v>
      </c>
      <c r="B486" s="7">
        <v>40</v>
      </c>
      <c r="C486" s="7">
        <v>8</v>
      </c>
      <c r="D486" s="7">
        <v>6</v>
      </c>
      <c r="E486" s="7">
        <f t="shared" si="42"/>
        <v>73</v>
      </c>
      <c r="F486" s="11" t="s">
        <v>36</v>
      </c>
      <c r="G486">
        <v>17</v>
      </c>
      <c r="H486">
        <v>33</v>
      </c>
      <c r="I486">
        <v>8</v>
      </c>
      <c r="J486">
        <v>6</v>
      </c>
      <c r="K486">
        <f t="shared" si="43"/>
        <v>64</v>
      </c>
      <c r="L486" t="s">
        <v>36</v>
      </c>
      <c r="M486">
        <v>13192.429461420001</v>
      </c>
      <c r="N486" s="7">
        <v>19</v>
      </c>
      <c r="O486" s="7">
        <v>40</v>
      </c>
      <c r="P486" s="7">
        <v>8</v>
      </c>
      <c r="Q486" s="7">
        <v>6</v>
      </c>
      <c r="R486" s="7">
        <f t="shared" si="44"/>
        <v>73</v>
      </c>
      <c r="S486" t="s">
        <v>36</v>
      </c>
      <c r="T486" s="7">
        <v>20</v>
      </c>
      <c r="U486" s="7">
        <v>40</v>
      </c>
      <c r="V486" s="7">
        <v>9</v>
      </c>
      <c r="W486" s="7">
        <v>10</v>
      </c>
      <c r="X486" s="7">
        <f t="shared" si="45"/>
        <v>79</v>
      </c>
      <c r="Y486" t="s">
        <v>36</v>
      </c>
      <c r="Z486">
        <v>63402.827266510008</v>
      </c>
      <c r="AA486" t="s">
        <v>877</v>
      </c>
      <c r="AB486">
        <v>48</v>
      </c>
      <c r="AC486">
        <v>0</v>
      </c>
      <c r="AD486" t="s">
        <v>174</v>
      </c>
      <c r="AE486" t="s">
        <v>75</v>
      </c>
      <c r="AF486">
        <v>106</v>
      </c>
      <c r="AG486" s="8">
        <v>51</v>
      </c>
      <c r="AH486">
        <v>6</v>
      </c>
      <c r="AI486">
        <v>6</v>
      </c>
      <c r="AJ486">
        <v>-9</v>
      </c>
      <c r="AK486">
        <v>0.11764705882352941</v>
      </c>
      <c r="AL486">
        <v>0.84016805041680587</v>
      </c>
      <c r="AM486">
        <v>9</v>
      </c>
      <c r="AN486">
        <v>0</v>
      </c>
      <c r="AO486">
        <v>8.2191780821917804E-2</v>
      </c>
      <c r="AP486">
        <v>8.2191780821917804E-2</v>
      </c>
      <c r="AQ486">
        <v>8.2191780821917804E-2</v>
      </c>
      <c r="AR486">
        <v>0.26027397260273971</v>
      </c>
      <c r="AS486">
        <v>0.54794520547945202</v>
      </c>
      <c r="AT486">
        <v>0.1095890410958904</v>
      </c>
      <c r="AU486">
        <v>76595.256727930013</v>
      </c>
      <c r="AV486">
        <v>3</v>
      </c>
      <c r="AW486">
        <f t="shared" si="46"/>
        <v>0</v>
      </c>
      <c r="AX486">
        <v>0</v>
      </c>
      <c r="AY486">
        <f t="shared" si="47"/>
        <v>0</v>
      </c>
      <c r="AZ486">
        <v>0</v>
      </c>
      <c r="BA486">
        <v>7</v>
      </c>
      <c r="BB486">
        <v>2018</v>
      </c>
      <c r="BC486">
        <v>10</v>
      </c>
      <c r="BD486">
        <v>2018</v>
      </c>
      <c r="BE486">
        <v>11</v>
      </c>
      <c r="BF486">
        <v>2018</v>
      </c>
    </row>
    <row r="487" spans="1:58" x14ac:dyDescent="0.2">
      <c r="A487" s="7">
        <v>6</v>
      </c>
      <c r="B487" s="7">
        <v>10</v>
      </c>
      <c r="C487" s="7">
        <v>0</v>
      </c>
      <c r="D487" s="7">
        <v>0</v>
      </c>
      <c r="E487" s="7">
        <f t="shared" si="42"/>
        <v>16</v>
      </c>
      <c r="F487" s="11" t="s">
        <v>36</v>
      </c>
      <c r="G487">
        <v>6</v>
      </c>
      <c r="H487">
        <v>10</v>
      </c>
      <c r="I487">
        <v>0</v>
      </c>
      <c r="J487">
        <v>0</v>
      </c>
      <c r="K487">
        <f t="shared" si="43"/>
        <v>16</v>
      </c>
      <c r="L487" t="s">
        <v>36</v>
      </c>
      <c r="M487">
        <v>21468.158911210001</v>
      </c>
      <c r="N487" s="7">
        <v>6</v>
      </c>
      <c r="O487" s="7">
        <v>10</v>
      </c>
      <c r="P487" s="7">
        <v>0</v>
      </c>
      <c r="Q487" s="7">
        <v>0</v>
      </c>
      <c r="R487" s="7">
        <f t="shared" si="44"/>
        <v>16</v>
      </c>
      <c r="S487" t="s">
        <v>36</v>
      </c>
      <c r="T487" s="7">
        <v>18</v>
      </c>
      <c r="U487" s="7">
        <v>30</v>
      </c>
      <c r="V487" s="7">
        <v>9</v>
      </c>
      <c r="W487" s="7">
        <v>8</v>
      </c>
      <c r="X487" s="7">
        <f t="shared" si="45"/>
        <v>65</v>
      </c>
      <c r="Y487" t="s">
        <v>36</v>
      </c>
      <c r="Z487">
        <v>93810.018394130006</v>
      </c>
      <c r="AA487" t="s">
        <v>878</v>
      </c>
      <c r="AB487">
        <v>24</v>
      </c>
      <c r="AC487">
        <v>0</v>
      </c>
      <c r="AD487" t="s">
        <v>258</v>
      </c>
      <c r="AE487" t="s">
        <v>41</v>
      </c>
      <c r="AF487" t="e">
        <v>#N/A</v>
      </c>
      <c r="AG487" s="8">
        <v>93</v>
      </c>
      <c r="AH487">
        <v>49</v>
      </c>
      <c r="AI487">
        <v>49</v>
      </c>
      <c r="AJ487">
        <v>0</v>
      </c>
      <c r="AK487">
        <v>0.5268817204301075</v>
      </c>
      <c r="AL487">
        <v>5.081063304179084</v>
      </c>
      <c r="AM487">
        <v>0</v>
      </c>
      <c r="AN487">
        <v>0</v>
      </c>
      <c r="AO487">
        <v>3.0625</v>
      </c>
      <c r="AP487">
        <v>3.0625</v>
      </c>
      <c r="AQ487">
        <v>0</v>
      </c>
      <c r="AR487">
        <v>0.375</v>
      </c>
      <c r="AS487">
        <v>0.625</v>
      </c>
      <c r="AT487">
        <v>0</v>
      </c>
      <c r="AU487">
        <v>115278.17730534001</v>
      </c>
      <c r="AV487">
        <v>7</v>
      </c>
      <c r="AW487">
        <f t="shared" si="46"/>
        <v>0</v>
      </c>
      <c r="AX487">
        <v>0</v>
      </c>
      <c r="AY487">
        <f t="shared" si="47"/>
        <v>0</v>
      </c>
      <c r="AZ487" t="e">
        <v>#N/A</v>
      </c>
      <c r="BA487">
        <v>1</v>
      </c>
      <c r="BB487">
        <v>2018</v>
      </c>
      <c r="BC487">
        <v>1</v>
      </c>
      <c r="BD487">
        <v>2018</v>
      </c>
      <c r="BE487">
        <v>12</v>
      </c>
      <c r="BF487">
        <v>2018</v>
      </c>
    </row>
    <row r="488" spans="1:58" x14ac:dyDescent="0.2">
      <c r="A488" s="7">
        <v>10</v>
      </c>
      <c r="B488" s="7">
        <v>31</v>
      </c>
      <c r="C488" s="7">
        <v>2</v>
      </c>
      <c r="D488" s="7">
        <v>0</v>
      </c>
      <c r="E488" s="7">
        <f t="shared" si="42"/>
        <v>43</v>
      </c>
      <c r="F488" s="11" t="e">
        <v>#N/A</v>
      </c>
      <c r="G488">
        <v>10</v>
      </c>
      <c r="H488">
        <v>31</v>
      </c>
      <c r="I488">
        <v>2</v>
      </c>
      <c r="J488">
        <v>0</v>
      </c>
      <c r="K488">
        <f t="shared" si="43"/>
        <v>43</v>
      </c>
      <c r="L488" t="e">
        <v>#N/A</v>
      </c>
      <c r="M488">
        <v>27582.894273409998</v>
      </c>
      <c r="N488" s="7">
        <v>10</v>
      </c>
      <c r="O488" s="7">
        <v>31</v>
      </c>
      <c r="P488" s="7">
        <v>3</v>
      </c>
      <c r="Q488" s="7">
        <v>2</v>
      </c>
      <c r="R488" s="7">
        <f t="shared" si="44"/>
        <v>46</v>
      </c>
      <c r="S488" t="e">
        <v>#N/A</v>
      </c>
      <c r="T488" s="7">
        <v>13</v>
      </c>
      <c r="U488" s="7">
        <v>39</v>
      </c>
      <c r="V488" s="7">
        <v>6</v>
      </c>
      <c r="W488" s="7">
        <v>5</v>
      </c>
      <c r="X488" s="7">
        <f t="shared" si="45"/>
        <v>63</v>
      </c>
      <c r="Y488" t="e">
        <v>#N/A</v>
      </c>
      <c r="Z488">
        <v>43253.799309460002</v>
      </c>
      <c r="AA488" t="s">
        <v>266</v>
      </c>
      <c r="AB488">
        <v>54</v>
      </c>
      <c r="AC488">
        <v>159</v>
      </c>
      <c r="AD488" t="s">
        <v>61</v>
      </c>
      <c r="AE488" t="s">
        <v>75</v>
      </c>
      <c r="AF488" t="e">
        <v>#N/A</v>
      </c>
      <c r="AG488" s="8">
        <v>323</v>
      </c>
      <c r="AH488">
        <v>17</v>
      </c>
      <c r="AI488">
        <v>20</v>
      </c>
      <c r="AJ488">
        <v>0</v>
      </c>
      <c r="AK488">
        <v>5.2631578947368418E-2</v>
      </c>
      <c r="AL488">
        <v>0.94590530292691732</v>
      </c>
      <c r="AM488">
        <v>3</v>
      </c>
      <c r="AN488">
        <v>0</v>
      </c>
      <c r="AO488">
        <v>0.36956521739130432</v>
      </c>
      <c r="AP488">
        <v>0.39534883720930231</v>
      </c>
      <c r="AQ488">
        <v>0</v>
      </c>
      <c r="AR488">
        <v>0.23255813953488372</v>
      </c>
      <c r="AS488">
        <v>0.72093023255813948</v>
      </c>
      <c r="AT488">
        <v>4.6511627906976744E-2</v>
      </c>
      <c r="AU488">
        <v>70836.693582870008</v>
      </c>
      <c r="AV488">
        <v>12</v>
      </c>
      <c r="AW488">
        <f t="shared" si="46"/>
        <v>1</v>
      </c>
      <c r="AX488">
        <v>159</v>
      </c>
      <c r="AY488">
        <f t="shared" si="47"/>
        <v>1</v>
      </c>
      <c r="AZ488" t="e">
        <v>#N/A</v>
      </c>
      <c r="BA488">
        <v>9</v>
      </c>
      <c r="BB488">
        <v>2020</v>
      </c>
      <c r="BC488">
        <v>9</v>
      </c>
      <c r="BD488">
        <v>2020</v>
      </c>
      <c r="BE488">
        <v>1</v>
      </c>
      <c r="BF488">
        <v>2020</v>
      </c>
    </row>
    <row r="489" spans="1:58" x14ac:dyDescent="0.2">
      <c r="A489" s="7">
        <v>10</v>
      </c>
      <c r="B489" s="7">
        <v>15</v>
      </c>
      <c r="C489" s="7">
        <v>2</v>
      </c>
      <c r="D489" s="7">
        <v>6</v>
      </c>
      <c r="E489" s="7">
        <f t="shared" si="42"/>
        <v>33</v>
      </c>
      <c r="F489" s="11" t="s">
        <v>36</v>
      </c>
      <c r="G489">
        <v>7</v>
      </c>
      <c r="H489">
        <v>10</v>
      </c>
      <c r="I489">
        <v>0</v>
      </c>
      <c r="J489">
        <v>0</v>
      </c>
      <c r="K489">
        <f t="shared" si="43"/>
        <v>17</v>
      </c>
      <c r="L489" t="s">
        <v>36</v>
      </c>
      <c r="M489">
        <v>73867.560518000013</v>
      </c>
      <c r="N489" s="7">
        <v>10</v>
      </c>
      <c r="O489" s="7">
        <v>15</v>
      </c>
      <c r="P489" s="7">
        <v>2</v>
      </c>
      <c r="Q489" s="7">
        <v>6</v>
      </c>
      <c r="R489" s="7">
        <f t="shared" si="44"/>
        <v>33</v>
      </c>
      <c r="S489" t="s">
        <v>36</v>
      </c>
      <c r="T489" s="7">
        <v>14</v>
      </c>
      <c r="U489" s="7">
        <v>37</v>
      </c>
      <c r="V489" s="7">
        <v>9</v>
      </c>
      <c r="W489" s="7">
        <v>7</v>
      </c>
      <c r="X489" s="7">
        <f t="shared" si="45"/>
        <v>67</v>
      </c>
      <c r="Y489" t="s">
        <v>36</v>
      </c>
      <c r="Z489">
        <v>71314.747697929997</v>
      </c>
      <c r="AA489" t="s">
        <v>879</v>
      </c>
      <c r="AB489">
        <v>61</v>
      </c>
      <c r="AC489">
        <v>0</v>
      </c>
      <c r="AD489" t="s">
        <v>258</v>
      </c>
      <c r="AE489" t="s">
        <v>41</v>
      </c>
      <c r="AF489">
        <v>258</v>
      </c>
      <c r="AG489" s="8">
        <v>314</v>
      </c>
      <c r="AH489">
        <v>34</v>
      </c>
      <c r="AI489">
        <v>34</v>
      </c>
      <c r="AJ489">
        <v>-16</v>
      </c>
      <c r="AK489">
        <v>0.10828025477707007</v>
      </c>
      <c r="AL489">
        <v>1.9187310031425413</v>
      </c>
      <c r="AM489">
        <v>16</v>
      </c>
      <c r="AN489">
        <v>0</v>
      </c>
      <c r="AO489">
        <v>1.0303030303030303</v>
      </c>
      <c r="AP489">
        <v>1.0303030303030303</v>
      </c>
      <c r="AQ489">
        <v>0.18181818181818182</v>
      </c>
      <c r="AR489">
        <v>0.30303030303030304</v>
      </c>
      <c r="AS489">
        <v>0.45454545454545453</v>
      </c>
      <c r="AT489">
        <v>6.0606060606060608E-2</v>
      </c>
      <c r="AU489">
        <v>145182.30821593001</v>
      </c>
      <c r="AV489">
        <v>9</v>
      </c>
      <c r="AW489">
        <f t="shared" si="46"/>
        <v>0</v>
      </c>
      <c r="AX489">
        <v>0</v>
      </c>
      <c r="AY489">
        <f t="shared" si="47"/>
        <v>0</v>
      </c>
      <c r="AZ489">
        <v>0</v>
      </c>
      <c r="BA489">
        <v>1</v>
      </c>
      <c r="BB489">
        <v>2018</v>
      </c>
      <c r="BC489">
        <v>9</v>
      </c>
      <c r="BD489">
        <v>2018</v>
      </c>
      <c r="BE489">
        <v>5</v>
      </c>
      <c r="BF489">
        <v>2018</v>
      </c>
    </row>
    <row r="490" spans="1:58" x14ac:dyDescent="0.2">
      <c r="A490" s="7">
        <v>8</v>
      </c>
      <c r="B490" s="7">
        <v>10</v>
      </c>
      <c r="C490" s="7">
        <v>2</v>
      </c>
      <c r="D490" s="7">
        <v>0</v>
      </c>
      <c r="E490" s="7">
        <f t="shared" si="42"/>
        <v>20</v>
      </c>
      <c r="F490" s="11" t="s">
        <v>36</v>
      </c>
      <c r="G490">
        <v>8</v>
      </c>
      <c r="H490">
        <v>10</v>
      </c>
      <c r="I490">
        <v>2</v>
      </c>
      <c r="J490">
        <v>0</v>
      </c>
      <c r="K490">
        <f t="shared" si="43"/>
        <v>20</v>
      </c>
      <c r="L490" t="s">
        <v>36</v>
      </c>
      <c r="M490">
        <v>17891.314179389999</v>
      </c>
      <c r="N490" s="7">
        <v>8</v>
      </c>
      <c r="O490" s="7">
        <v>10</v>
      </c>
      <c r="P490" s="7">
        <v>2</v>
      </c>
      <c r="Q490" s="7">
        <v>0</v>
      </c>
      <c r="R490" s="7">
        <f t="shared" si="44"/>
        <v>20</v>
      </c>
      <c r="S490" t="s">
        <v>36</v>
      </c>
      <c r="T490" s="7">
        <v>11</v>
      </c>
      <c r="U490" s="7">
        <v>15</v>
      </c>
      <c r="V490" s="7">
        <v>3</v>
      </c>
      <c r="W490" s="7">
        <v>5</v>
      </c>
      <c r="X490" s="7">
        <f t="shared" si="45"/>
        <v>34</v>
      </c>
      <c r="Y490" t="s">
        <v>36</v>
      </c>
      <c r="Z490">
        <v>156426.95384341001</v>
      </c>
      <c r="AA490" t="s">
        <v>880</v>
      </c>
      <c r="AB490">
        <v>62</v>
      </c>
      <c r="AC490">
        <v>0</v>
      </c>
      <c r="AD490" t="s">
        <v>119</v>
      </c>
      <c r="AE490" t="s">
        <v>41</v>
      </c>
      <c r="AF490" t="e">
        <v>#N/A</v>
      </c>
      <c r="AG490" s="8">
        <v>328</v>
      </c>
      <c r="AH490">
        <v>14</v>
      </c>
      <c r="AI490">
        <v>14</v>
      </c>
      <c r="AJ490">
        <v>0</v>
      </c>
      <c r="AK490">
        <v>4.2682926829268296E-2</v>
      </c>
      <c r="AL490">
        <v>0.77302068252392575</v>
      </c>
      <c r="AM490">
        <v>0</v>
      </c>
      <c r="AN490">
        <v>0</v>
      </c>
      <c r="AO490">
        <v>0.7</v>
      </c>
      <c r="AP490">
        <v>0.7</v>
      </c>
      <c r="AQ490">
        <v>0</v>
      </c>
      <c r="AR490">
        <v>0.4</v>
      </c>
      <c r="AS490">
        <v>0.5</v>
      </c>
      <c r="AT490">
        <v>0.1</v>
      </c>
      <c r="AU490">
        <v>174318.26802280001</v>
      </c>
      <c r="AV490">
        <v>6</v>
      </c>
      <c r="AW490">
        <f t="shared" si="46"/>
        <v>0</v>
      </c>
      <c r="AX490">
        <v>0</v>
      </c>
      <c r="AY490">
        <f t="shared" si="47"/>
        <v>0</v>
      </c>
      <c r="AZ490" t="e">
        <v>#N/A</v>
      </c>
      <c r="BA490">
        <v>1</v>
      </c>
      <c r="BB490">
        <v>2018</v>
      </c>
      <c r="BC490">
        <v>1</v>
      </c>
      <c r="BD490">
        <v>2018</v>
      </c>
      <c r="BE490">
        <v>11</v>
      </c>
      <c r="BF490">
        <v>2018</v>
      </c>
    </row>
    <row r="491" spans="1:58" x14ac:dyDescent="0.2">
      <c r="A491" s="7">
        <v>0</v>
      </c>
      <c r="B491" s="7">
        <v>8</v>
      </c>
      <c r="C491" s="7">
        <v>0</v>
      </c>
      <c r="D491" s="7">
        <v>0</v>
      </c>
      <c r="E491" s="7">
        <f t="shared" si="42"/>
        <v>8</v>
      </c>
      <c r="F491" s="11" t="s">
        <v>36</v>
      </c>
      <c r="G491">
        <v>0</v>
      </c>
      <c r="H491">
        <v>8</v>
      </c>
      <c r="I491">
        <v>0</v>
      </c>
      <c r="J491">
        <v>0</v>
      </c>
      <c r="K491">
        <f t="shared" si="43"/>
        <v>8</v>
      </c>
      <c r="L491" t="s">
        <v>36</v>
      </c>
      <c r="M491">
        <v>49622.033169570001</v>
      </c>
      <c r="N491" s="7">
        <v>0</v>
      </c>
      <c r="O491" s="7">
        <v>8</v>
      </c>
      <c r="P491" s="7">
        <v>0</v>
      </c>
      <c r="Q491" s="7">
        <v>0</v>
      </c>
      <c r="R491" s="7">
        <f t="shared" si="44"/>
        <v>8</v>
      </c>
      <c r="S491" t="s">
        <v>36</v>
      </c>
      <c r="T491" s="7">
        <v>0</v>
      </c>
      <c r="U491" s="7">
        <v>18</v>
      </c>
      <c r="V491" s="7">
        <v>0</v>
      </c>
      <c r="W491" s="7">
        <v>5</v>
      </c>
      <c r="X491" s="7">
        <f t="shared" si="45"/>
        <v>23</v>
      </c>
      <c r="Y491" t="s">
        <v>36</v>
      </c>
      <c r="Z491">
        <v>243929.17069920999</v>
      </c>
      <c r="AA491" t="s">
        <v>881</v>
      </c>
      <c r="AB491">
        <v>60</v>
      </c>
      <c r="AC491">
        <v>0</v>
      </c>
      <c r="AD491" t="s">
        <v>248</v>
      </c>
      <c r="AE491" t="s">
        <v>41</v>
      </c>
      <c r="AF491" t="e">
        <v>#N/A</v>
      </c>
      <c r="AG491" s="8">
        <v>529</v>
      </c>
      <c r="AH491">
        <v>15</v>
      </c>
      <c r="AI491">
        <v>15</v>
      </c>
      <c r="AJ491">
        <v>0</v>
      </c>
      <c r="AK491">
        <v>2.835538752362949E-2</v>
      </c>
      <c r="AL491">
        <v>0.65217391304347827</v>
      </c>
      <c r="AM491">
        <v>0</v>
      </c>
      <c r="AN491">
        <v>0</v>
      </c>
      <c r="AO491">
        <v>1.875</v>
      </c>
      <c r="AP491">
        <v>1.875</v>
      </c>
      <c r="AQ491">
        <v>0</v>
      </c>
      <c r="AR491">
        <v>0</v>
      </c>
      <c r="AS491">
        <v>1</v>
      </c>
      <c r="AT491">
        <v>0</v>
      </c>
      <c r="AU491">
        <v>293551.20386877999</v>
      </c>
      <c r="AV491">
        <v>10</v>
      </c>
      <c r="AW491">
        <f t="shared" si="46"/>
        <v>1</v>
      </c>
      <c r="AX491">
        <v>0</v>
      </c>
      <c r="AY491">
        <f t="shared" si="47"/>
        <v>0</v>
      </c>
      <c r="AZ491" t="e">
        <v>#N/A</v>
      </c>
      <c r="BA491">
        <v>1</v>
      </c>
      <c r="BB491">
        <v>2018</v>
      </c>
      <c r="BC491">
        <v>1</v>
      </c>
      <c r="BD491">
        <v>2018</v>
      </c>
      <c r="BE491">
        <v>1</v>
      </c>
      <c r="BF491">
        <v>2018</v>
      </c>
    </row>
    <row r="492" spans="1:58" x14ac:dyDescent="0.2">
      <c r="A492" s="7">
        <v>13</v>
      </c>
      <c r="B492" s="7">
        <v>31</v>
      </c>
      <c r="C492" s="7">
        <v>2</v>
      </c>
      <c r="D492" s="7">
        <v>7</v>
      </c>
      <c r="E492" s="7">
        <f t="shared" si="42"/>
        <v>53</v>
      </c>
      <c r="F492" s="11" t="s">
        <v>36</v>
      </c>
      <c r="G492">
        <v>10</v>
      </c>
      <c r="H492">
        <v>31</v>
      </c>
      <c r="I492">
        <v>0</v>
      </c>
      <c r="J492">
        <v>4</v>
      </c>
      <c r="K492">
        <f t="shared" si="43"/>
        <v>45</v>
      </c>
      <c r="L492" t="s">
        <v>36</v>
      </c>
      <c r="M492">
        <v>14140.63741822</v>
      </c>
      <c r="N492" s="7">
        <v>13</v>
      </c>
      <c r="O492" s="7">
        <v>31</v>
      </c>
      <c r="P492" s="7">
        <v>2</v>
      </c>
      <c r="Q492" s="7">
        <v>7</v>
      </c>
      <c r="R492" s="7">
        <f t="shared" si="44"/>
        <v>53</v>
      </c>
      <c r="S492" t="s">
        <v>36</v>
      </c>
      <c r="T492" s="7">
        <v>19</v>
      </c>
      <c r="U492" s="7">
        <v>40</v>
      </c>
      <c r="V492" s="7">
        <v>7</v>
      </c>
      <c r="W492" s="7">
        <v>10</v>
      </c>
      <c r="X492" s="7">
        <f t="shared" si="45"/>
        <v>76</v>
      </c>
      <c r="Y492" t="s">
        <v>36</v>
      </c>
      <c r="Z492">
        <v>81711.985552419996</v>
      </c>
      <c r="AA492" t="s">
        <v>882</v>
      </c>
      <c r="AB492">
        <v>63</v>
      </c>
      <c r="AC492">
        <v>0</v>
      </c>
      <c r="AD492" t="s">
        <v>267</v>
      </c>
      <c r="AE492" t="s">
        <v>75</v>
      </c>
      <c r="AF492">
        <v>228</v>
      </c>
      <c r="AG492" s="8">
        <v>151</v>
      </c>
      <c r="AH492">
        <v>23</v>
      </c>
      <c r="AI492">
        <v>23</v>
      </c>
      <c r="AJ492">
        <v>-8</v>
      </c>
      <c r="AK492">
        <v>0.15231788079470199</v>
      </c>
      <c r="AL492">
        <v>1.8717134551736667</v>
      </c>
      <c r="AM492">
        <v>8</v>
      </c>
      <c r="AN492">
        <v>0</v>
      </c>
      <c r="AO492">
        <v>0.43396226415094341</v>
      </c>
      <c r="AP492">
        <v>0.43396226415094341</v>
      </c>
      <c r="AQ492">
        <v>0.13207547169811321</v>
      </c>
      <c r="AR492">
        <v>0.24528301886792453</v>
      </c>
      <c r="AS492">
        <v>0.58490566037735847</v>
      </c>
      <c r="AT492">
        <v>3.7735849056603772E-2</v>
      </c>
      <c r="AU492">
        <v>95852.62297063999</v>
      </c>
      <c r="AV492">
        <v>7</v>
      </c>
      <c r="AW492">
        <f t="shared" si="46"/>
        <v>0</v>
      </c>
      <c r="AX492">
        <v>0</v>
      </c>
      <c r="AY492">
        <f t="shared" si="47"/>
        <v>0</v>
      </c>
      <c r="AZ492">
        <v>0</v>
      </c>
      <c r="BA492">
        <v>3</v>
      </c>
      <c r="BB492">
        <v>2018</v>
      </c>
      <c r="BC492">
        <v>10</v>
      </c>
      <c r="BD492">
        <v>2018</v>
      </c>
      <c r="BE492">
        <v>11</v>
      </c>
      <c r="BF492">
        <v>2018</v>
      </c>
    </row>
    <row r="493" spans="1:58" x14ac:dyDescent="0.2">
      <c r="A493" s="7">
        <v>6</v>
      </c>
      <c r="B493" s="7">
        <v>15</v>
      </c>
      <c r="C493" s="7">
        <v>0</v>
      </c>
      <c r="D493" s="7">
        <v>4</v>
      </c>
      <c r="E493" s="7">
        <f t="shared" si="42"/>
        <v>25</v>
      </c>
      <c r="F493" s="11" t="s">
        <v>36</v>
      </c>
      <c r="G493">
        <v>7</v>
      </c>
      <c r="H493">
        <v>10</v>
      </c>
      <c r="I493">
        <v>2</v>
      </c>
      <c r="J493">
        <v>4</v>
      </c>
      <c r="K493">
        <f t="shared" si="43"/>
        <v>23</v>
      </c>
      <c r="L493" t="s">
        <v>36</v>
      </c>
      <c r="M493">
        <v>18606.674289089999</v>
      </c>
      <c r="N493" s="7">
        <v>5</v>
      </c>
      <c r="O493" s="7">
        <v>10</v>
      </c>
      <c r="P493" s="7">
        <v>4</v>
      </c>
      <c r="Q493" s="7">
        <v>3</v>
      </c>
      <c r="R493" s="7">
        <f t="shared" si="44"/>
        <v>22</v>
      </c>
      <c r="S493" t="s">
        <v>36</v>
      </c>
      <c r="T493" s="7">
        <v>8</v>
      </c>
      <c r="U493" s="7">
        <v>15</v>
      </c>
      <c r="V493" s="7">
        <v>2</v>
      </c>
      <c r="W493" s="7">
        <v>4</v>
      </c>
      <c r="X493" s="7">
        <f t="shared" si="45"/>
        <v>29</v>
      </c>
      <c r="Y493" t="s">
        <v>54</v>
      </c>
      <c r="Z493">
        <v>216377.73354406</v>
      </c>
      <c r="AA493" t="s">
        <v>883</v>
      </c>
      <c r="AB493">
        <v>83</v>
      </c>
      <c r="AC493">
        <v>1</v>
      </c>
      <c r="AD493" t="s">
        <v>119</v>
      </c>
      <c r="AE493" t="s">
        <v>75</v>
      </c>
      <c r="AF493">
        <v>280</v>
      </c>
      <c r="AG493" s="8">
        <v>430</v>
      </c>
      <c r="AH493">
        <v>7</v>
      </c>
      <c r="AI493">
        <v>4</v>
      </c>
      <c r="AJ493">
        <v>-2</v>
      </c>
      <c r="AK493">
        <v>1.627906976744186E-2</v>
      </c>
      <c r="AL493">
        <v>0.33756997551928847</v>
      </c>
      <c r="AM493">
        <v>-1</v>
      </c>
      <c r="AN493">
        <v>1</v>
      </c>
      <c r="AO493">
        <v>0.31818181818181818</v>
      </c>
      <c r="AP493">
        <v>0.28000000000000003</v>
      </c>
      <c r="AQ493">
        <v>0.16</v>
      </c>
      <c r="AR493">
        <v>0.24</v>
      </c>
      <c r="AS493">
        <v>0.6</v>
      </c>
      <c r="AT493">
        <v>0</v>
      </c>
      <c r="AU493">
        <v>234984.40783315001</v>
      </c>
      <c r="AV493">
        <v>14</v>
      </c>
      <c r="AW493">
        <f t="shared" si="46"/>
        <v>1</v>
      </c>
      <c r="AX493">
        <v>1</v>
      </c>
      <c r="AY493">
        <f t="shared" si="47"/>
        <v>1</v>
      </c>
      <c r="AZ493">
        <v>3.5714285714285713E-3</v>
      </c>
      <c r="BA493">
        <v>1</v>
      </c>
      <c r="BB493">
        <v>2018</v>
      </c>
      <c r="BC493">
        <v>10</v>
      </c>
      <c r="BD493">
        <v>2018</v>
      </c>
      <c r="BE493">
        <v>1</v>
      </c>
      <c r="BF493">
        <v>2018</v>
      </c>
    </row>
    <row r="494" spans="1:58" x14ac:dyDescent="0.2">
      <c r="A494" s="7">
        <v>6</v>
      </c>
      <c r="B494" s="7">
        <v>13</v>
      </c>
      <c r="C494" s="7">
        <v>4</v>
      </c>
      <c r="D494" s="7">
        <v>2</v>
      </c>
      <c r="E494" s="7">
        <f t="shared" si="42"/>
        <v>25</v>
      </c>
      <c r="F494" s="11" t="e">
        <v>#N/A</v>
      </c>
      <c r="G494">
        <v>6</v>
      </c>
      <c r="H494">
        <v>13</v>
      </c>
      <c r="I494">
        <v>4</v>
      </c>
      <c r="J494">
        <v>2</v>
      </c>
      <c r="K494">
        <f t="shared" si="43"/>
        <v>25</v>
      </c>
      <c r="L494" t="e">
        <v>#N/A</v>
      </c>
      <c r="M494">
        <v>18009.414547119999</v>
      </c>
      <c r="N494" s="7">
        <v>8</v>
      </c>
      <c r="O494" s="7">
        <v>8</v>
      </c>
      <c r="P494" s="7">
        <v>4</v>
      </c>
      <c r="Q494" s="7">
        <v>2</v>
      </c>
      <c r="R494" s="7">
        <f t="shared" si="44"/>
        <v>22</v>
      </c>
      <c r="S494" t="e">
        <v>#N/A</v>
      </c>
      <c r="T494" s="7">
        <v>8</v>
      </c>
      <c r="U494" s="7">
        <v>8</v>
      </c>
      <c r="V494" s="7">
        <v>4</v>
      </c>
      <c r="W494" s="7">
        <v>2</v>
      </c>
      <c r="X494" s="7">
        <f t="shared" si="45"/>
        <v>22</v>
      </c>
      <c r="Y494" t="e">
        <v>#N/A</v>
      </c>
      <c r="Z494">
        <v>8563.2413450200002</v>
      </c>
      <c r="AA494" t="s">
        <v>268</v>
      </c>
      <c r="AB494">
        <v>84</v>
      </c>
      <c r="AC494">
        <v>0</v>
      </c>
      <c r="AD494" t="s">
        <v>269</v>
      </c>
      <c r="AE494" t="s">
        <v>75</v>
      </c>
      <c r="AF494" t="e">
        <v>#N/A</v>
      </c>
      <c r="AG494" s="8">
        <v>0</v>
      </c>
      <c r="AH494">
        <v>0</v>
      </c>
      <c r="AI494">
        <v>-3</v>
      </c>
      <c r="AJ494">
        <v>0</v>
      </c>
      <c r="AK494" t="e">
        <v>#N/A</v>
      </c>
      <c r="AL494" t="e">
        <v>#N/A</v>
      </c>
      <c r="AM494">
        <v>-3</v>
      </c>
      <c r="AN494">
        <v>1</v>
      </c>
      <c r="AO494">
        <v>0</v>
      </c>
      <c r="AP494">
        <v>0</v>
      </c>
      <c r="AQ494">
        <v>0.08</v>
      </c>
      <c r="AR494">
        <v>0.24</v>
      </c>
      <c r="AS494">
        <v>0.52</v>
      </c>
      <c r="AT494">
        <v>0.16</v>
      </c>
      <c r="AU494">
        <v>26572.655892139999</v>
      </c>
      <c r="AV494">
        <v>12</v>
      </c>
      <c r="AW494">
        <f t="shared" si="46"/>
        <v>1</v>
      </c>
      <c r="AX494">
        <v>0</v>
      </c>
      <c r="AY494">
        <f t="shared" si="47"/>
        <v>0</v>
      </c>
      <c r="AZ494" t="e">
        <v>#N/A</v>
      </c>
      <c r="BA494">
        <v>1</v>
      </c>
      <c r="BB494">
        <v>2020</v>
      </c>
      <c r="BC494">
        <v>1</v>
      </c>
      <c r="BD494">
        <v>2020</v>
      </c>
      <c r="BE494">
        <v>3</v>
      </c>
      <c r="BF494">
        <v>2020</v>
      </c>
    </row>
    <row r="495" spans="1:58" x14ac:dyDescent="0.2">
      <c r="A495" s="7">
        <v>3</v>
      </c>
      <c r="B495" s="7">
        <v>15</v>
      </c>
      <c r="C495" s="7">
        <v>0</v>
      </c>
      <c r="D495" s="7">
        <v>0</v>
      </c>
      <c r="E495" s="7">
        <f t="shared" si="42"/>
        <v>18</v>
      </c>
      <c r="F495" s="11" t="e">
        <v>#N/A</v>
      </c>
      <c r="G495">
        <v>3</v>
      </c>
      <c r="H495">
        <v>15</v>
      </c>
      <c r="I495">
        <v>0</v>
      </c>
      <c r="J495">
        <v>0</v>
      </c>
      <c r="K495">
        <f t="shared" si="43"/>
        <v>18</v>
      </c>
      <c r="L495" t="e">
        <v>#N/A</v>
      </c>
      <c r="M495">
        <v>23212.835900950002</v>
      </c>
      <c r="N495" s="7">
        <v>3</v>
      </c>
      <c r="O495" s="7">
        <v>15</v>
      </c>
      <c r="P495" s="7">
        <v>0</v>
      </c>
      <c r="Q495" s="7">
        <v>2</v>
      </c>
      <c r="R495" s="7">
        <f t="shared" si="44"/>
        <v>20</v>
      </c>
      <c r="S495" t="e">
        <v>#N/A</v>
      </c>
      <c r="T495" s="7">
        <v>3</v>
      </c>
      <c r="U495" s="7">
        <v>15</v>
      </c>
      <c r="V495" s="7">
        <v>0</v>
      </c>
      <c r="W495" s="7">
        <v>2</v>
      </c>
      <c r="X495" s="7">
        <f t="shared" si="45"/>
        <v>20</v>
      </c>
      <c r="Y495" t="e">
        <v>#N/A</v>
      </c>
      <c r="Z495">
        <v>12215.436825029999</v>
      </c>
      <c r="AA495" t="s">
        <v>268</v>
      </c>
      <c r="AB495">
        <v>84</v>
      </c>
      <c r="AC495">
        <v>0</v>
      </c>
      <c r="AD495" t="s">
        <v>123</v>
      </c>
      <c r="AE495" t="s">
        <v>75</v>
      </c>
      <c r="AF495" t="e">
        <v>#N/A</v>
      </c>
      <c r="AG495" s="8">
        <v>0</v>
      </c>
      <c r="AH495">
        <v>0</v>
      </c>
      <c r="AI495">
        <v>2</v>
      </c>
      <c r="AJ495">
        <v>0</v>
      </c>
      <c r="AK495" t="e">
        <v>#N/A</v>
      </c>
      <c r="AL495" t="e">
        <v>#N/A</v>
      </c>
      <c r="AM495">
        <v>2</v>
      </c>
      <c r="AN495">
        <v>0</v>
      </c>
      <c r="AO495">
        <v>0</v>
      </c>
      <c r="AP495">
        <v>0</v>
      </c>
      <c r="AQ495">
        <v>0</v>
      </c>
      <c r="AR495">
        <v>0.16666666666666666</v>
      </c>
      <c r="AS495">
        <v>0.83333333333333337</v>
      </c>
      <c r="AT495">
        <v>0</v>
      </c>
      <c r="AU495">
        <v>35428.272725980001</v>
      </c>
      <c r="AV495">
        <v>16</v>
      </c>
      <c r="AW495">
        <f t="shared" si="46"/>
        <v>1</v>
      </c>
      <c r="AX495">
        <v>0</v>
      </c>
      <c r="AY495">
        <f t="shared" si="47"/>
        <v>0</v>
      </c>
      <c r="AZ495" t="e">
        <v>#N/A</v>
      </c>
      <c r="BA495">
        <v>1</v>
      </c>
      <c r="BB495">
        <v>2020</v>
      </c>
      <c r="BC495">
        <v>1</v>
      </c>
      <c r="BD495">
        <v>2020</v>
      </c>
      <c r="BE495">
        <v>12</v>
      </c>
      <c r="BF495">
        <v>2020</v>
      </c>
    </row>
    <row r="496" spans="1:58" x14ac:dyDescent="0.2">
      <c r="A496" s="7">
        <v>3</v>
      </c>
      <c r="B496" s="7">
        <v>13</v>
      </c>
      <c r="C496" s="7">
        <v>0</v>
      </c>
      <c r="D496" s="7">
        <v>0</v>
      </c>
      <c r="E496" s="7">
        <f t="shared" si="42"/>
        <v>16</v>
      </c>
      <c r="F496" s="11" t="s">
        <v>36</v>
      </c>
      <c r="G496">
        <v>1</v>
      </c>
      <c r="H496">
        <v>15</v>
      </c>
      <c r="I496">
        <v>0</v>
      </c>
      <c r="J496">
        <v>0</v>
      </c>
      <c r="K496">
        <f t="shared" si="43"/>
        <v>16</v>
      </c>
      <c r="L496" t="s">
        <v>36</v>
      </c>
      <c r="M496">
        <v>16236.997371879999</v>
      </c>
      <c r="N496" s="7">
        <v>3</v>
      </c>
      <c r="O496" s="7">
        <v>13</v>
      </c>
      <c r="P496" s="7">
        <v>0</v>
      </c>
      <c r="Q496" s="7">
        <v>0</v>
      </c>
      <c r="R496" s="7">
        <f t="shared" si="44"/>
        <v>16</v>
      </c>
      <c r="S496" t="s">
        <v>36</v>
      </c>
      <c r="T496" s="7">
        <v>3</v>
      </c>
      <c r="U496" s="7">
        <v>11</v>
      </c>
      <c r="V496" s="7">
        <v>0</v>
      </c>
      <c r="W496" s="7">
        <v>0</v>
      </c>
      <c r="X496" s="7">
        <f t="shared" si="45"/>
        <v>14</v>
      </c>
      <c r="Y496" t="s">
        <v>39</v>
      </c>
      <c r="Z496">
        <v>91959.815146550012</v>
      </c>
      <c r="AA496" t="s">
        <v>884</v>
      </c>
      <c r="AB496">
        <v>79</v>
      </c>
      <c r="AC496">
        <v>0</v>
      </c>
      <c r="AD496" t="s">
        <v>258</v>
      </c>
      <c r="AE496" t="s">
        <v>41</v>
      </c>
      <c r="AF496">
        <v>281</v>
      </c>
      <c r="AG496" s="8">
        <v>96</v>
      </c>
      <c r="AH496">
        <v>-2</v>
      </c>
      <c r="AI496">
        <v>-2</v>
      </c>
      <c r="AJ496">
        <v>0</v>
      </c>
      <c r="AK496">
        <v>-2.0833333333333332E-2</v>
      </c>
      <c r="AL496">
        <v>-0.20412414523193154</v>
      </c>
      <c r="AM496">
        <v>0</v>
      </c>
      <c r="AN496">
        <v>0</v>
      </c>
      <c r="AO496">
        <v>-0.125</v>
      </c>
      <c r="AP496">
        <v>-0.125</v>
      </c>
      <c r="AQ496">
        <v>0</v>
      </c>
      <c r="AR496">
        <v>0.1875</v>
      </c>
      <c r="AS496">
        <v>0.8125</v>
      </c>
      <c r="AT496">
        <v>0</v>
      </c>
      <c r="AU496">
        <v>108196.81251843002</v>
      </c>
      <c r="AV496">
        <v>13</v>
      </c>
      <c r="AW496">
        <f t="shared" si="46"/>
        <v>1</v>
      </c>
      <c r="AX496">
        <v>0</v>
      </c>
      <c r="AY496">
        <f t="shared" si="47"/>
        <v>0</v>
      </c>
      <c r="AZ496">
        <v>0</v>
      </c>
      <c r="BA496">
        <v>1</v>
      </c>
      <c r="BB496">
        <v>2018</v>
      </c>
      <c r="BC496">
        <v>10</v>
      </c>
      <c r="BD496">
        <v>2018</v>
      </c>
      <c r="BE496">
        <v>11</v>
      </c>
      <c r="BF496">
        <v>2018</v>
      </c>
    </row>
    <row r="497" spans="1:58" x14ac:dyDescent="0.2">
      <c r="A497" s="7">
        <v>3</v>
      </c>
      <c r="B497" s="7">
        <v>14</v>
      </c>
      <c r="C497" s="7">
        <v>0</v>
      </c>
      <c r="D497" s="7">
        <v>0</v>
      </c>
      <c r="E497" s="7">
        <f t="shared" si="42"/>
        <v>17</v>
      </c>
      <c r="F497" s="11" t="s">
        <v>36</v>
      </c>
      <c r="G497">
        <v>3</v>
      </c>
      <c r="H497">
        <v>14</v>
      </c>
      <c r="I497">
        <v>0</v>
      </c>
      <c r="J497">
        <v>0</v>
      </c>
      <c r="K497">
        <f t="shared" si="43"/>
        <v>17</v>
      </c>
      <c r="L497" t="s">
        <v>36</v>
      </c>
      <c r="M497">
        <v>29072.42367851</v>
      </c>
      <c r="N497" s="7">
        <v>3</v>
      </c>
      <c r="O497" s="7">
        <v>14</v>
      </c>
      <c r="P497" s="7">
        <v>0</v>
      </c>
      <c r="Q497" s="7">
        <v>0</v>
      </c>
      <c r="R497" s="7">
        <f t="shared" si="44"/>
        <v>17</v>
      </c>
      <c r="S497" t="s">
        <v>36</v>
      </c>
      <c r="T497" s="7">
        <v>8</v>
      </c>
      <c r="U497" s="7">
        <v>26</v>
      </c>
      <c r="V497" s="7">
        <v>2</v>
      </c>
      <c r="W497" s="7">
        <v>1</v>
      </c>
      <c r="X497" s="7">
        <f t="shared" si="45"/>
        <v>37</v>
      </c>
      <c r="Y497" t="s">
        <v>36</v>
      </c>
      <c r="Z497">
        <v>225993.21898211999</v>
      </c>
      <c r="AA497" t="s">
        <v>885</v>
      </c>
      <c r="AB497">
        <v>33</v>
      </c>
      <c r="AC497">
        <v>0</v>
      </c>
      <c r="AD497" t="s">
        <v>248</v>
      </c>
      <c r="AE497" t="s">
        <v>41</v>
      </c>
      <c r="AF497" t="e">
        <v>#N/A</v>
      </c>
      <c r="AG497" s="8">
        <v>557</v>
      </c>
      <c r="AH497">
        <v>20</v>
      </c>
      <c r="AI497">
        <v>20</v>
      </c>
      <c r="AJ497">
        <v>0</v>
      </c>
      <c r="AK497">
        <v>3.5906642728904849E-2</v>
      </c>
      <c r="AL497">
        <v>0.84742719721407156</v>
      </c>
      <c r="AM497">
        <v>0</v>
      </c>
      <c r="AN497">
        <v>0</v>
      </c>
      <c r="AO497">
        <v>1.1764705882352942</v>
      </c>
      <c r="AP497">
        <v>1.1764705882352942</v>
      </c>
      <c r="AQ497">
        <v>0</v>
      </c>
      <c r="AR497">
        <v>0.17647058823529413</v>
      </c>
      <c r="AS497">
        <v>0.82352941176470584</v>
      </c>
      <c r="AT497">
        <v>0</v>
      </c>
      <c r="AU497">
        <v>255065.64266062999</v>
      </c>
      <c r="AV497">
        <v>12</v>
      </c>
      <c r="AW497">
        <f t="shared" si="46"/>
        <v>1</v>
      </c>
      <c r="AX497">
        <v>0</v>
      </c>
      <c r="AY497">
        <f t="shared" si="47"/>
        <v>0</v>
      </c>
      <c r="AZ497" t="e">
        <v>#N/A</v>
      </c>
      <c r="BA497">
        <v>10</v>
      </c>
      <c r="BB497">
        <v>2018</v>
      </c>
      <c r="BC497">
        <v>10</v>
      </c>
      <c r="BD497">
        <v>2018</v>
      </c>
      <c r="BE497">
        <v>1</v>
      </c>
      <c r="BF497">
        <v>2018</v>
      </c>
    </row>
    <row r="498" spans="1:58" x14ac:dyDescent="0.2">
      <c r="A498" s="7">
        <v>7</v>
      </c>
      <c r="B498" s="7">
        <v>19</v>
      </c>
      <c r="C498" s="7">
        <v>0</v>
      </c>
      <c r="D498" s="7">
        <v>5</v>
      </c>
      <c r="E498" s="7">
        <f t="shared" si="42"/>
        <v>31</v>
      </c>
      <c r="F498" s="11" t="s">
        <v>36</v>
      </c>
      <c r="G498">
        <v>7</v>
      </c>
      <c r="H498">
        <v>19</v>
      </c>
      <c r="I498">
        <v>0</v>
      </c>
      <c r="J498">
        <v>5</v>
      </c>
      <c r="K498">
        <f t="shared" si="43"/>
        <v>31</v>
      </c>
      <c r="L498" t="s">
        <v>36</v>
      </c>
      <c r="M498">
        <v>9279.8729600000006</v>
      </c>
      <c r="N498" s="7">
        <v>7</v>
      </c>
      <c r="O498" s="7">
        <v>26</v>
      </c>
      <c r="P498" s="7">
        <v>4</v>
      </c>
      <c r="Q498" s="7">
        <v>5</v>
      </c>
      <c r="R498" s="7">
        <f t="shared" si="44"/>
        <v>42</v>
      </c>
      <c r="S498" t="e">
        <v>#N/A</v>
      </c>
      <c r="T498" s="7">
        <v>7</v>
      </c>
      <c r="U498" s="7">
        <v>26</v>
      </c>
      <c r="V498" s="7">
        <v>4</v>
      </c>
      <c r="W498" s="7">
        <v>5</v>
      </c>
      <c r="X498" s="7">
        <f t="shared" si="45"/>
        <v>42</v>
      </c>
      <c r="Y498" t="e">
        <v>#N/A</v>
      </c>
      <c r="Z498">
        <v>22847.731775519998</v>
      </c>
      <c r="AA498" t="s">
        <v>270</v>
      </c>
      <c r="AB498">
        <v>35</v>
      </c>
      <c r="AC498">
        <v>0</v>
      </c>
      <c r="AD498" t="s">
        <v>138</v>
      </c>
      <c r="AE498" t="s">
        <v>41</v>
      </c>
      <c r="AF498" t="e">
        <v>#N/A</v>
      </c>
      <c r="AG498" s="8">
        <v>165</v>
      </c>
      <c r="AH498">
        <v>0</v>
      </c>
      <c r="AI498">
        <v>11</v>
      </c>
      <c r="AJ498">
        <v>0</v>
      </c>
      <c r="AK498">
        <v>0</v>
      </c>
      <c r="AL498">
        <v>0</v>
      </c>
      <c r="AM498">
        <v>11</v>
      </c>
      <c r="AN498">
        <v>0</v>
      </c>
      <c r="AO498">
        <v>0</v>
      </c>
      <c r="AP498">
        <v>0</v>
      </c>
      <c r="AQ498">
        <v>0.16129032258064516</v>
      </c>
      <c r="AR498">
        <v>0.22580645161290322</v>
      </c>
      <c r="AS498">
        <v>0.61290322580645162</v>
      </c>
      <c r="AT498">
        <v>0</v>
      </c>
      <c r="AU498">
        <v>32127.604735519999</v>
      </c>
      <c r="AV498">
        <v>5</v>
      </c>
      <c r="AW498">
        <f t="shared" si="46"/>
        <v>0</v>
      </c>
      <c r="AX498">
        <v>0</v>
      </c>
      <c r="AY498">
        <f t="shared" si="47"/>
        <v>0</v>
      </c>
      <c r="AZ498" t="e">
        <v>#N/A</v>
      </c>
      <c r="BA498">
        <v>6</v>
      </c>
      <c r="BB498">
        <v>2020</v>
      </c>
      <c r="BC498">
        <v>6</v>
      </c>
      <c r="BD498">
        <v>2020</v>
      </c>
      <c r="BE498">
        <v>1</v>
      </c>
      <c r="BF498">
        <v>2020</v>
      </c>
    </row>
    <row r="499" spans="1:58" x14ac:dyDescent="0.2">
      <c r="A499" s="7">
        <v>16</v>
      </c>
      <c r="B499" s="7">
        <v>21</v>
      </c>
      <c r="C499" s="7">
        <v>5</v>
      </c>
      <c r="D499" s="7">
        <v>7</v>
      </c>
      <c r="E499" s="7">
        <f t="shared" si="42"/>
        <v>49</v>
      </c>
      <c r="F499" s="11" t="s">
        <v>34</v>
      </c>
      <c r="G499">
        <v>16</v>
      </c>
      <c r="H499">
        <v>21</v>
      </c>
      <c r="I499">
        <v>5</v>
      </c>
      <c r="J499">
        <v>7</v>
      </c>
      <c r="K499">
        <f t="shared" si="43"/>
        <v>49</v>
      </c>
      <c r="L499" t="s">
        <v>34</v>
      </c>
      <c r="M499">
        <v>14117.69966</v>
      </c>
      <c r="N499" s="7">
        <v>10</v>
      </c>
      <c r="O499" s="7">
        <v>21</v>
      </c>
      <c r="P499" s="7">
        <v>5</v>
      </c>
      <c r="Q499" s="7">
        <v>7</v>
      </c>
      <c r="R499" s="7">
        <f t="shared" si="44"/>
        <v>43</v>
      </c>
      <c r="S499" t="e">
        <v>#N/A</v>
      </c>
      <c r="T499" s="7">
        <v>13</v>
      </c>
      <c r="U499" s="7">
        <v>25</v>
      </c>
      <c r="V499" s="7">
        <v>5</v>
      </c>
      <c r="W499" s="7">
        <v>7</v>
      </c>
      <c r="X499" s="7">
        <f t="shared" si="45"/>
        <v>50</v>
      </c>
      <c r="Y499" t="e">
        <v>#N/A</v>
      </c>
      <c r="Z499">
        <v>22366.22826086</v>
      </c>
      <c r="AA499" t="s">
        <v>270</v>
      </c>
      <c r="AB499">
        <v>35</v>
      </c>
      <c r="AC499">
        <v>0</v>
      </c>
      <c r="AD499" t="s">
        <v>134</v>
      </c>
      <c r="AE499" t="s">
        <v>41</v>
      </c>
      <c r="AF499" t="e">
        <v>#N/A</v>
      </c>
      <c r="AG499" s="8">
        <v>341</v>
      </c>
      <c r="AH499">
        <v>7</v>
      </c>
      <c r="AI499">
        <v>1</v>
      </c>
      <c r="AJ499">
        <v>0</v>
      </c>
      <c r="AK499">
        <v>2.0527859237536656E-2</v>
      </c>
      <c r="AL499">
        <v>0.37907125275171766</v>
      </c>
      <c r="AM499">
        <v>-6</v>
      </c>
      <c r="AN499">
        <v>1</v>
      </c>
      <c r="AO499">
        <v>0.16279069767441862</v>
      </c>
      <c r="AP499">
        <v>0.14285714285714285</v>
      </c>
      <c r="AQ499">
        <v>0.14285714285714285</v>
      </c>
      <c r="AR499">
        <v>0.32653061224489793</v>
      </c>
      <c r="AS499">
        <v>0.42857142857142855</v>
      </c>
      <c r="AT499">
        <v>0.10204081632653061</v>
      </c>
      <c r="AU499">
        <v>36483.927920859998</v>
      </c>
      <c r="AV499">
        <v>5</v>
      </c>
      <c r="AW499">
        <f t="shared" si="46"/>
        <v>0</v>
      </c>
      <c r="AX499">
        <v>0</v>
      </c>
      <c r="AY499">
        <f t="shared" si="47"/>
        <v>0</v>
      </c>
      <c r="AZ499" t="e">
        <v>#N/A</v>
      </c>
      <c r="BA499">
        <v>9</v>
      </c>
      <c r="BB499">
        <v>2020</v>
      </c>
      <c r="BC499">
        <v>9</v>
      </c>
      <c r="BD499">
        <v>2020</v>
      </c>
      <c r="BE499">
        <v>1</v>
      </c>
      <c r="BF499">
        <v>2020</v>
      </c>
    </row>
    <row r="500" spans="1:58" x14ac:dyDescent="0.2">
      <c r="A500" s="7">
        <v>0</v>
      </c>
      <c r="B500" s="7">
        <v>15</v>
      </c>
      <c r="C500" s="7">
        <v>0</v>
      </c>
      <c r="D500" s="7">
        <v>0</v>
      </c>
      <c r="E500" s="7">
        <f t="shared" si="42"/>
        <v>15</v>
      </c>
      <c r="F500" s="11" t="s">
        <v>36</v>
      </c>
      <c r="G500">
        <v>0</v>
      </c>
      <c r="H500">
        <v>15</v>
      </c>
      <c r="I500">
        <v>0</v>
      </c>
      <c r="J500">
        <v>0</v>
      </c>
      <c r="K500">
        <f t="shared" si="43"/>
        <v>15</v>
      </c>
      <c r="L500" t="s">
        <v>36</v>
      </c>
      <c r="M500">
        <v>80725.306854410024</v>
      </c>
      <c r="N500" s="7">
        <v>0</v>
      </c>
      <c r="O500" s="7">
        <v>8</v>
      </c>
      <c r="P500" s="7">
        <v>0</v>
      </c>
      <c r="Q500" s="7">
        <v>0</v>
      </c>
      <c r="R500" s="7">
        <f t="shared" si="44"/>
        <v>8</v>
      </c>
      <c r="S500" t="s">
        <v>36</v>
      </c>
      <c r="T500" s="7">
        <v>0</v>
      </c>
      <c r="U500" s="7">
        <v>15</v>
      </c>
      <c r="V500" s="7">
        <v>0</v>
      </c>
      <c r="W500" s="7">
        <v>3</v>
      </c>
      <c r="X500" s="7">
        <f t="shared" si="45"/>
        <v>18</v>
      </c>
      <c r="Y500" t="s">
        <v>39</v>
      </c>
      <c r="Z500">
        <v>249905.93902965999</v>
      </c>
      <c r="AA500" t="s">
        <v>886</v>
      </c>
      <c r="AB500">
        <v>58</v>
      </c>
      <c r="AC500">
        <v>17</v>
      </c>
      <c r="AD500" t="s">
        <v>248</v>
      </c>
      <c r="AE500" t="s">
        <v>41</v>
      </c>
      <c r="AF500" t="e">
        <v>#N/A</v>
      </c>
      <c r="AG500" s="8">
        <v>526</v>
      </c>
      <c r="AH500">
        <v>10</v>
      </c>
      <c r="AI500">
        <v>3</v>
      </c>
      <c r="AJ500">
        <v>0</v>
      </c>
      <c r="AK500">
        <v>1.9011406844106463E-2</v>
      </c>
      <c r="AL500">
        <v>0.43602072019694738</v>
      </c>
      <c r="AM500">
        <v>-7</v>
      </c>
      <c r="AN500">
        <v>1</v>
      </c>
      <c r="AO500">
        <v>1.25</v>
      </c>
      <c r="AP500">
        <v>0.66666666666666663</v>
      </c>
      <c r="AQ500">
        <v>0</v>
      </c>
      <c r="AR500">
        <v>0</v>
      </c>
      <c r="AS500">
        <v>1</v>
      </c>
      <c r="AT500">
        <v>0</v>
      </c>
      <c r="AU500">
        <v>330631.24588407</v>
      </c>
      <c r="AV500">
        <v>10</v>
      </c>
      <c r="AW500">
        <f t="shared" si="46"/>
        <v>1</v>
      </c>
      <c r="AX500">
        <v>17</v>
      </c>
      <c r="AY500">
        <f t="shared" si="47"/>
        <v>1</v>
      </c>
      <c r="AZ500" t="e">
        <v>#N/A</v>
      </c>
      <c r="BA500">
        <v>11</v>
      </c>
      <c r="BB500">
        <v>2018</v>
      </c>
      <c r="BC500">
        <v>11</v>
      </c>
      <c r="BD500">
        <v>2018</v>
      </c>
      <c r="BE500">
        <v>1</v>
      </c>
      <c r="BF500">
        <v>2018</v>
      </c>
    </row>
    <row r="501" spans="1:58" x14ac:dyDescent="0.2">
      <c r="A501" s="7">
        <v>0</v>
      </c>
      <c r="B501" s="7">
        <v>0</v>
      </c>
      <c r="C501" s="7">
        <v>0</v>
      </c>
      <c r="D501" s="7">
        <v>0</v>
      </c>
      <c r="E501" s="7">
        <f t="shared" si="42"/>
        <v>0</v>
      </c>
      <c r="F501" s="11" t="s">
        <v>66</v>
      </c>
      <c r="G501">
        <v>0</v>
      </c>
      <c r="H501">
        <v>0</v>
      </c>
      <c r="I501">
        <v>0</v>
      </c>
      <c r="J501">
        <v>0</v>
      </c>
      <c r="K501">
        <f t="shared" si="43"/>
        <v>0</v>
      </c>
      <c r="L501" t="s">
        <v>66</v>
      </c>
      <c r="M501">
        <v>106174.00977976</v>
      </c>
      <c r="N501" s="7">
        <v>0</v>
      </c>
      <c r="O501" s="7">
        <v>9</v>
      </c>
      <c r="P501" s="7">
        <v>0</v>
      </c>
      <c r="Q501" s="7">
        <v>0</v>
      </c>
      <c r="R501" s="7">
        <f t="shared" si="44"/>
        <v>9</v>
      </c>
      <c r="S501" t="s">
        <v>54</v>
      </c>
      <c r="T501" s="7">
        <v>2</v>
      </c>
      <c r="U501" s="7">
        <v>11</v>
      </c>
      <c r="V501" s="7">
        <v>1</v>
      </c>
      <c r="W501" s="7">
        <v>5</v>
      </c>
      <c r="X501" s="7">
        <f t="shared" si="45"/>
        <v>19</v>
      </c>
      <c r="Y501" t="s">
        <v>36</v>
      </c>
      <c r="Z501">
        <v>198521.17691695</v>
      </c>
      <c r="AA501" t="s">
        <v>887</v>
      </c>
      <c r="AB501">
        <v>81</v>
      </c>
      <c r="AC501">
        <v>0</v>
      </c>
      <c r="AD501" t="s">
        <v>248</v>
      </c>
      <c r="AE501" t="s">
        <v>41</v>
      </c>
      <c r="AF501" t="e">
        <v>#N/A</v>
      </c>
      <c r="AG501" s="8">
        <v>166</v>
      </c>
      <c r="AH501">
        <v>10</v>
      </c>
      <c r="AI501">
        <v>19</v>
      </c>
      <c r="AJ501">
        <v>0</v>
      </c>
      <c r="AK501">
        <v>6.0240963855421686E-2</v>
      </c>
      <c r="AL501">
        <v>0.77615052570633281</v>
      </c>
      <c r="AM501">
        <v>9</v>
      </c>
      <c r="AN501">
        <v>0</v>
      </c>
      <c r="AO501">
        <v>1.1111111111111112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>
        <v>304695.18669671001</v>
      </c>
      <c r="AV501">
        <v>4</v>
      </c>
      <c r="AW501">
        <f t="shared" si="46"/>
        <v>0</v>
      </c>
      <c r="AX501">
        <v>0</v>
      </c>
      <c r="AY501">
        <f t="shared" si="47"/>
        <v>0</v>
      </c>
      <c r="AZ501" t="e">
        <v>#N/A</v>
      </c>
      <c r="BA501">
        <v>6</v>
      </c>
      <c r="BB501">
        <v>2018</v>
      </c>
      <c r="BC501">
        <v>6</v>
      </c>
      <c r="BD501">
        <v>2018</v>
      </c>
      <c r="BE501">
        <v>1</v>
      </c>
      <c r="BF501">
        <v>2019</v>
      </c>
    </row>
    <row r="502" spans="1:58" x14ac:dyDescent="0.2">
      <c r="A502" s="7">
        <v>5</v>
      </c>
      <c r="B502" s="7">
        <v>13</v>
      </c>
      <c r="C502" s="7">
        <v>2</v>
      </c>
      <c r="D502" s="7">
        <v>2</v>
      </c>
      <c r="E502" s="7">
        <f t="shared" si="42"/>
        <v>22</v>
      </c>
      <c r="F502" s="11" t="s">
        <v>36</v>
      </c>
      <c r="G502">
        <v>5</v>
      </c>
      <c r="H502">
        <v>13</v>
      </c>
      <c r="I502">
        <v>2</v>
      </c>
      <c r="J502">
        <v>2</v>
      </c>
      <c r="K502">
        <f t="shared" si="43"/>
        <v>22</v>
      </c>
      <c r="L502" t="s">
        <v>36</v>
      </c>
      <c r="M502">
        <v>17806.164464469999</v>
      </c>
      <c r="N502" s="7">
        <v>5</v>
      </c>
      <c r="O502" s="7">
        <v>13</v>
      </c>
      <c r="P502" s="7">
        <v>2</v>
      </c>
      <c r="Q502" s="7">
        <v>2</v>
      </c>
      <c r="R502" s="7">
        <f t="shared" si="44"/>
        <v>22</v>
      </c>
      <c r="S502" t="s">
        <v>36</v>
      </c>
      <c r="T502" s="7">
        <v>17</v>
      </c>
      <c r="U502" s="7">
        <v>39</v>
      </c>
      <c r="V502" s="7">
        <v>9</v>
      </c>
      <c r="W502" s="7">
        <v>6</v>
      </c>
      <c r="X502" s="7">
        <f t="shared" si="45"/>
        <v>71</v>
      </c>
      <c r="Y502" t="s">
        <v>36</v>
      </c>
      <c r="Z502">
        <v>164543.66004056</v>
      </c>
      <c r="AA502" t="s">
        <v>888</v>
      </c>
      <c r="AB502">
        <v>72</v>
      </c>
      <c r="AC502">
        <v>0</v>
      </c>
      <c r="AD502" t="s">
        <v>265</v>
      </c>
      <c r="AE502" t="s">
        <v>41</v>
      </c>
      <c r="AF502">
        <v>308</v>
      </c>
      <c r="AG502" s="8">
        <v>203</v>
      </c>
      <c r="AH502">
        <v>49</v>
      </c>
      <c r="AI502">
        <v>49</v>
      </c>
      <c r="AJ502">
        <v>0</v>
      </c>
      <c r="AK502">
        <v>0.2413793103448276</v>
      </c>
      <c r="AL502">
        <v>3.4391257910836224</v>
      </c>
      <c r="AM502">
        <v>0</v>
      </c>
      <c r="AN502">
        <v>0</v>
      </c>
      <c r="AO502">
        <v>2.2272727272727271</v>
      </c>
      <c r="AP502">
        <v>2.2272727272727271</v>
      </c>
      <c r="AQ502">
        <v>9.0909090909090912E-2</v>
      </c>
      <c r="AR502">
        <v>0.22727272727272727</v>
      </c>
      <c r="AS502">
        <v>0.59090909090909094</v>
      </c>
      <c r="AT502">
        <v>9.0909090909090912E-2</v>
      </c>
      <c r="AU502">
        <v>182349.82450503</v>
      </c>
      <c r="AV502">
        <v>12</v>
      </c>
      <c r="AW502">
        <f t="shared" si="46"/>
        <v>1</v>
      </c>
      <c r="AX502">
        <v>0</v>
      </c>
      <c r="AY502">
        <f t="shared" si="47"/>
        <v>0</v>
      </c>
      <c r="AZ502">
        <v>0</v>
      </c>
      <c r="BA502">
        <v>1</v>
      </c>
      <c r="BB502">
        <v>2018</v>
      </c>
      <c r="BC502">
        <v>11</v>
      </c>
      <c r="BD502">
        <v>2018</v>
      </c>
      <c r="BE502">
        <v>11</v>
      </c>
      <c r="BF502">
        <v>2018</v>
      </c>
    </row>
    <row r="503" spans="1:58" x14ac:dyDescent="0.2">
      <c r="A503" s="7">
        <v>6</v>
      </c>
      <c r="B503" s="7">
        <v>15</v>
      </c>
      <c r="C503" s="7">
        <v>0</v>
      </c>
      <c r="D503" s="7">
        <v>0</v>
      </c>
      <c r="E503" s="7">
        <f t="shared" si="42"/>
        <v>21</v>
      </c>
      <c r="F503" s="11" t="s">
        <v>83</v>
      </c>
      <c r="G503">
        <v>6</v>
      </c>
      <c r="H503">
        <v>15</v>
      </c>
      <c r="I503">
        <v>0</v>
      </c>
      <c r="J503">
        <v>0</v>
      </c>
      <c r="K503">
        <f t="shared" si="43"/>
        <v>21</v>
      </c>
      <c r="L503" t="s">
        <v>83</v>
      </c>
      <c r="M503">
        <v>38044.633451460002</v>
      </c>
      <c r="N503" s="7">
        <v>7</v>
      </c>
      <c r="O503" s="7">
        <v>16</v>
      </c>
      <c r="P503" s="7">
        <v>0</v>
      </c>
      <c r="Q503" s="7">
        <v>0</v>
      </c>
      <c r="R503" s="7">
        <f t="shared" si="44"/>
        <v>23</v>
      </c>
      <c r="S503" t="s">
        <v>36</v>
      </c>
      <c r="T503" s="7">
        <v>20</v>
      </c>
      <c r="U503" s="7">
        <v>29</v>
      </c>
      <c r="V503" s="7">
        <v>9</v>
      </c>
      <c r="W503" s="7">
        <v>7</v>
      </c>
      <c r="X503" s="7">
        <f t="shared" si="45"/>
        <v>65</v>
      </c>
      <c r="Y503" t="s">
        <v>36</v>
      </c>
      <c r="Z503">
        <v>218386.41168131999</v>
      </c>
      <c r="AA503" t="s">
        <v>889</v>
      </c>
      <c r="AB503">
        <v>52</v>
      </c>
      <c r="AC503">
        <v>0</v>
      </c>
      <c r="AD503" t="s">
        <v>271</v>
      </c>
      <c r="AE503" t="s">
        <v>41</v>
      </c>
      <c r="AF503" t="e">
        <v>#N/A</v>
      </c>
      <c r="AG503" s="8">
        <v>47</v>
      </c>
      <c r="AH503">
        <v>42</v>
      </c>
      <c r="AI503">
        <v>44</v>
      </c>
      <c r="AJ503">
        <v>0</v>
      </c>
      <c r="AK503">
        <v>0.8936170212765957</v>
      </c>
      <c r="AL503">
        <v>6.1263296429115712</v>
      </c>
      <c r="AM503">
        <v>2</v>
      </c>
      <c r="AN503">
        <v>0</v>
      </c>
      <c r="AO503">
        <v>1.826086956521739</v>
      </c>
      <c r="AP503">
        <v>2</v>
      </c>
      <c r="AQ503">
        <v>0</v>
      </c>
      <c r="AR503">
        <v>0.2857142857142857</v>
      </c>
      <c r="AS503">
        <v>0.7142857142857143</v>
      </c>
      <c r="AT503">
        <v>0</v>
      </c>
      <c r="AU503">
        <v>256431.04513277998</v>
      </c>
      <c r="AV503">
        <v>11</v>
      </c>
      <c r="AW503">
        <f t="shared" si="46"/>
        <v>1</v>
      </c>
      <c r="AX503">
        <v>0</v>
      </c>
      <c r="AY503">
        <f t="shared" si="47"/>
        <v>0</v>
      </c>
      <c r="AZ503" t="e">
        <v>#N/A</v>
      </c>
      <c r="BA503">
        <v>10</v>
      </c>
      <c r="BB503">
        <v>2018</v>
      </c>
      <c r="BC503">
        <v>10</v>
      </c>
      <c r="BD503">
        <v>2018</v>
      </c>
      <c r="BE503">
        <v>11</v>
      </c>
      <c r="BF503">
        <v>2018</v>
      </c>
    </row>
    <row r="504" spans="1:58" x14ac:dyDescent="0.2">
      <c r="A504" s="7">
        <v>11</v>
      </c>
      <c r="B504" s="7">
        <v>10</v>
      </c>
      <c r="C504" s="7">
        <v>5</v>
      </c>
      <c r="D504" s="7">
        <v>5</v>
      </c>
      <c r="E504" s="7">
        <f t="shared" si="42"/>
        <v>31</v>
      </c>
      <c r="F504" s="11" t="s">
        <v>36</v>
      </c>
      <c r="G504">
        <v>14</v>
      </c>
      <c r="H504">
        <v>26</v>
      </c>
      <c r="I504">
        <v>7</v>
      </c>
      <c r="J504">
        <v>5</v>
      </c>
      <c r="K504">
        <f t="shared" si="43"/>
        <v>52</v>
      </c>
      <c r="L504" t="s">
        <v>36</v>
      </c>
      <c r="M504">
        <v>10533.403148040001</v>
      </c>
      <c r="N504" s="7">
        <v>14</v>
      </c>
      <c r="O504" s="7">
        <v>26</v>
      </c>
      <c r="P504" s="7">
        <v>7</v>
      </c>
      <c r="Q504" s="7">
        <v>5</v>
      </c>
      <c r="R504" s="7">
        <f t="shared" si="44"/>
        <v>52</v>
      </c>
      <c r="S504" t="s">
        <v>36</v>
      </c>
      <c r="T504" s="7">
        <v>19</v>
      </c>
      <c r="U504" s="7">
        <v>30</v>
      </c>
      <c r="V504" s="7">
        <v>9</v>
      </c>
      <c r="W504" s="7">
        <v>12</v>
      </c>
      <c r="X504" s="7">
        <f t="shared" si="45"/>
        <v>70</v>
      </c>
      <c r="Y504" t="s">
        <v>36</v>
      </c>
      <c r="Z504">
        <v>71727.585765340016</v>
      </c>
      <c r="AA504" t="s">
        <v>890</v>
      </c>
      <c r="AB504">
        <v>43</v>
      </c>
      <c r="AC504">
        <v>0</v>
      </c>
      <c r="AD504" t="s">
        <v>258</v>
      </c>
      <c r="AE504" t="s">
        <v>41</v>
      </c>
      <c r="AF504">
        <v>16</v>
      </c>
      <c r="AG504" s="8">
        <v>148</v>
      </c>
      <c r="AH504">
        <v>18</v>
      </c>
      <c r="AI504">
        <v>39</v>
      </c>
      <c r="AJ504">
        <v>21</v>
      </c>
      <c r="AK504">
        <v>0.12162162162162163</v>
      </c>
      <c r="AL504">
        <v>1.4795908857482156</v>
      </c>
      <c r="AM504">
        <v>0</v>
      </c>
      <c r="AN504">
        <v>0</v>
      </c>
      <c r="AO504">
        <v>0.34615384615384615</v>
      </c>
      <c r="AP504">
        <v>0.58064516129032262</v>
      </c>
      <c r="AQ504">
        <v>0.16129032258064516</v>
      </c>
      <c r="AR504">
        <v>0.35483870967741937</v>
      </c>
      <c r="AS504">
        <v>0.32258064516129031</v>
      </c>
      <c r="AT504">
        <v>0.16129032258064516</v>
      </c>
      <c r="AU504">
        <v>82260.988913380017</v>
      </c>
      <c r="AV504">
        <v>8</v>
      </c>
      <c r="AW504">
        <f t="shared" si="46"/>
        <v>0</v>
      </c>
      <c r="AX504">
        <v>0</v>
      </c>
      <c r="AY504">
        <f t="shared" si="47"/>
        <v>0</v>
      </c>
      <c r="AZ504">
        <v>0</v>
      </c>
      <c r="BA504">
        <v>10</v>
      </c>
      <c r="BB504">
        <v>2018</v>
      </c>
      <c r="BC504">
        <v>11</v>
      </c>
      <c r="BD504">
        <v>2018</v>
      </c>
      <c r="BE504">
        <v>11</v>
      </c>
      <c r="BF504">
        <v>2018</v>
      </c>
    </row>
    <row r="505" spans="1:58" x14ac:dyDescent="0.2">
      <c r="A505" s="7">
        <v>7</v>
      </c>
      <c r="B505" s="7">
        <v>18</v>
      </c>
      <c r="C505" s="7">
        <v>0</v>
      </c>
      <c r="D505" s="7">
        <v>2</v>
      </c>
      <c r="E505" s="7">
        <f t="shared" si="42"/>
        <v>27</v>
      </c>
      <c r="F505" s="11" t="s">
        <v>36</v>
      </c>
      <c r="G505">
        <v>6</v>
      </c>
      <c r="H505">
        <v>18</v>
      </c>
      <c r="I505">
        <v>0</v>
      </c>
      <c r="J505">
        <v>0</v>
      </c>
      <c r="K505">
        <f t="shared" si="43"/>
        <v>24</v>
      </c>
      <c r="L505" t="s">
        <v>36</v>
      </c>
      <c r="M505">
        <v>47553.855018369999</v>
      </c>
      <c r="N505" s="7">
        <v>7</v>
      </c>
      <c r="O505" s="7">
        <v>18</v>
      </c>
      <c r="P505" s="7">
        <v>0</v>
      </c>
      <c r="Q505" s="7">
        <v>2</v>
      </c>
      <c r="R505" s="7">
        <f t="shared" si="44"/>
        <v>27</v>
      </c>
      <c r="S505" t="s">
        <v>36</v>
      </c>
      <c r="T505" s="7">
        <v>17</v>
      </c>
      <c r="U505" s="7">
        <v>27</v>
      </c>
      <c r="V505" s="7">
        <v>8</v>
      </c>
      <c r="W505" s="7">
        <v>7</v>
      </c>
      <c r="X505" s="7">
        <f t="shared" si="45"/>
        <v>59</v>
      </c>
      <c r="Y505" t="s">
        <v>36</v>
      </c>
      <c r="Z505">
        <v>112458.80718095</v>
      </c>
      <c r="AA505" t="s">
        <v>891</v>
      </c>
      <c r="AB505">
        <v>53</v>
      </c>
      <c r="AC505">
        <v>0</v>
      </c>
      <c r="AD505" t="s">
        <v>258</v>
      </c>
      <c r="AE505" t="s">
        <v>41</v>
      </c>
      <c r="AF505">
        <v>119</v>
      </c>
      <c r="AG505" s="8">
        <v>369</v>
      </c>
      <c r="AH505">
        <v>32</v>
      </c>
      <c r="AI505">
        <v>32</v>
      </c>
      <c r="AJ505">
        <v>-3</v>
      </c>
      <c r="AK505">
        <v>8.6720867208672087E-2</v>
      </c>
      <c r="AL505">
        <v>1.6658534601451314</v>
      </c>
      <c r="AM505">
        <v>3</v>
      </c>
      <c r="AN505">
        <v>0</v>
      </c>
      <c r="AO505">
        <v>1.1851851851851851</v>
      </c>
      <c r="AP505">
        <v>1.1851851851851851</v>
      </c>
      <c r="AQ505">
        <v>7.407407407407407E-2</v>
      </c>
      <c r="AR505">
        <v>0.25925925925925924</v>
      </c>
      <c r="AS505">
        <v>0.66666666666666663</v>
      </c>
      <c r="AT505">
        <v>0</v>
      </c>
      <c r="AU505">
        <v>160012.66219931998</v>
      </c>
      <c r="AV505">
        <v>8</v>
      </c>
      <c r="AW505">
        <f t="shared" si="46"/>
        <v>0</v>
      </c>
      <c r="AX505">
        <v>0</v>
      </c>
      <c r="AY505">
        <f t="shared" si="47"/>
        <v>0</v>
      </c>
      <c r="AZ505">
        <v>0</v>
      </c>
      <c r="BA505">
        <v>1</v>
      </c>
      <c r="BB505">
        <v>2018</v>
      </c>
      <c r="BC505">
        <v>5</v>
      </c>
      <c r="BD505">
        <v>2018</v>
      </c>
      <c r="BE505">
        <v>5</v>
      </c>
      <c r="BF505">
        <v>2018</v>
      </c>
    </row>
    <row r="506" spans="1:58" x14ac:dyDescent="0.2">
      <c r="A506" s="7">
        <v>5</v>
      </c>
      <c r="B506" s="7">
        <v>13</v>
      </c>
      <c r="C506" s="7">
        <v>0</v>
      </c>
      <c r="D506" s="7">
        <v>3</v>
      </c>
      <c r="E506" s="7">
        <f t="shared" si="42"/>
        <v>21</v>
      </c>
      <c r="F506" s="11" t="s">
        <v>36</v>
      </c>
      <c r="G506">
        <v>5</v>
      </c>
      <c r="H506">
        <v>13</v>
      </c>
      <c r="I506">
        <v>0</v>
      </c>
      <c r="J506">
        <v>3</v>
      </c>
      <c r="K506">
        <f t="shared" si="43"/>
        <v>21</v>
      </c>
      <c r="L506" t="s">
        <v>36</v>
      </c>
      <c r="M506">
        <v>26532.35347708</v>
      </c>
      <c r="N506" s="7">
        <v>5</v>
      </c>
      <c r="O506" s="7">
        <v>13</v>
      </c>
      <c r="P506" s="7">
        <v>0</v>
      </c>
      <c r="Q506" s="7">
        <v>3</v>
      </c>
      <c r="R506" s="7">
        <f t="shared" si="44"/>
        <v>21</v>
      </c>
      <c r="S506" t="s">
        <v>36</v>
      </c>
      <c r="T506" s="7">
        <v>20</v>
      </c>
      <c r="U506" s="7">
        <v>30</v>
      </c>
      <c r="V506" s="7">
        <v>9</v>
      </c>
      <c r="W506" s="7">
        <v>8</v>
      </c>
      <c r="X506" s="7">
        <f t="shared" si="45"/>
        <v>67</v>
      </c>
      <c r="Y506" t="s">
        <v>36</v>
      </c>
      <c r="Z506">
        <v>154408.88466504001</v>
      </c>
      <c r="AA506" t="s">
        <v>892</v>
      </c>
      <c r="AB506">
        <v>25</v>
      </c>
      <c r="AC506">
        <v>0</v>
      </c>
      <c r="AD506" t="s">
        <v>248</v>
      </c>
      <c r="AE506" t="s">
        <v>41</v>
      </c>
      <c r="AF506" t="e">
        <v>#N/A</v>
      </c>
      <c r="AG506" s="8">
        <v>245</v>
      </c>
      <c r="AH506">
        <v>46</v>
      </c>
      <c r="AI506">
        <v>46</v>
      </c>
      <c r="AJ506">
        <v>0</v>
      </c>
      <c r="AK506">
        <v>0.18775510204081633</v>
      </c>
      <c r="AL506">
        <v>2.9388321989997235</v>
      </c>
      <c r="AM506">
        <v>0</v>
      </c>
      <c r="AN506">
        <v>0</v>
      </c>
      <c r="AO506">
        <v>2.1904761904761907</v>
      </c>
      <c r="AP506">
        <v>2.1904761904761907</v>
      </c>
      <c r="AQ506">
        <v>0.14285714285714285</v>
      </c>
      <c r="AR506">
        <v>0.23809523809523808</v>
      </c>
      <c r="AS506">
        <v>0.61904761904761907</v>
      </c>
      <c r="AT506">
        <v>0</v>
      </c>
      <c r="AU506">
        <v>180941.23814212001</v>
      </c>
      <c r="AV506">
        <v>8</v>
      </c>
      <c r="AW506">
        <f t="shared" si="46"/>
        <v>0</v>
      </c>
      <c r="AX506">
        <v>0</v>
      </c>
      <c r="AY506">
        <f t="shared" si="47"/>
        <v>0</v>
      </c>
      <c r="AZ506" t="e">
        <v>#N/A</v>
      </c>
      <c r="BA506">
        <v>5</v>
      </c>
      <c r="BB506">
        <v>2018</v>
      </c>
      <c r="BC506">
        <v>5</v>
      </c>
      <c r="BD506">
        <v>2018</v>
      </c>
      <c r="BE506">
        <v>11</v>
      </c>
      <c r="BF506">
        <v>2018</v>
      </c>
    </row>
    <row r="507" spans="1:58" x14ac:dyDescent="0.2">
      <c r="A507" s="7">
        <v>0</v>
      </c>
      <c r="B507" s="7">
        <v>18</v>
      </c>
      <c r="C507" s="7">
        <v>0</v>
      </c>
      <c r="D507" s="7">
        <v>2</v>
      </c>
      <c r="E507" s="7">
        <f t="shared" si="42"/>
        <v>20</v>
      </c>
      <c r="F507" s="11" t="s">
        <v>36</v>
      </c>
      <c r="G507">
        <v>0</v>
      </c>
      <c r="H507">
        <v>18</v>
      </c>
      <c r="I507">
        <v>0</v>
      </c>
      <c r="J507">
        <v>2</v>
      </c>
      <c r="K507">
        <f t="shared" si="43"/>
        <v>20</v>
      </c>
      <c r="L507" t="s">
        <v>36</v>
      </c>
      <c r="M507">
        <v>40649.390467229998</v>
      </c>
      <c r="N507" s="7">
        <v>0</v>
      </c>
      <c r="O507" s="7">
        <v>18</v>
      </c>
      <c r="P507" s="7">
        <v>0</v>
      </c>
      <c r="Q507" s="7">
        <v>2</v>
      </c>
      <c r="R507" s="7">
        <f t="shared" si="44"/>
        <v>20</v>
      </c>
      <c r="S507" t="s">
        <v>36</v>
      </c>
      <c r="T507" s="7">
        <v>6</v>
      </c>
      <c r="U507" s="7">
        <v>15</v>
      </c>
      <c r="V507" s="7">
        <v>2</v>
      </c>
      <c r="W507" s="7">
        <v>2</v>
      </c>
      <c r="X507" s="7">
        <f t="shared" si="45"/>
        <v>25</v>
      </c>
      <c r="Y507" t="e">
        <v>#N/A</v>
      </c>
      <c r="Z507">
        <v>192885.99403552499</v>
      </c>
      <c r="AA507" t="s">
        <v>893</v>
      </c>
      <c r="AB507">
        <v>40</v>
      </c>
      <c r="AC507">
        <v>0</v>
      </c>
      <c r="AD507" t="s">
        <v>254</v>
      </c>
      <c r="AE507" t="s">
        <v>41</v>
      </c>
      <c r="AF507" t="e">
        <v>#N/A</v>
      </c>
      <c r="AG507" s="8">
        <v>549</v>
      </c>
      <c r="AH507">
        <v>5</v>
      </c>
      <c r="AI507">
        <v>5</v>
      </c>
      <c r="AJ507">
        <v>0</v>
      </c>
      <c r="AK507">
        <v>9.1074681238615673E-3</v>
      </c>
      <c r="AL507">
        <v>0.21339479988815996</v>
      </c>
      <c r="AM507">
        <v>0</v>
      </c>
      <c r="AN507">
        <v>0</v>
      </c>
      <c r="AO507">
        <v>0.25</v>
      </c>
      <c r="AP507">
        <v>0.25</v>
      </c>
      <c r="AQ507">
        <v>0.1</v>
      </c>
      <c r="AR507">
        <v>0</v>
      </c>
      <c r="AS507">
        <v>0.9</v>
      </c>
      <c r="AT507">
        <v>0</v>
      </c>
      <c r="AU507">
        <v>233535.38450275498</v>
      </c>
      <c r="AV507">
        <v>8</v>
      </c>
      <c r="AW507">
        <f t="shared" si="46"/>
        <v>0</v>
      </c>
      <c r="AX507">
        <v>0</v>
      </c>
      <c r="AY507">
        <f t="shared" si="47"/>
        <v>0</v>
      </c>
      <c r="AZ507" t="e">
        <v>#N/A</v>
      </c>
      <c r="BA507">
        <v>11</v>
      </c>
      <c r="BB507">
        <v>2018</v>
      </c>
      <c r="BC507">
        <v>11</v>
      </c>
      <c r="BD507">
        <v>2018</v>
      </c>
      <c r="BE507">
        <v>1</v>
      </c>
      <c r="BF507">
        <v>2018</v>
      </c>
    </row>
    <row r="508" spans="1:58" x14ac:dyDescent="0.2">
      <c r="A508" s="7">
        <v>16</v>
      </c>
      <c r="B508" s="7">
        <v>13</v>
      </c>
      <c r="C508" s="7">
        <v>9</v>
      </c>
      <c r="D508" s="7">
        <v>0</v>
      </c>
      <c r="E508" s="7">
        <f t="shared" si="42"/>
        <v>38</v>
      </c>
      <c r="F508" s="11" t="s">
        <v>36</v>
      </c>
      <c r="G508">
        <v>16</v>
      </c>
      <c r="H508">
        <v>13</v>
      </c>
      <c r="I508">
        <v>9</v>
      </c>
      <c r="J508">
        <v>0</v>
      </c>
      <c r="K508">
        <f t="shared" si="43"/>
        <v>38</v>
      </c>
      <c r="L508" t="s">
        <v>36</v>
      </c>
      <c r="M508">
        <v>12550.420541969999</v>
      </c>
      <c r="N508" s="7">
        <v>16</v>
      </c>
      <c r="O508" s="7">
        <v>13</v>
      </c>
      <c r="P508" s="7">
        <v>9</v>
      </c>
      <c r="Q508" s="7">
        <v>0</v>
      </c>
      <c r="R508" s="7">
        <f t="shared" si="44"/>
        <v>38</v>
      </c>
      <c r="S508" t="s">
        <v>36</v>
      </c>
      <c r="T508" s="7">
        <v>20</v>
      </c>
      <c r="U508" s="7">
        <v>34</v>
      </c>
      <c r="V508" s="7">
        <v>9</v>
      </c>
      <c r="W508" s="7">
        <v>13</v>
      </c>
      <c r="X508" s="7">
        <f t="shared" si="45"/>
        <v>76</v>
      </c>
      <c r="Y508" t="s">
        <v>36</v>
      </c>
      <c r="Z508">
        <v>67715.756380920007</v>
      </c>
      <c r="AA508" t="s">
        <v>894</v>
      </c>
      <c r="AB508">
        <v>75</v>
      </c>
      <c r="AC508">
        <v>0</v>
      </c>
      <c r="AD508" t="s">
        <v>131</v>
      </c>
      <c r="AE508" t="s">
        <v>75</v>
      </c>
      <c r="AF508">
        <v>335</v>
      </c>
      <c r="AG508" s="8">
        <v>96</v>
      </c>
      <c r="AH508">
        <v>38</v>
      </c>
      <c r="AI508">
        <v>38</v>
      </c>
      <c r="AJ508">
        <v>0</v>
      </c>
      <c r="AK508">
        <v>0.39583333333333331</v>
      </c>
      <c r="AL508">
        <v>3.8783587594066988</v>
      </c>
      <c r="AM508">
        <v>0</v>
      </c>
      <c r="AN508">
        <v>0</v>
      </c>
      <c r="AO508">
        <v>1</v>
      </c>
      <c r="AP508">
        <v>1</v>
      </c>
      <c r="AQ508">
        <v>0</v>
      </c>
      <c r="AR508">
        <v>0.42105263157894735</v>
      </c>
      <c r="AS508">
        <v>0.34210526315789475</v>
      </c>
      <c r="AT508">
        <v>0.23684210526315788</v>
      </c>
      <c r="AU508">
        <v>80266.176922890008</v>
      </c>
      <c r="AV508">
        <v>13</v>
      </c>
      <c r="AW508">
        <f t="shared" si="46"/>
        <v>1</v>
      </c>
      <c r="AX508">
        <v>0</v>
      </c>
      <c r="AY508">
        <f t="shared" si="47"/>
        <v>0</v>
      </c>
      <c r="AZ508">
        <v>0</v>
      </c>
      <c r="BA508">
        <v>1</v>
      </c>
      <c r="BB508">
        <v>2018</v>
      </c>
      <c r="BC508">
        <v>12</v>
      </c>
      <c r="BD508">
        <v>2018</v>
      </c>
      <c r="BE508">
        <v>12</v>
      </c>
      <c r="BF508">
        <v>2018</v>
      </c>
    </row>
    <row r="509" spans="1:58" x14ac:dyDescent="0.2">
      <c r="A509" s="7">
        <v>1</v>
      </c>
      <c r="B509" s="7">
        <v>17</v>
      </c>
      <c r="C509" s="7">
        <v>0</v>
      </c>
      <c r="D509" s="7">
        <v>0</v>
      </c>
      <c r="E509" s="7">
        <f t="shared" si="42"/>
        <v>18</v>
      </c>
      <c r="F509" s="11" t="s">
        <v>36</v>
      </c>
      <c r="G509">
        <v>1</v>
      </c>
      <c r="H509">
        <v>17</v>
      </c>
      <c r="I509">
        <v>0</v>
      </c>
      <c r="J509">
        <v>0</v>
      </c>
      <c r="K509">
        <f t="shared" si="43"/>
        <v>18</v>
      </c>
      <c r="L509" t="s">
        <v>36</v>
      </c>
      <c r="M509">
        <v>32664.321009520001</v>
      </c>
      <c r="N509" s="7">
        <v>3</v>
      </c>
      <c r="O509" s="7">
        <v>17</v>
      </c>
      <c r="P509" s="7">
        <v>1</v>
      </c>
      <c r="Q509" s="7">
        <v>0</v>
      </c>
      <c r="R509" s="7">
        <f t="shared" si="44"/>
        <v>21</v>
      </c>
      <c r="S509" t="s">
        <v>66</v>
      </c>
      <c r="T509" s="7">
        <v>1</v>
      </c>
      <c r="U509" s="7">
        <v>22</v>
      </c>
      <c r="V509" s="7">
        <v>2</v>
      </c>
      <c r="W509" s="7">
        <v>1</v>
      </c>
      <c r="X509" s="7">
        <f t="shared" si="45"/>
        <v>26</v>
      </c>
      <c r="Y509" t="s">
        <v>53</v>
      </c>
      <c r="Z509">
        <v>150255.68906460999</v>
      </c>
      <c r="AA509" t="s">
        <v>895</v>
      </c>
      <c r="AB509">
        <v>59</v>
      </c>
      <c r="AC509">
        <v>0</v>
      </c>
      <c r="AD509" t="s">
        <v>272</v>
      </c>
      <c r="AE509" t="s">
        <v>41</v>
      </c>
      <c r="AF509">
        <v>20</v>
      </c>
      <c r="AG509" s="8">
        <v>104</v>
      </c>
      <c r="AH509">
        <v>5</v>
      </c>
      <c r="AI509">
        <v>8</v>
      </c>
      <c r="AJ509">
        <v>0</v>
      </c>
      <c r="AK509">
        <v>4.807692307692308E-2</v>
      </c>
      <c r="AL509">
        <v>0.49029033784546011</v>
      </c>
      <c r="AM509">
        <v>3</v>
      </c>
      <c r="AN509">
        <v>0</v>
      </c>
      <c r="AO509">
        <v>0.23809523809523808</v>
      </c>
      <c r="AP509">
        <v>0.27777777777777779</v>
      </c>
      <c r="AQ509">
        <v>0</v>
      </c>
      <c r="AR509">
        <v>5.5555555555555552E-2</v>
      </c>
      <c r="AS509">
        <v>0.94444444444444442</v>
      </c>
      <c r="AT509">
        <v>0</v>
      </c>
      <c r="AU509">
        <v>182920.01007413</v>
      </c>
      <c r="AV509">
        <v>11</v>
      </c>
      <c r="AW509">
        <f t="shared" si="46"/>
        <v>1</v>
      </c>
      <c r="AX509">
        <v>0</v>
      </c>
      <c r="AY509">
        <f t="shared" si="47"/>
        <v>0</v>
      </c>
      <c r="AZ509">
        <v>0</v>
      </c>
      <c r="BA509">
        <v>11</v>
      </c>
      <c r="BB509">
        <v>2018</v>
      </c>
      <c r="BC509">
        <v>12</v>
      </c>
      <c r="BD509">
        <v>2018</v>
      </c>
      <c r="BE509">
        <v>1</v>
      </c>
      <c r="BF509">
        <v>2019</v>
      </c>
    </row>
    <row r="510" spans="1:58" x14ac:dyDescent="0.2">
      <c r="A510" s="7">
        <v>8</v>
      </c>
      <c r="B510" s="7">
        <v>18</v>
      </c>
      <c r="C510" s="7">
        <v>0</v>
      </c>
      <c r="D510" s="7">
        <v>0</v>
      </c>
      <c r="E510" s="7">
        <f t="shared" si="42"/>
        <v>26</v>
      </c>
      <c r="F510" s="11" t="s">
        <v>39</v>
      </c>
      <c r="G510">
        <v>8</v>
      </c>
      <c r="H510">
        <v>18</v>
      </c>
      <c r="I510">
        <v>0</v>
      </c>
      <c r="J510">
        <v>0</v>
      </c>
      <c r="K510">
        <f t="shared" si="43"/>
        <v>26</v>
      </c>
      <c r="L510" t="s">
        <v>39</v>
      </c>
      <c r="M510">
        <v>21190.503480830001</v>
      </c>
      <c r="N510" s="7">
        <v>8</v>
      </c>
      <c r="O510" s="7">
        <v>18</v>
      </c>
      <c r="P510" s="7">
        <v>0</v>
      </c>
      <c r="Q510" s="7">
        <v>0</v>
      </c>
      <c r="R510" s="7">
        <f t="shared" si="44"/>
        <v>26</v>
      </c>
      <c r="S510" t="s">
        <v>39</v>
      </c>
      <c r="T510" s="7">
        <v>16</v>
      </c>
      <c r="U510" s="7">
        <v>33</v>
      </c>
      <c r="V510" s="7">
        <v>5</v>
      </c>
      <c r="W510" s="7">
        <v>7</v>
      </c>
      <c r="X510" s="7">
        <f t="shared" si="45"/>
        <v>61</v>
      </c>
      <c r="Y510" t="s">
        <v>36</v>
      </c>
      <c r="Z510">
        <v>205482.71389913</v>
      </c>
      <c r="AA510" t="s">
        <v>896</v>
      </c>
      <c r="AB510">
        <v>24</v>
      </c>
      <c r="AC510">
        <v>0</v>
      </c>
      <c r="AD510" t="s">
        <v>258</v>
      </c>
      <c r="AE510" t="s">
        <v>75</v>
      </c>
      <c r="AF510" t="e">
        <v>#N/A</v>
      </c>
      <c r="AG510" s="8">
        <v>287</v>
      </c>
      <c r="AH510">
        <v>35</v>
      </c>
      <c r="AI510">
        <v>35</v>
      </c>
      <c r="AJ510">
        <v>0</v>
      </c>
      <c r="AK510">
        <v>0.12195121951219512</v>
      </c>
      <c r="AL510">
        <v>2.0659846763533434</v>
      </c>
      <c r="AM510">
        <v>0</v>
      </c>
      <c r="AN510">
        <v>0</v>
      </c>
      <c r="AO510">
        <v>1.3461538461538463</v>
      </c>
      <c r="AP510">
        <v>1.3461538461538463</v>
      </c>
      <c r="AQ510">
        <v>0</v>
      </c>
      <c r="AR510">
        <v>0.30769230769230771</v>
      </c>
      <c r="AS510">
        <v>0.69230769230769229</v>
      </c>
      <c r="AT510">
        <v>0</v>
      </c>
      <c r="AU510">
        <v>226673.21737996</v>
      </c>
      <c r="AV510">
        <v>10</v>
      </c>
      <c r="AW510">
        <f t="shared" si="46"/>
        <v>1</v>
      </c>
      <c r="AX510">
        <v>0</v>
      </c>
      <c r="AY510">
        <f t="shared" si="47"/>
        <v>0</v>
      </c>
      <c r="AZ510" t="e">
        <v>#N/A</v>
      </c>
      <c r="BA510">
        <v>6</v>
      </c>
      <c r="BB510">
        <v>2018</v>
      </c>
      <c r="BC510">
        <v>6</v>
      </c>
      <c r="BD510">
        <v>2018</v>
      </c>
      <c r="BE510">
        <v>11</v>
      </c>
      <c r="BF510">
        <v>2018</v>
      </c>
    </row>
    <row r="511" spans="1:58" x14ac:dyDescent="0.2">
      <c r="A511" s="7">
        <v>9</v>
      </c>
      <c r="B511" s="7">
        <v>10</v>
      </c>
      <c r="C511" s="7">
        <v>0</v>
      </c>
      <c r="D511" s="7">
        <v>4</v>
      </c>
      <c r="E511" s="7">
        <f t="shared" si="42"/>
        <v>23</v>
      </c>
      <c r="F511" s="11" t="s">
        <v>36</v>
      </c>
      <c r="G511">
        <v>9</v>
      </c>
      <c r="H511">
        <v>10</v>
      </c>
      <c r="I511">
        <v>0</v>
      </c>
      <c r="J511">
        <v>0</v>
      </c>
      <c r="K511">
        <f t="shared" si="43"/>
        <v>19</v>
      </c>
      <c r="L511" t="s">
        <v>36</v>
      </c>
      <c r="M511">
        <v>19065.250728290001</v>
      </c>
      <c r="N511" s="7">
        <v>9</v>
      </c>
      <c r="O511" s="7">
        <v>10</v>
      </c>
      <c r="P511" s="7">
        <v>0</v>
      </c>
      <c r="Q511" s="7">
        <v>4</v>
      </c>
      <c r="R511" s="7">
        <f t="shared" si="44"/>
        <v>23</v>
      </c>
      <c r="S511" t="s">
        <v>36</v>
      </c>
      <c r="T511" s="7">
        <v>7</v>
      </c>
      <c r="U511" s="7">
        <v>18</v>
      </c>
      <c r="V511" s="7">
        <v>1</v>
      </c>
      <c r="W511" s="7">
        <v>5</v>
      </c>
      <c r="X511" s="7">
        <f t="shared" si="45"/>
        <v>31</v>
      </c>
      <c r="Y511" t="s">
        <v>36</v>
      </c>
      <c r="Z511">
        <v>45103.861809599999</v>
      </c>
      <c r="AA511" t="s">
        <v>897</v>
      </c>
      <c r="AB511">
        <v>85</v>
      </c>
      <c r="AC511">
        <v>3</v>
      </c>
      <c r="AD511" t="s">
        <v>273</v>
      </c>
      <c r="AE511" t="s">
        <v>41</v>
      </c>
      <c r="AF511">
        <v>308</v>
      </c>
      <c r="AG511" s="8">
        <v>235</v>
      </c>
      <c r="AH511">
        <v>8</v>
      </c>
      <c r="AI511">
        <v>8</v>
      </c>
      <c r="AJ511">
        <v>-4</v>
      </c>
      <c r="AK511">
        <v>3.4042553191489362E-2</v>
      </c>
      <c r="AL511">
        <v>0.52186245844275381</v>
      </c>
      <c r="AM511">
        <v>4</v>
      </c>
      <c r="AN511">
        <v>0</v>
      </c>
      <c r="AO511">
        <v>0.34782608695652173</v>
      </c>
      <c r="AP511">
        <v>0.34782608695652173</v>
      </c>
      <c r="AQ511">
        <v>0.17391304347826086</v>
      </c>
      <c r="AR511">
        <v>0.39130434782608697</v>
      </c>
      <c r="AS511">
        <v>0.43478260869565216</v>
      </c>
      <c r="AT511">
        <v>0</v>
      </c>
      <c r="AU511">
        <v>64169.112537890003</v>
      </c>
      <c r="AV511">
        <v>16</v>
      </c>
      <c r="AW511">
        <f t="shared" si="46"/>
        <v>1</v>
      </c>
      <c r="AX511">
        <v>3</v>
      </c>
      <c r="AY511">
        <f t="shared" si="47"/>
        <v>1</v>
      </c>
      <c r="AZ511">
        <v>9.74025974025974E-3</v>
      </c>
      <c r="BA511">
        <v>1</v>
      </c>
      <c r="BB511">
        <v>2018</v>
      </c>
      <c r="BC511">
        <v>11</v>
      </c>
      <c r="BD511">
        <v>2018</v>
      </c>
      <c r="BE511">
        <v>5</v>
      </c>
      <c r="BF511">
        <v>2018</v>
      </c>
    </row>
    <row r="512" spans="1:58" x14ac:dyDescent="0.2">
      <c r="A512" s="7">
        <v>8</v>
      </c>
      <c r="B512" s="7">
        <v>5</v>
      </c>
      <c r="C512" s="7">
        <v>0</v>
      </c>
      <c r="D512" s="7">
        <v>3</v>
      </c>
      <c r="E512" s="7">
        <f t="shared" si="42"/>
        <v>16</v>
      </c>
      <c r="F512" s="11" t="s">
        <v>60</v>
      </c>
      <c r="G512">
        <v>8</v>
      </c>
      <c r="H512">
        <v>5</v>
      </c>
      <c r="I512">
        <v>0</v>
      </c>
      <c r="J512">
        <v>3</v>
      </c>
      <c r="K512">
        <f t="shared" si="43"/>
        <v>16</v>
      </c>
      <c r="L512" t="s">
        <v>60</v>
      </c>
      <c r="M512">
        <v>20608.906737329999</v>
      </c>
      <c r="N512" s="7">
        <v>8</v>
      </c>
      <c r="O512" s="7">
        <v>5</v>
      </c>
      <c r="P512" s="7">
        <v>0</v>
      </c>
      <c r="Q512" s="7">
        <v>3</v>
      </c>
      <c r="R512" s="7">
        <f t="shared" si="44"/>
        <v>16</v>
      </c>
      <c r="S512" t="s">
        <v>39</v>
      </c>
      <c r="T512" s="7">
        <v>20</v>
      </c>
      <c r="U512" s="7">
        <v>40</v>
      </c>
      <c r="V512" s="7">
        <v>9</v>
      </c>
      <c r="W512" s="7">
        <v>18</v>
      </c>
      <c r="X512" s="7">
        <f t="shared" si="45"/>
        <v>87</v>
      </c>
      <c r="Y512" t="s">
        <v>36</v>
      </c>
      <c r="Z512">
        <v>84524.695532810001</v>
      </c>
      <c r="AA512" t="s">
        <v>898</v>
      </c>
      <c r="AB512">
        <v>20</v>
      </c>
      <c r="AC512">
        <v>0</v>
      </c>
      <c r="AD512" t="s">
        <v>254</v>
      </c>
      <c r="AE512" t="s">
        <v>41</v>
      </c>
      <c r="AF512" t="e">
        <v>#N/A</v>
      </c>
      <c r="AG512" s="8">
        <v>45</v>
      </c>
      <c r="AH512">
        <v>71</v>
      </c>
      <c r="AI512">
        <v>71</v>
      </c>
      <c r="AJ512">
        <v>0</v>
      </c>
      <c r="AK512">
        <v>1.5777777777777777</v>
      </c>
      <c r="AL512">
        <v>10.584055093499003</v>
      </c>
      <c r="AM512">
        <v>0</v>
      </c>
      <c r="AN512">
        <v>0</v>
      </c>
      <c r="AO512">
        <v>4.4375</v>
      </c>
      <c r="AP512">
        <v>4.4375</v>
      </c>
      <c r="AQ512">
        <v>0.1875</v>
      </c>
      <c r="AR512">
        <v>0.5</v>
      </c>
      <c r="AS512">
        <v>0.3125</v>
      </c>
      <c r="AT512">
        <v>0</v>
      </c>
      <c r="AU512">
        <v>105133.60227013999</v>
      </c>
      <c r="AV512">
        <v>4</v>
      </c>
      <c r="AW512">
        <f t="shared" si="46"/>
        <v>0</v>
      </c>
      <c r="AX512">
        <v>0</v>
      </c>
      <c r="AY512">
        <f t="shared" si="47"/>
        <v>0</v>
      </c>
      <c r="AZ512" t="e">
        <v>#N/A</v>
      </c>
      <c r="BA512">
        <v>9</v>
      </c>
      <c r="BB512">
        <v>2018</v>
      </c>
      <c r="BC512">
        <v>9</v>
      </c>
      <c r="BD512">
        <v>2018</v>
      </c>
      <c r="BE512">
        <v>11</v>
      </c>
      <c r="BF512">
        <v>2018</v>
      </c>
    </row>
    <row r="513" spans="1:58" x14ac:dyDescent="0.2">
      <c r="A513" s="7">
        <v>12</v>
      </c>
      <c r="B513" s="7">
        <v>18</v>
      </c>
      <c r="C513" s="7">
        <v>0</v>
      </c>
      <c r="D513" s="7">
        <v>4</v>
      </c>
      <c r="E513" s="7">
        <f t="shared" si="42"/>
        <v>34</v>
      </c>
      <c r="F513" s="11" t="s">
        <v>36</v>
      </c>
      <c r="G513">
        <v>12</v>
      </c>
      <c r="H513">
        <v>18</v>
      </c>
      <c r="I513">
        <v>0</v>
      </c>
      <c r="J513">
        <v>4</v>
      </c>
      <c r="K513">
        <f t="shared" si="43"/>
        <v>34</v>
      </c>
      <c r="L513" t="s">
        <v>36</v>
      </c>
      <c r="M513">
        <v>26359.792865520001</v>
      </c>
      <c r="N513" s="7">
        <v>13</v>
      </c>
      <c r="O513" s="7">
        <v>18</v>
      </c>
      <c r="P513" s="7">
        <v>2</v>
      </c>
      <c r="Q513" s="7">
        <v>4</v>
      </c>
      <c r="R513" s="7">
        <f t="shared" si="44"/>
        <v>37</v>
      </c>
      <c r="S513" t="s">
        <v>36</v>
      </c>
      <c r="T513" s="7">
        <v>17</v>
      </c>
      <c r="U513" s="7">
        <v>34</v>
      </c>
      <c r="V513" s="7">
        <v>7</v>
      </c>
      <c r="W513" s="7">
        <v>6</v>
      </c>
      <c r="X513" s="7">
        <f t="shared" si="45"/>
        <v>64</v>
      </c>
      <c r="Y513" t="s">
        <v>36</v>
      </c>
      <c r="Z513">
        <v>111546.68698119999</v>
      </c>
      <c r="AA513" t="s">
        <v>899</v>
      </c>
      <c r="AB513">
        <v>57</v>
      </c>
      <c r="AC513">
        <v>0</v>
      </c>
      <c r="AD513" t="s">
        <v>258</v>
      </c>
      <c r="AE513" t="s">
        <v>41</v>
      </c>
      <c r="AF513" t="e">
        <v>#N/A</v>
      </c>
      <c r="AG513" s="8">
        <v>570</v>
      </c>
      <c r="AH513">
        <v>27</v>
      </c>
      <c r="AI513">
        <v>30</v>
      </c>
      <c r="AJ513">
        <v>0</v>
      </c>
      <c r="AK513">
        <v>4.736842105263158E-2</v>
      </c>
      <c r="AL513">
        <v>1.1309055523875777</v>
      </c>
      <c r="AM513">
        <v>3</v>
      </c>
      <c r="AN513">
        <v>0</v>
      </c>
      <c r="AO513">
        <v>0.72972972972972971</v>
      </c>
      <c r="AP513">
        <v>0.79411764705882348</v>
      </c>
      <c r="AQ513">
        <v>0.11764705882352941</v>
      </c>
      <c r="AR513">
        <v>0.35294117647058826</v>
      </c>
      <c r="AS513">
        <v>0.52941176470588236</v>
      </c>
      <c r="AT513">
        <v>0</v>
      </c>
      <c r="AU513">
        <v>137906.47984672</v>
      </c>
      <c r="AV513">
        <v>7</v>
      </c>
      <c r="AW513">
        <f t="shared" si="46"/>
        <v>0</v>
      </c>
      <c r="AX513">
        <v>0</v>
      </c>
      <c r="AY513">
        <f t="shared" si="47"/>
        <v>0</v>
      </c>
      <c r="AZ513" t="e">
        <v>#N/A</v>
      </c>
      <c r="BA513">
        <v>11</v>
      </c>
      <c r="BB513">
        <v>2018</v>
      </c>
      <c r="BC513">
        <v>11</v>
      </c>
      <c r="BD513">
        <v>2018</v>
      </c>
      <c r="BE513">
        <v>1</v>
      </c>
      <c r="BF513">
        <v>2018</v>
      </c>
    </row>
    <row r="514" spans="1:58" x14ac:dyDescent="0.2">
      <c r="A514" s="7">
        <v>6</v>
      </c>
      <c r="B514" s="7">
        <v>10</v>
      </c>
      <c r="C514" s="7">
        <v>2</v>
      </c>
      <c r="D514" s="7">
        <v>0</v>
      </c>
      <c r="E514" s="7">
        <f t="shared" ref="E514:E577" si="48">SUM(A514,B514,C514,D514)</f>
        <v>18</v>
      </c>
      <c r="F514" s="11" t="s">
        <v>36</v>
      </c>
      <c r="G514">
        <v>7</v>
      </c>
      <c r="H514">
        <v>16</v>
      </c>
      <c r="I514">
        <v>0</v>
      </c>
      <c r="J514">
        <v>0</v>
      </c>
      <c r="K514">
        <f t="shared" ref="K514:K577" si="49">SUM(G514,H514,I514,J514)</f>
        <v>23</v>
      </c>
      <c r="L514" t="s">
        <v>36</v>
      </c>
      <c r="M514">
        <v>34644.025373299999</v>
      </c>
      <c r="N514" s="7">
        <v>11</v>
      </c>
      <c r="O514" s="7">
        <v>26</v>
      </c>
      <c r="P514" s="7">
        <v>2</v>
      </c>
      <c r="Q514" s="7">
        <v>4</v>
      </c>
      <c r="R514" s="7">
        <f t="shared" ref="R514:R577" si="50">SUM(N514,O514,P514,Q514)</f>
        <v>43</v>
      </c>
      <c r="S514" t="s">
        <v>36</v>
      </c>
      <c r="T514" s="7">
        <v>16</v>
      </c>
      <c r="U514" s="7">
        <v>30</v>
      </c>
      <c r="V514" s="7">
        <v>6</v>
      </c>
      <c r="W514" s="7">
        <v>5</v>
      </c>
      <c r="X514" s="7">
        <f t="shared" ref="X514:X577" si="51">SUM(T514,U514,V514,W514)</f>
        <v>57</v>
      </c>
      <c r="Y514" t="s">
        <v>36</v>
      </c>
      <c r="Z514">
        <v>38467.594860889993</v>
      </c>
      <c r="AA514" t="s">
        <v>899</v>
      </c>
      <c r="AB514">
        <v>57</v>
      </c>
      <c r="AC514">
        <v>237</v>
      </c>
      <c r="AD514" t="s">
        <v>117</v>
      </c>
      <c r="AE514" t="s">
        <v>41</v>
      </c>
      <c r="AF514">
        <v>169</v>
      </c>
      <c r="AG514" s="8">
        <v>235</v>
      </c>
      <c r="AH514">
        <v>14</v>
      </c>
      <c r="AI514">
        <v>39</v>
      </c>
      <c r="AJ514">
        <v>5</v>
      </c>
      <c r="AK514">
        <v>5.9574468085106386E-2</v>
      </c>
      <c r="AL514">
        <v>0.91325930227481911</v>
      </c>
      <c r="AM514">
        <v>20</v>
      </c>
      <c r="AN514">
        <v>0</v>
      </c>
      <c r="AO514">
        <v>0.32558139534883723</v>
      </c>
      <c r="AP514">
        <v>0.77777777777777779</v>
      </c>
      <c r="AQ514">
        <v>0</v>
      </c>
      <c r="AR514">
        <v>0.33333333333333331</v>
      </c>
      <c r="AS514">
        <v>0.55555555555555558</v>
      </c>
      <c r="AT514">
        <v>0.1111111111111111</v>
      </c>
      <c r="AU514">
        <v>73111.620234189992</v>
      </c>
      <c r="AV514">
        <v>8</v>
      </c>
      <c r="AW514">
        <f t="shared" si="46"/>
        <v>0</v>
      </c>
      <c r="AX514">
        <v>237</v>
      </c>
      <c r="AY514">
        <f t="shared" si="47"/>
        <v>1</v>
      </c>
      <c r="AZ514">
        <v>1.4023668639053255</v>
      </c>
      <c r="BA514">
        <v>1</v>
      </c>
      <c r="BB514">
        <v>2019</v>
      </c>
      <c r="BC514">
        <v>6</v>
      </c>
      <c r="BD514">
        <v>2019</v>
      </c>
      <c r="BE514">
        <v>1</v>
      </c>
      <c r="BF514">
        <v>2019</v>
      </c>
    </row>
    <row r="515" spans="1:58" x14ac:dyDescent="0.2">
      <c r="A515" s="7">
        <v>3</v>
      </c>
      <c r="B515" s="7">
        <v>10</v>
      </c>
      <c r="C515" s="7">
        <v>2</v>
      </c>
      <c r="D515" s="7">
        <v>5</v>
      </c>
      <c r="E515" s="7">
        <f t="shared" si="48"/>
        <v>20</v>
      </c>
      <c r="F515" s="11" t="e">
        <v>#N/A</v>
      </c>
      <c r="G515">
        <v>3</v>
      </c>
      <c r="H515">
        <v>10</v>
      </c>
      <c r="I515">
        <v>2</v>
      </c>
      <c r="J515">
        <v>5</v>
      </c>
      <c r="K515">
        <f t="shared" si="49"/>
        <v>20</v>
      </c>
      <c r="L515" t="e">
        <v>#N/A</v>
      </c>
      <c r="M515">
        <v>14025.493057019999</v>
      </c>
      <c r="N515" s="7">
        <v>2</v>
      </c>
      <c r="O515" s="7">
        <v>10</v>
      </c>
      <c r="P515" s="7">
        <v>0</v>
      </c>
      <c r="Q515" s="7">
        <v>3</v>
      </c>
      <c r="R515" s="7">
        <f t="shared" si="50"/>
        <v>15</v>
      </c>
      <c r="S515" t="e">
        <v>#N/A</v>
      </c>
      <c r="T515" s="7">
        <v>3</v>
      </c>
      <c r="U515" s="7">
        <v>15</v>
      </c>
      <c r="V515" s="7">
        <v>0</v>
      </c>
      <c r="W515" s="7">
        <v>3</v>
      </c>
      <c r="X515" s="7">
        <f t="shared" si="51"/>
        <v>21</v>
      </c>
      <c r="Y515" t="e">
        <v>#N/A</v>
      </c>
      <c r="Z515">
        <v>42026.396515799999</v>
      </c>
      <c r="AA515" t="s">
        <v>274</v>
      </c>
      <c r="AB515">
        <v>41</v>
      </c>
      <c r="AC515">
        <v>0</v>
      </c>
      <c r="AD515" t="s">
        <v>82</v>
      </c>
      <c r="AE515" t="s">
        <v>41</v>
      </c>
      <c r="AF515" t="e">
        <v>#N/A</v>
      </c>
      <c r="AG515" s="8">
        <v>184</v>
      </c>
      <c r="AH515">
        <v>6</v>
      </c>
      <c r="AI515">
        <v>1</v>
      </c>
      <c r="AJ515">
        <v>0</v>
      </c>
      <c r="AK515">
        <v>3.2608695652173912E-2</v>
      </c>
      <c r="AL515">
        <v>0.44232586846469141</v>
      </c>
      <c r="AM515">
        <v>-5</v>
      </c>
      <c r="AN515">
        <v>1</v>
      </c>
      <c r="AO515">
        <v>0.4</v>
      </c>
      <c r="AP515">
        <v>0.3</v>
      </c>
      <c r="AQ515">
        <v>0.25</v>
      </c>
      <c r="AR515">
        <v>0.15</v>
      </c>
      <c r="AS515">
        <v>0.5</v>
      </c>
      <c r="AT515">
        <v>0.1</v>
      </c>
      <c r="AU515">
        <v>56051.88957282</v>
      </c>
      <c r="AV515">
        <v>6</v>
      </c>
      <c r="AW515">
        <f t="shared" ref="AW515:AW578" si="52">IF(AV515="n/a","n/a",IF(AV515&gt;=10,1,0))</f>
        <v>0</v>
      </c>
      <c r="AX515">
        <v>0</v>
      </c>
      <c r="AY515">
        <f t="shared" ref="AY515:AY578" si="53">IF(
  ISBLANK(AX515),
  NA(),
  IF(AX515&gt;0, 1, 0)
)</f>
        <v>0</v>
      </c>
      <c r="AZ515" t="e">
        <v>#N/A</v>
      </c>
      <c r="BA515">
        <v>1</v>
      </c>
      <c r="BB515">
        <v>2020</v>
      </c>
      <c r="BC515">
        <v>1</v>
      </c>
      <c r="BD515">
        <v>2020</v>
      </c>
      <c r="BE515">
        <v>4</v>
      </c>
      <c r="BF515">
        <v>2020</v>
      </c>
    </row>
    <row r="516" spans="1:58" x14ac:dyDescent="0.2">
      <c r="A516" s="7">
        <v>20</v>
      </c>
      <c r="B516" s="7">
        <v>36</v>
      </c>
      <c r="C516" s="7">
        <v>9</v>
      </c>
      <c r="D516" s="7">
        <v>11</v>
      </c>
      <c r="E516" s="7">
        <f t="shared" si="48"/>
        <v>76</v>
      </c>
      <c r="F516" s="11" t="s">
        <v>39</v>
      </c>
      <c r="G516">
        <v>20</v>
      </c>
      <c r="H516">
        <v>36</v>
      </c>
      <c r="I516">
        <v>9</v>
      </c>
      <c r="J516">
        <v>11</v>
      </c>
      <c r="K516">
        <f t="shared" si="49"/>
        <v>76</v>
      </c>
      <c r="L516" t="s">
        <v>39</v>
      </c>
      <c r="M516">
        <v>6037.8485773800003</v>
      </c>
      <c r="N516" s="7">
        <v>20</v>
      </c>
      <c r="O516" s="7">
        <v>36</v>
      </c>
      <c r="P516" s="7">
        <v>9</v>
      </c>
      <c r="Q516" s="7">
        <v>11</v>
      </c>
      <c r="R516" s="7">
        <f t="shared" si="50"/>
        <v>76</v>
      </c>
      <c r="S516" t="s">
        <v>39</v>
      </c>
      <c r="T516" s="7">
        <v>20</v>
      </c>
      <c r="U516" s="7">
        <v>36</v>
      </c>
      <c r="V516" s="7">
        <v>9</v>
      </c>
      <c r="W516" s="7">
        <v>11</v>
      </c>
      <c r="X516" s="7">
        <f t="shared" si="51"/>
        <v>76</v>
      </c>
      <c r="Y516" t="s">
        <v>39</v>
      </c>
      <c r="Z516">
        <v>504.18864000000002</v>
      </c>
      <c r="AA516" t="s">
        <v>900</v>
      </c>
      <c r="AB516">
        <v>42</v>
      </c>
      <c r="AC516">
        <v>0</v>
      </c>
      <c r="AD516" t="s">
        <v>57</v>
      </c>
      <c r="AE516" t="s">
        <v>75</v>
      </c>
      <c r="AF516">
        <v>256</v>
      </c>
      <c r="AG516" s="8">
        <v>0</v>
      </c>
      <c r="AH516">
        <v>0</v>
      </c>
      <c r="AI516">
        <v>0</v>
      </c>
      <c r="AJ516">
        <v>0</v>
      </c>
      <c r="AK516" t="e">
        <v>#N/A</v>
      </c>
      <c r="AL516" t="e">
        <v>#N/A</v>
      </c>
      <c r="AM516">
        <v>0</v>
      </c>
      <c r="AN516">
        <v>0</v>
      </c>
      <c r="AO516">
        <v>0</v>
      </c>
      <c r="AP516">
        <v>0</v>
      </c>
      <c r="AQ516">
        <v>0.14473684210526316</v>
      </c>
      <c r="AR516">
        <v>0.26315789473684209</v>
      </c>
      <c r="AS516">
        <v>0.47368421052631576</v>
      </c>
      <c r="AT516">
        <v>0.11842105263157894</v>
      </c>
      <c r="AU516">
        <v>6542.0372173800006</v>
      </c>
      <c r="AV516">
        <v>5</v>
      </c>
      <c r="AW516">
        <f t="shared" si="52"/>
        <v>0</v>
      </c>
      <c r="AX516">
        <v>0</v>
      </c>
      <c r="AY516">
        <f t="shared" si="53"/>
        <v>0</v>
      </c>
      <c r="AZ516">
        <v>0</v>
      </c>
      <c r="BA516">
        <v>3</v>
      </c>
      <c r="BB516">
        <v>2019</v>
      </c>
      <c r="BC516">
        <v>12</v>
      </c>
      <c r="BD516">
        <v>2019</v>
      </c>
      <c r="BE516">
        <v>3</v>
      </c>
      <c r="BF516">
        <v>2019</v>
      </c>
    </row>
    <row r="517" spans="1:58" x14ac:dyDescent="0.2">
      <c r="A517" s="7">
        <v>0</v>
      </c>
      <c r="B517" s="7">
        <v>8</v>
      </c>
      <c r="C517" s="7">
        <v>0</v>
      </c>
      <c r="D517" s="7">
        <v>0</v>
      </c>
      <c r="E517" s="7">
        <f t="shared" si="48"/>
        <v>8</v>
      </c>
      <c r="F517" s="11" t="s">
        <v>36</v>
      </c>
      <c r="G517">
        <v>0</v>
      </c>
      <c r="H517">
        <v>8</v>
      </c>
      <c r="I517">
        <v>0</v>
      </c>
      <c r="J517">
        <v>0</v>
      </c>
      <c r="K517">
        <f t="shared" si="49"/>
        <v>8</v>
      </c>
      <c r="L517" t="s">
        <v>36</v>
      </c>
      <c r="M517">
        <v>26125.767087560002</v>
      </c>
      <c r="N517" s="7">
        <v>0</v>
      </c>
      <c r="O517" s="7">
        <v>8</v>
      </c>
      <c r="P517" s="7">
        <v>0</v>
      </c>
      <c r="Q517" s="7">
        <v>0</v>
      </c>
      <c r="R517" s="7">
        <f t="shared" si="50"/>
        <v>8</v>
      </c>
      <c r="S517" t="s">
        <v>36</v>
      </c>
      <c r="T517" s="7">
        <v>9</v>
      </c>
      <c r="U517" s="7">
        <v>36</v>
      </c>
      <c r="V517" s="7">
        <v>10</v>
      </c>
      <c r="W517" s="7">
        <v>17</v>
      </c>
      <c r="X517" s="7">
        <f t="shared" si="51"/>
        <v>72</v>
      </c>
      <c r="Y517" t="s">
        <v>36</v>
      </c>
      <c r="Z517">
        <v>201503.28605644999</v>
      </c>
      <c r="AA517" t="s">
        <v>901</v>
      </c>
      <c r="AB517">
        <v>71</v>
      </c>
      <c r="AC517">
        <v>0</v>
      </c>
      <c r="AD517" t="s">
        <v>254</v>
      </c>
      <c r="AE517" t="s">
        <v>75</v>
      </c>
      <c r="AF517" t="e">
        <v>#N/A</v>
      </c>
      <c r="AG517" s="8">
        <v>464</v>
      </c>
      <c r="AH517">
        <v>64</v>
      </c>
      <c r="AI517">
        <v>64</v>
      </c>
      <c r="AJ517">
        <v>0</v>
      </c>
      <c r="AK517">
        <v>0.13793103448275862</v>
      </c>
      <c r="AL517">
        <v>2.9711254108328298</v>
      </c>
      <c r="AM517">
        <v>0</v>
      </c>
      <c r="AN517">
        <v>0</v>
      </c>
      <c r="AO517">
        <v>8</v>
      </c>
      <c r="AP517">
        <v>8</v>
      </c>
      <c r="AQ517">
        <v>0</v>
      </c>
      <c r="AR517">
        <v>0</v>
      </c>
      <c r="AS517">
        <v>1</v>
      </c>
      <c r="AT517">
        <v>0</v>
      </c>
      <c r="AU517">
        <v>227629.05314400999</v>
      </c>
      <c r="AV517">
        <v>10</v>
      </c>
      <c r="AW517">
        <f t="shared" si="52"/>
        <v>1</v>
      </c>
      <c r="AX517">
        <v>0</v>
      </c>
      <c r="AY517">
        <f t="shared" si="53"/>
        <v>0</v>
      </c>
      <c r="AZ517" t="e">
        <v>#N/A</v>
      </c>
      <c r="BA517">
        <v>1</v>
      </c>
      <c r="BB517">
        <v>2018</v>
      </c>
      <c r="BC517">
        <v>1</v>
      </c>
      <c r="BD517">
        <v>2018</v>
      </c>
      <c r="BE517">
        <v>5</v>
      </c>
      <c r="BF517">
        <v>2018</v>
      </c>
    </row>
    <row r="518" spans="1:58" x14ac:dyDescent="0.2">
      <c r="A518" s="7">
        <v>11</v>
      </c>
      <c r="B518" s="7">
        <v>15</v>
      </c>
      <c r="C518" s="7">
        <v>0</v>
      </c>
      <c r="D518" s="7">
        <v>0</v>
      </c>
      <c r="E518" s="7">
        <f t="shared" si="48"/>
        <v>26</v>
      </c>
      <c r="F518" s="11" t="s">
        <v>36</v>
      </c>
      <c r="G518">
        <v>12</v>
      </c>
      <c r="H518">
        <v>13</v>
      </c>
      <c r="I518">
        <v>0</v>
      </c>
      <c r="J518">
        <v>4</v>
      </c>
      <c r="K518">
        <f t="shared" si="49"/>
        <v>29</v>
      </c>
      <c r="L518" t="s">
        <v>36</v>
      </c>
      <c r="M518">
        <v>28133.779361289999</v>
      </c>
      <c r="N518" s="7">
        <v>12</v>
      </c>
      <c r="O518" s="7">
        <v>13</v>
      </c>
      <c r="P518" s="7">
        <v>0</v>
      </c>
      <c r="Q518" s="7">
        <v>4</v>
      </c>
      <c r="R518" s="7">
        <f t="shared" si="50"/>
        <v>29</v>
      </c>
      <c r="S518" t="s">
        <v>36</v>
      </c>
      <c r="T518" s="7">
        <v>19</v>
      </c>
      <c r="U518" s="7">
        <v>30</v>
      </c>
      <c r="V518" s="7">
        <v>7</v>
      </c>
      <c r="W518" s="7">
        <v>6</v>
      </c>
      <c r="X518" s="7">
        <f t="shared" si="51"/>
        <v>62</v>
      </c>
      <c r="Y518" t="s">
        <v>36</v>
      </c>
      <c r="Z518">
        <v>126891.690660475</v>
      </c>
      <c r="AA518" t="s">
        <v>902</v>
      </c>
      <c r="AB518">
        <v>55</v>
      </c>
      <c r="AC518">
        <v>0</v>
      </c>
      <c r="AD518" t="s">
        <v>258</v>
      </c>
      <c r="AE518" t="s">
        <v>75</v>
      </c>
      <c r="AF518">
        <v>14</v>
      </c>
      <c r="AG518" s="8">
        <v>17</v>
      </c>
      <c r="AH518">
        <v>33</v>
      </c>
      <c r="AI518">
        <v>36</v>
      </c>
      <c r="AJ518">
        <v>3</v>
      </c>
      <c r="AK518">
        <v>1.9411764705882353</v>
      </c>
      <c r="AL518">
        <v>8.0036756261989872</v>
      </c>
      <c r="AM518">
        <v>0</v>
      </c>
      <c r="AN518">
        <v>0</v>
      </c>
      <c r="AO518">
        <v>1.1379310344827587</v>
      </c>
      <c r="AP518">
        <v>1.2692307692307692</v>
      </c>
      <c r="AQ518">
        <v>0</v>
      </c>
      <c r="AR518">
        <v>0.42307692307692307</v>
      </c>
      <c r="AS518">
        <v>0.57692307692307687</v>
      </c>
      <c r="AT518">
        <v>0</v>
      </c>
      <c r="AU518">
        <v>155025.47002176498</v>
      </c>
      <c r="AV518">
        <v>10</v>
      </c>
      <c r="AW518">
        <f t="shared" si="52"/>
        <v>1</v>
      </c>
      <c r="AX518">
        <v>0</v>
      </c>
      <c r="AY518">
        <f t="shared" si="53"/>
        <v>0</v>
      </c>
      <c r="AZ518">
        <v>0</v>
      </c>
      <c r="BA518">
        <v>11</v>
      </c>
      <c r="BB518">
        <v>2018</v>
      </c>
      <c r="BC518">
        <v>12</v>
      </c>
      <c r="BD518">
        <v>2018</v>
      </c>
      <c r="BE518">
        <v>12</v>
      </c>
      <c r="BF518">
        <v>2018</v>
      </c>
    </row>
    <row r="519" spans="1:58" x14ac:dyDescent="0.2">
      <c r="A519" s="7">
        <v>1</v>
      </c>
      <c r="B519" s="7">
        <v>11</v>
      </c>
      <c r="C519" s="7">
        <v>0</v>
      </c>
      <c r="D519" s="7">
        <v>0</v>
      </c>
      <c r="E519" s="7">
        <f t="shared" si="48"/>
        <v>12</v>
      </c>
      <c r="F519" s="11" t="s">
        <v>66</v>
      </c>
      <c r="G519">
        <v>0</v>
      </c>
      <c r="H519">
        <v>14</v>
      </c>
      <c r="I519">
        <v>0</v>
      </c>
      <c r="J519">
        <v>0</v>
      </c>
      <c r="K519">
        <f t="shared" si="49"/>
        <v>14</v>
      </c>
      <c r="L519" t="s">
        <v>53</v>
      </c>
      <c r="M519">
        <v>96877.958618060002</v>
      </c>
      <c r="N519" s="7">
        <v>1</v>
      </c>
      <c r="O519" s="7">
        <v>11</v>
      </c>
      <c r="P519" s="7">
        <v>0</v>
      </c>
      <c r="Q519" s="7">
        <v>0</v>
      </c>
      <c r="R519" s="7">
        <f t="shared" si="50"/>
        <v>12</v>
      </c>
      <c r="S519" t="s">
        <v>66</v>
      </c>
      <c r="T519" s="7">
        <v>15</v>
      </c>
      <c r="U519" s="7">
        <v>30</v>
      </c>
      <c r="V519" s="7">
        <v>7</v>
      </c>
      <c r="W519" s="7">
        <v>20</v>
      </c>
      <c r="X519" s="7">
        <f t="shared" si="51"/>
        <v>72</v>
      </c>
      <c r="Y519" t="s">
        <v>39</v>
      </c>
      <c r="Z519">
        <v>245020.66414044</v>
      </c>
      <c r="AA519" t="s">
        <v>903</v>
      </c>
      <c r="AB519">
        <v>40</v>
      </c>
      <c r="AC519">
        <v>1106</v>
      </c>
      <c r="AD519" t="s">
        <v>244</v>
      </c>
      <c r="AE519" t="s">
        <v>41</v>
      </c>
      <c r="AF519">
        <v>253</v>
      </c>
      <c r="AG519" s="8">
        <v>67</v>
      </c>
      <c r="AH519">
        <v>60</v>
      </c>
      <c r="AI519">
        <v>60</v>
      </c>
      <c r="AJ519">
        <v>2</v>
      </c>
      <c r="AK519">
        <v>0.89552238805970152</v>
      </c>
      <c r="AL519">
        <v>7.3301666613783132</v>
      </c>
      <c r="AM519">
        <v>-2</v>
      </c>
      <c r="AN519">
        <v>1</v>
      </c>
      <c r="AO519">
        <v>5</v>
      </c>
      <c r="AP519">
        <v>5</v>
      </c>
      <c r="AQ519">
        <v>0</v>
      </c>
      <c r="AR519">
        <v>8.3333333333333329E-2</v>
      </c>
      <c r="AS519">
        <v>0.91666666666666663</v>
      </c>
      <c r="AT519">
        <v>0</v>
      </c>
      <c r="AU519">
        <v>341898.62275849999</v>
      </c>
      <c r="AV519">
        <v>16</v>
      </c>
      <c r="AW519">
        <f t="shared" si="52"/>
        <v>1</v>
      </c>
      <c r="AX519">
        <v>1106</v>
      </c>
      <c r="AY519">
        <f t="shared" si="53"/>
        <v>1</v>
      </c>
      <c r="AZ519">
        <v>4.3715415019762842</v>
      </c>
      <c r="BA519">
        <v>1</v>
      </c>
      <c r="BB519">
        <v>2019</v>
      </c>
      <c r="BC519">
        <v>10</v>
      </c>
      <c r="BD519">
        <v>2019</v>
      </c>
      <c r="BE519">
        <v>1</v>
      </c>
      <c r="BF519">
        <v>2019</v>
      </c>
    </row>
    <row r="520" spans="1:58" x14ac:dyDescent="0.2">
      <c r="A520" s="7">
        <v>2</v>
      </c>
      <c r="B520" s="7">
        <v>11</v>
      </c>
      <c r="C520" s="7">
        <v>0</v>
      </c>
      <c r="D520" s="7">
        <v>0</v>
      </c>
      <c r="E520" s="7">
        <f t="shared" si="48"/>
        <v>13</v>
      </c>
      <c r="F520" s="11" t="s">
        <v>39</v>
      </c>
      <c r="G520">
        <v>3</v>
      </c>
      <c r="H520">
        <v>11</v>
      </c>
      <c r="I520">
        <v>0</v>
      </c>
      <c r="J520">
        <v>0</v>
      </c>
      <c r="K520">
        <f t="shared" si="49"/>
        <v>14</v>
      </c>
      <c r="L520" t="s">
        <v>39</v>
      </c>
      <c r="M520">
        <v>52561.807966990003</v>
      </c>
      <c r="N520" s="7">
        <v>3</v>
      </c>
      <c r="O520" s="7">
        <v>11</v>
      </c>
      <c r="P520" s="7">
        <v>0</v>
      </c>
      <c r="Q520" s="7">
        <v>3</v>
      </c>
      <c r="R520" s="7">
        <f t="shared" si="50"/>
        <v>17</v>
      </c>
      <c r="S520" t="s">
        <v>39</v>
      </c>
      <c r="T520" s="7">
        <v>3</v>
      </c>
      <c r="U520" s="7">
        <v>15</v>
      </c>
      <c r="V520" s="7">
        <v>0</v>
      </c>
      <c r="W520" s="7">
        <v>2</v>
      </c>
      <c r="X520" s="7">
        <f t="shared" si="51"/>
        <v>20</v>
      </c>
      <c r="Y520" t="s">
        <v>54</v>
      </c>
      <c r="Z520">
        <v>142300.62423372001</v>
      </c>
      <c r="AA520" t="s">
        <v>904</v>
      </c>
      <c r="AB520">
        <v>79</v>
      </c>
      <c r="AC520">
        <v>284</v>
      </c>
      <c r="AD520" t="s">
        <v>248</v>
      </c>
      <c r="AE520" t="s">
        <v>75</v>
      </c>
      <c r="AF520">
        <v>20</v>
      </c>
      <c r="AG520" s="8">
        <v>5</v>
      </c>
      <c r="AH520">
        <v>3</v>
      </c>
      <c r="AI520">
        <v>7</v>
      </c>
      <c r="AJ520">
        <v>1</v>
      </c>
      <c r="AK520">
        <v>0.6</v>
      </c>
      <c r="AL520">
        <v>1.3416407864998738</v>
      </c>
      <c r="AM520">
        <v>3</v>
      </c>
      <c r="AN520">
        <v>0</v>
      </c>
      <c r="AO520">
        <v>0.17647058823529413</v>
      </c>
      <c r="AP520">
        <v>0.23076923076923078</v>
      </c>
      <c r="AQ520">
        <v>0</v>
      </c>
      <c r="AR520">
        <v>0.15384615384615385</v>
      </c>
      <c r="AS520">
        <v>0.84615384615384615</v>
      </c>
      <c r="AT520">
        <v>0</v>
      </c>
      <c r="AU520">
        <v>194862.43220071</v>
      </c>
      <c r="AV520">
        <v>10</v>
      </c>
      <c r="AW520">
        <f t="shared" si="52"/>
        <v>1</v>
      </c>
      <c r="AX520">
        <v>284</v>
      </c>
      <c r="AY520">
        <f t="shared" si="53"/>
        <v>1</v>
      </c>
      <c r="AZ520">
        <v>14.2</v>
      </c>
      <c r="BA520">
        <v>12</v>
      </c>
      <c r="BB520">
        <v>2018</v>
      </c>
      <c r="BC520">
        <v>1</v>
      </c>
      <c r="BD520">
        <v>2019</v>
      </c>
      <c r="BE520">
        <v>1</v>
      </c>
      <c r="BF520">
        <v>2019</v>
      </c>
    </row>
    <row r="521" spans="1:58" x14ac:dyDescent="0.2">
      <c r="A521" s="7">
        <v>6</v>
      </c>
      <c r="B521" s="7">
        <v>18</v>
      </c>
      <c r="C521" s="7">
        <v>2</v>
      </c>
      <c r="D521" s="7">
        <v>5</v>
      </c>
      <c r="E521" s="7">
        <f t="shared" si="48"/>
        <v>31</v>
      </c>
      <c r="F521" s="11" t="s">
        <v>36</v>
      </c>
      <c r="G521">
        <v>6</v>
      </c>
      <c r="H521">
        <v>18</v>
      </c>
      <c r="I521">
        <v>2</v>
      </c>
      <c r="J521">
        <v>5</v>
      </c>
      <c r="K521">
        <f t="shared" si="49"/>
        <v>31</v>
      </c>
      <c r="L521" t="s">
        <v>36</v>
      </c>
      <c r="M521">
        <v>67954.261228970034</v>
      </c>
      <c r="N521" s="7">
        <v>12</v>
      </c>
      <c r="O521" s="7">
        <v>24</v>
      </c>
      <c r="P521" s="7">
        <v>4</v>
      </c>
      <c r="Q521" s="7">
        <v>5</v>
      </c>
      <c r="R521" s="7">
        <f t="shared" si="50"/>
        <v>45</v>
      </c>
      <c r="S521" t="s">
        <v>36</v>
      </c>
      <c r="T521" s="7">
        <v>18</v>
      </c>
      <c r="U521" s="7">
        <v>35</v>
      </c>
      <c r="V521" s="7">
        <v>8</v>
      </c>
      <c r="W521" s="7">
        <v>6</v>
      </c>
      <c r="X521" s="7">
        <f t="shared" si="51"/>
        <v>67</v>
      </c>
      <c r="Y521" t="s">
        <v>42</v>
      </c>
      <c r="Z521">
        <v>125342.01767664999</v>
      </c>
      <c r="AA521" t="s">
        <v>905</v>
      </c>
      <c r="AB521">
        <v>61</v>
      </c>
      <c r="AC521">
        <v>859</v>
      </c>
      <c r="AD521" t="s">
        <v>258</v>
      </c>
      <c r="AE521" t="s">
        <v>41</v>
      </c>
      <c r="AF521" t="e">
        <v>#N/A</v>
      </c>
      <c r="AG521" s="8">
        <v>176</v>
      </c>
      <c r="AH521">
        <v>22</v>
      </c>
      <c r="AI521">
        <v>36</v>
      </c>
      <c r="AJ521">
        <v>0</v>
      </c>
      <c r="AK521">
        <v>0.125</v>
      </c>
      <c r="AL521">
        <v>1.6583123951776999</v>
      </c>
      <c r="AM521">
        <v>14</v>
      </c>
      <c r="AN521">
        <v>0</v>
      </c>
      <c r="AO521">
        <v>0.48888888888888887</v>
      </c>
      <c r="AP521">
        <v>0.70967741935483875</v>
      </c>
      <c r="AQ521">
        <v>0.16129032258064516</v>
      </c>
      <c r="AR521">
        <v>0.19354838709677419</v>
      </c>
      <c r="AS521">
        <v>0.58064516129032262</v>
      </c>
      <c r="AT521">
        <v>6.4516129032258063E-2</v>
      </c>
      <c r="AU521">
        <v>193296.27890562004</v>
      </c>
      <c r="AV521">
        <v>17</v>
      </c>
      <c r="AW521">
        <f t="shared" si="52"/>
        <v>1</v>
      </c>
      <c r="AX521">
        <v>859</v>
      </c>
      <c r="AY521">
        <f t="shared" si="53"/>
        <v>1</v>
      </c>
      <c r="AZ521" t="e">
        <v>#N/A</v>
      </c>
      <c r="BA521">
        <v>6</v>
      </c>
      <c r="BB521">
        <v>2019</v>
      </c>
      <c r="BC521">
        <v>6</v>
      </c>
      <c r="BD521">
        <v>2019</v>
      </c>
      <c r="BE521">
        <v>1</v>
      </c>
      <c r="BF521">
        <v>2019</v>
      </c>
    </row>
    <row r="522" spans="1:58" x14ac:dyDescent="0.2">
      <c r="A522" s="7">
        <v>9</v>
      </c>
      <c r="B522" s="7">
        <v>10</v>
      </c>
      <c r="C522" s="7">
        <v>0</v>
      </c>
      <c r="D522" s="7">
        <v>0</v>
      </c>
      <c r="E522" s="7">
        <f t="shared" si="48"/>
        <v>19</v>
      </c>
      <c r="F522" s="11" t="s">
        <v>35</v>
      </c>
      <c r="G522">
        <v>4</v>
      </c>
      <c r="H522">
        <v>6</v>
      </c>
      <c r="I522">
        <v>0</v>
      </c>
      <c r="J522">
        <v>0</v>
      </c>
      <c r="K522">
        <f t="shared" si="49"/>
        <v>10</v>
      </c>
      <c r="L522" t="s">
        <v>35</v>
      </c>
      <c r="M522">
        <v>167122.38360264001</v>
      </c>
      <c r="N522" s="7">
        <v>9</v>
      </c>
      <c r="O522" s="7">
        <v>10</v>
      </c>
      <c r="P522" s="7">
        <v>2</v>
      </c>
      <c r="Q522" s="7">
        <v>3</v>
      </c>
      <c r="R522" s="7">
        <f t="shared" si="50"/>
        <v>24</v>
      </c>
      <c r="S522" t="s">
        <v>68</v>
      </c>
      <c r="T522" s="7">
        <v>8</v>
      </c>
      <c r="U522" s="7">
        <v>15</v>
      </c>
      <c r="V522" s="7">
        <v>2</v>
      </c>
      <c r="W522" s="7">
        <v>3</v>
      </c>
      <c r="X522" s="7">
        <f t="shared" si="51"/>
        <v>28</v>
      </c>
      <c r="Y522" t="s">
        <v>68</v>
      </c>
      <c r="Z522">
        <v>124141.78945077999</v>
      </c>
      <c r="AA522" t="s">
        <v>906</v>
      </c>
      <c r="AB522">
        <v>61</v>
      </c>
      <c r="AC522">
        <v>1893</v>
      </c>
      <c r="AD522" t="s">
        <v>131</v>
      </c>
      <c r="AE522" t="s">
        <v>75</v>
      </c>
      <c r="AF522">
        <v>271</v>
      </c>
      <c r="AG522" s="8">
        <v>155</v>
      </c>
      <c r="AH522">
        <v>4</v>
      </c>
      <c r="AI522">
        <v>9</v>
      </c>
      <c r="AJ522">
        <v>-9</v>
      </c>
      <c r="AK522">
        <v>2.5806451612903226E-2</v>
      </c>
      <c r="AL522">
        <v>0.32128773156099955</v>
      </c>
      <c r="AM522">
        <v>14</v>
      </c>
      <c r="AN522">
        <v>0</v>
      </c>
      <c r="AO522">
        <v>0.16666666666666666</v>
      </c>
      <c r="AP522">
        <v>0.21052631578947367</v>
      </c>
      <c r="AQ522">
        <v>0</v>
      </c>
      <c r="AR522">
        <v>0.47368421052631576</v>
      </c>
      <c r="AS522">
        <v>0.52631578947368418</v>
      </c>
      <c r="AT522">
        <v>0</v>
      </c>
      <c r="AU522">
        <v>291264.17305342003</v>
      </c>
      <c r="AV522">
        <v>20</v>
      </c>
      <c r="AW522">
        <f t="shared" si="52"/>
        <v>1</v>
      </c>
      <c r="AX522">
        <v>1893</v>
      </c>
      <c r="AY522">
        <f t="shared" si="53"/>
        <v>1</v>
      </c>
      <c r="AZ522">
        <v>6.9852398523985242</v>
      </c>
      <c r="BA522">
        <v>1</v>
      </c>
      <c r="BB522">
        <v>2019</v>
      </c>
      <c r="BC522">
        <v>10</v>
      </c>
      <c r="BD522">
        <v>2019</v>
      </c>
      <c r="BE522">
        <v>1</v>
      </c>
      <c r="BF522">
        <v>2019</v>
      </c>
    </row>
    <row r="523" spans="1:58" x14ac:dyDescent="0.2">
      <c r="A523" s="7">
        <v>0</v>
      </c>
      <c r="B523" s="7">
        <v>2</v>
      </c>
      <c r="C523" s="7">
        <v>0</v>
      </c>
      <c r="D523" s="7">
        <v>0</v>
      </c>
      <c r="E523" s="7">
        <f t="shared" si="48"/>
        <v>2</v>
      </c>
      <c r="F523" s="11" t="s">
        <v>45</v>
      </c>
      <c r="G523">
        <v>0</v>
      </c>
      <c r="H523">
        <v>2</v>
      </c>
      <c r="I523">
        <v>0</v>
      </c>
      <c r="J523">
        <v>0</v>
      </c>
      <c r="K523">
        <f t="shared" si="49"/>
        <v>2</v>
      </c>
      <c r="L523" t="s">
        <v>45</v>
      </c>
      <c r="M523">
        <v>25479.667194469999</v>
      </c>
      <c r="N523" s="7">
        <v>0</v>
      </c>
      <c r="O523" s="7">
        <v>8</v>
      </c>
      <c r="P523" s="7">
        <v>0</v>
      </c>
      <c r="Q523" s="7">
        <v>0</v>
      </c>
      <c r="R523" s="7">
        <f t="shared" si="50"/>
        <v>8</v>
      </c>
      <c r="S523" t="s">
        <v>45</v>
      </c>
      <c r="T523" s="7">
        <v>0</v>
      </c>
      <c r="U523" s="7">
        <v>8</v>
      </c>
      <c r="V523" s="7">
        <v>0</v>
      </c>
      <c r="W523" s="7">
        <v>0</v>
      </c>
      <c r="X523" s="7">
        <f t="shared" si="51"/>
        <v>8</v>
      </c>
      <c r="Y523" t="s">
        <v>45</v>
      </c>
      <c r="Z523">
        <v>107405.00230013</v>
      </c>
      <c r="AA523" t="s">
        <v>907</v>
      </c>
      <c r="AB523">
        <v>68</v>
      </c>
      <c r="AC523">
        <v>0</v>
      </c>
      <c r="AD523" t="s">
        <v>252</v>
      </c>
      <c r="AE523" t="s">
        <v>41</v>
      </c>
      <c r="AF523" t="e">
        <v>#N/A</v>
      </c>
      <c r="AG523" s="8">
        <v>2</v>
      </c>
      <c r="AH523">
        <v>0</v>
      </c>
      <c r="AI523">
        <v>6</v>
      </c>
      <c r="AJ523">
        <v>0</v>
      </c>
      <c r="AK523">
        <v>0</v>
      </c>
      <c r="AL523">
        <v>0</v>
      </c>
      <c r="AM523">
        <v>6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132884.66949460001</v>
      </c>
      <c r="AV523">
        <v>15</v>
      </c>
      <c r="AW523">
        <f t="shared" si="52"/>
        <v>1</v>
      </c>
      <c r="AX523">
        <v>0</v>
      </c>
      <c r="AY523">
        <f t="shared" si="53"/>
        <v>0</v>
      </c>
      <c r="AZ523" t="e">
        <v>#N/A</v>
      </c>
      <c r="BA523">
        <v>1</v>
      </c>
      <c r="BB523">
        <v>2019</v>
      </c>
      <c r="BC523">
        <v>1</v>
      </c>
      <c r="BD523">
        <v>2019</v>
      </c>
      <c r="BE523">
        <v>1</v>
      </c>
      <c r="BF523">
        <v>2019</v>
      </c>
    </row>
    <row r="524" spans="1:58" x14ac:dyDescent="0.2">
      <c r="A524" s="7">
        <v>13</v>
      </c>
      <c r="B524" s="7">
        <v>15</v>
      </c>
      <c r="C524" s="7">
        <v>0</v>
      </c>
      <c r="D524" s="7">
        <v>4</v>
      </c>
      <c r="E524" s="7">
        <f t="shared" si="48"/>
        <v>32</v>
      </c>
      <c r="F524" s="11" t="s">
        <v>36</v>
      </c>
      <c r="G524">
        <v>13</v>
      </c>
      <c r="H524">
        <v>15</v>
      </c>
      <c r="I524">
        <v>0</v>
      </c>
      <c r="J524">
        <v>5</v>
      </c>
      <c r="K524">
        <f t="shared" si="49"/>
        <v>33</v>
      </c>
      <c r="L524" t="s">
        <v>36</v>
      </c>
      <c r="M524">
        <v>20023.722202000001</v>
      </c>
      <c r="N524" s="7">
        <v>15</v>
      </c>
      <c r="O524" s="7">
        <v>18</v>
      </c>
      <c r="P524" s="7">
        <v>1</v>
      </c>
      <c r="Q524" s="7">
        <v>5</v>
      </c>
      <c r="R524" s="7">
        <f t="shared" si="50"/>
        <v>39</v>
      </c>
      <c r="S524" t="s">
        <v>36</v>
      </c>
      <c r="T524" s="7">
        <v>19</v>
      </c>
      <c r="U524" s="7">
        <v>35</v>
      </c>
      <c r="V524" s="7">
        <v>10</v>
      </c>
      <c r="W524" s="7">
        <v>5</v>
      </c>
      <c r="X524" s="7">
        <f t="shared" si="51"/>
        <v>69</v>
      </c>
      <c r="Y524" t="s">
        <v>36</v>
      </c>
      <c r="Z524">
        <v>104382.89943992</v>
      </c>
      <c r="AA524" t="s">
        <v>908</v>
      </c>
      <c r="AB524">
        <v>11</v>
      </c>
      <c r="AC524">
        <v>191</v>
      </c>
      <c r="AD524" t="s">
        <v>131</v>
      </c>
      <c r="AE524" t="s">
        <v>75</v>
      </c>
      <c r="AF524">
        <v>11</v>
      </c>
      <c r="AG524" s="8">
        <v>4</v>
      </c>
      <c r="AH524">
        <v>30</v>
      </c>
      <c r="AI524">
        <v>37</v>
      </c>
      <c r="AJ524">
        <v>1</v>
      </c>
      <c r="AK524">
        <v>7.5</v>
      </c>
      <c r="AL524">
        <v>15</v>
      </c>
      <c r="AM524">
        <v>6</v>
      </c>
      <c r="AN524">
        <v>0</v>
      </c>
      <c r="AO524">
        <v>0.76923076923076927</v>
      </c>
      <c r="AP524">
        <v>0.9375</v>
      </c>
      <c r="AQ524">
        <v>0.125</v>
      </c>
      <c r="AR524">
        <v>0.40625</v>
      </c>
      <c r="AS524">
        <v>0.46875</v>
      </c>
      <c r="AT524">
        <v>0</v>
      </c>
      <c r="AU524">
        <v>124406.62164192001</v>
      </c>
      <c r="AV524">
        <v>7</v>
      </c>
      <c r="AW524">
        <f t="shared" si="52"/>
        <v>0</v>
      </c>
      <c r="AX524">
        <v>191</v>
      </c>
      <c r="AY524">
        <f t="shared" si="53"/>
        <v>1</v>
      </c>
      <c r="AZ524">
        <v>17.363636363636363</v>
      </c>
      <c r="BA524">
        <v>12</v>
      </c>
      <c r="BB524">
        <v>2018</v>
      </c>
      <c r="BC524">
        <v>1</v>
      </c>
      <c r="BD524">
        <v>2019</v>
      </c>
      <c r="BE524">
        <v>1</v>
      </c>
      <c r="BF524">
        <v>2019</v>
      </c>
    </row>
    <row r="525" spans="1:58" x14ac:dyDescent="0.2">
      <c r="A525" s="7">
        <v>7</v>
      </c>
      <c r="B525" s="7">
        <v>15</v>
      </c>
      <c r="C525" s="7">
        <v>0</v>
      </c>
      <c r="D525" s="7">
        <v>5</v>
      </c>
      <c r="E525" s="7">
        <f t="shared" si="48"/>
        <v>27</v>
      </c>
      <c r="F525" s="11" t="s">
        <v>36</v>
      </c>
      <c r="G525">
        <v>7</v>
      </c>
      <c r="H525">
        <v>10</v>
      </c>
      <c r="I525">
        <v>1</v>
      </c>
      <c r="J525">
        <v>5</v>
      </c>
      <c r="K525">
        <f t="shared" si="49"/>
        <v>23</v>
      </c>
      <c r="L525" t="s">
        <v>36</v>
      </c>
      <c r="M525">
        <v>22162.700878079999</v>
      </c>
      <c r="N525" s="7">
        <v>9</v>
      </c>
      <c r="O525" s="7">
        <v>30</v>
      </c>
      <c r="P525" s="7">
        <v>6</v>
      </c>
      <c r="Q525" s="7">
        <v>6</v>
      </c>
      <c r="R525" s="7">
        <f t="shared" si="50"/>
        <v>51</v>
      </c>
      <c r="S525" t="s">
        <v>36</v>
      </c>
      <c r="T525" s="7">
        <v>20</v>
      </c>
      <c r="U525" s="7">
        <v>40</v>
      </c>
      <c r="V525" s="7">
        <v>8</v>
      </c>
      <c r="W525" s="7">
        <v>19</v>
      </c>
      <c r="X525" s="7">
        <f t="shared" si="51"/>
        <v>87</v>
      </c>
      <c r="Y525" t="s">
        <v>36</v>
      </c>
      <c r="Z525">
        <v>86818.722947310001</v>
      </c>
      <c r="AA525" t="s">
        <v>909</v>
      </c>
      <c r="AB525">
        <v>46</v>
      </c>
      <c r="AC525">
        <v>18</v>
      </c>
      <c r="AD525" t="s">
        <v>119</v>
      </c>
      <c r="AE525" t="s">
        <v>41</v>
      </c>
      <c r="AF525">
        <v>11</v>
      </c>
      <c r="AG525" s="8">
        <v>338</v>
      </c>
      <c r="AH525">
        <v>36</v>
      </c>
      <c r="AI525">
        <v>60</v>
      </c>
      <c r="AJ525">
        <v>-4</v>
      </c>
      <c r="AK525">
        <v>0.10650887573964497</v>
      </c>
      <c r="AL525">
        <v>1.9581418555935164</v>
      </c>
      <c r="AM525">
        <v>28</v>
      </c>
      <c r="AN525">
        <v>0</v>
      </c>
      <c r="AO525">
        <v>0.70588235294117652</v>
      </c>
      <c r="AP525">
        <v>1.3333333333333333</v>
      </c>
      <c r="AQ525">
        <v>0.18518518518518517</v>
      </c>
      <c r="AR525">
        <v>0.25925925925925924</v>
      </c>
      <c r="AS525">
        <v>0.55555555555555558</v>
      </c>
      <c r="AT525">
        <v>0</v>
      </c>
      <c r="AU525">
        <v>108981.42382539</v>
      </c>
      <c r="AV525">
        <v>5</v>
      </c>
      <c r="AW525">
        <f t="shared" si="52"/>
        <v>0</v>
      </c>
      <c r="AX525">
        <v>18</v>
      </c>
      <c r="AY525">
        <f t="shared" si="53"/>
        <v>1</v>
      </c>
      <c r="AZ525">
        <v>1.6363636363636365</v>
      </c>
      <c r="BA525">
        <v>12</v>
      </c>
      <c r="BB525">
        <v>2018</v>
      </c>
      <c r="BC525">
        <v>1</v>
      </c>
      <c r="BD525">
        <v>2019</v>
      </c>
      <c r="BE525">
        <v>1</v>
      </c>
      <c r="BF525">
        <v>2019</v>
      </c>
    </row>
    <row r="526" spans="1:58" x14ac:dyDescent="0.2">
      <c r="A526" s="7">
        <v>10</v>
      </c>
      <c r="B526" s="7">
        <v>0</v>
      </c>
      <c r="C526" s="7">
        <v>0</v>
      </c>
      <c r="D526" s="7">
        <v>5</v>
      </c>
      <c r="E526" s="7">
        <f t="shared" si="48"/>
        <v>15</v>
      </c>
      <c r="F526" s="11" t="s">
        <v>36</v>
      </c>
      <c r="G526">
        <v>10</v>
      </c>
      <c r="H526">
        <v>6</v>
      </c>
      <c r="I526">
        <v>3</v>
      </c>
      <c r="J526">
        <v>5</v>
      </c>
      <c r="K526">
        <f t="shared" si="49"/>
        <v>24</v>
      </c>
      <c r="L526" t="s">
        <v>36</v>
      </c>
      <c r="M526">
        <v>15499.97066348</v>
      </c>
      <c r="N526" s="7">
        <v>10</v>
      </c>
      <c r="O526" s="7">
        <v>25</v>
      </c>
      <c r="P526" s="7">
        <v>6</v>
      </c>
      <c r="Q526" s="7">
        <v>5</v>
      </c>
      <c r="R526" s="7">
        <f t="shared" si="50"/>
        <v>46</v>
      </c>
      <c r="S526" t="s">
        <v>36</v>
      </c>
      <c r="T526" s="7">
        <v>19</v>
      </c>
      <c r="U526" s="7">
        <v>31</v>
      </c>
      <c r="V526" s="7">
        <v>7</v>
      </c>
      <c r="W526" s="7">
        <v>6</v>
      </c>
      <c r="X526" s="7">
        <f t="shared" si="51"/>
        <v>63</v>
      </c>
      <c r="Y526" t="s">
        <v>36</v>
      </c>
      <c r="Z526">
        <v>88047.426127890009</v>
      </c>
      <c r="AA526" t="s">
        <v>910</v>
      </c>
      <c r="AB526">
        <v>80</v>
      </c>
      <c r="AC526">
        <v>0</v>
      </c>
      <c r="AD526" t="s">
        <v>131</v>
      </c>
      <c r="AE526" t="s">
        <v>75</v>
      </c>
      <c r="AF526">
        <v>10</v>
      </c>
      <c r="AG526" s="8">
        <v>132</v>
      </c>
      <c r="AH526">
        <v>17</v>
      </c>
      <c r="AI526">
        <v>48</v>
      </c>
      <c r="AJ526">
        <v>9</v>
      </c>
      <c r="AK526">
        <v>0.12878787878787878</v>
      </c>
      <c r="AL526">
        <v>1.4796600756234317</v>
      </c>
      <c r="AM526">
        <v>22</v>
      </c>
      <c r="AN526">
        <v>0</v>
      </c>
      <c r="AO526">
        <v>0.36956521739130432</v>
      </c>
      <c r="AP526">
        <v>1.1333333333333333</v>
      </c>
      <c r="AQ526">
        <v>0.33333333333333331</v>
      </c>
      <c r="AR526">
        <v>0.66666666666666663</v>
      </c>
      <c r="AS526">
        <v>0</v>
      </c>
      <c r="AT526">
        <v>0</v>
      </c>
      <c r="AU526">
        <v>103547.39679137</v>
      </c>
      <c r="AV526">
        <v>6</v>
      </c>
      <c r="AW526">
        <f t="shared" si="52"/>
        <v>0</v>
      </c>
      <c r="AX526">
        <v>0</v>
      </c>
      <c r="AY526">
        <f t="shared" si="53"/>
        <v>0</v>
      </c>
      <c r="AZ526">
        <v>0</v>
      </c>
      <c r="BA526">
        <v>12</v>
      </c>
      <c r="BB526">
        <v>2018</v>
      </c>
      <c r="BC526">
        <v>1</v>
      </c>
      <c r="BD526">
        <v>2019</v>
      </c>
      <c r="BE526">
        <v>1</v>
      </c>
      <c r="BF526">
        <v>2019</v>
      </c>
    </row>
    <row r="527" spans="1:58" x14ac:dyDescent="0.2">
      <c r="A527" s="7">
        <v>12</v>
      </c>
      <c r="B527" s="7">
        <v>10</v>
      </c>
      <c r="C527" s="7">
        <v>2</v>
      </c>
      <c r="D527" s="7">
        <v>6</v>
      </c>
      <c r="E527" s="7">
        <f t="shared" si="48"/>
        <v>30</v>
      </c>
      <c r="F527" s="11" t="s">
        <v>36</v>
      </c>
      <c r="G527">
        <v>14</v>
      </c>
      <c r="H527">
        <v>28</v>
      </c>
      <c r="I527">
        <v>5</v>
      </c>
      <c r="J527">
        <v>6</v>
      </c>
      <c r="K527">
        <f t="shared" si="49"/>
        <v>53</v>
      </c>
      <c r="L527" t="s">
        <v>36</v>
      </c>
      <c r="M527">
        <v>12661.77054933</v>
      </c>
      <c r="N527" s="7">
        <v>18</v>
      </c>
      <c r="O527" s="7">
        <v>39</v>
      </c>
      <c r="P527" s="7">
        <v>10</v>
      </c>
      <c r="Q527" s="7">
        <v>8</v>
      </c>
      <c r="R527" s="7">
        <f t="shared" si="50"/>
        <v>75</v>
      </c>
      <c r="S527" t="s">
        <v>36</v>
      </c>
      <c r="T527" s="7">
        <v>20</v>
      </c>
      <c r="U527" s="7">
        <v>40</v>
      </c>
      <c r="V527" s="7">
        <v>10</v>
      </c>
      <c r="W527" s="7">
        <v>30</v>
      </c>
      <c r="X527" s="7">
        <f t="shared" si="51"/>
        <v>100</v>
      </c>
      <c r="Y527" t="s">
        <v>36</v>
      </c>
      <c r="Z527">
        <v>22132.75274272</v>
      </c>
      <c r="AA527" t="s">
        <v>911</v>
      </c>
      <c r="AB527">
        <v>26</v>
      </c>
      <c r="AC527">
        <v>0</v>
      </c>
      <c r="AD527" t="s">
        <v>174</v>
      </c>
      <c r="AE527" t="s">
        <v>41</v>
      </c>
      <c r="AF527">
        <v>11</v>
      </c>
      <c r="AG527" s="8">
        <v>57</v>
      </c>
      <c r="AH527">
        <v>25</v>
      </c>
      <c r="AI527">
        <v>70</v>
      </c>
      <c r="AJ527">
        <v>23</v>
      </c>
      <c r="AK527">
        <v>0.43859649122807015</v>
      </c>
      <c r="AL527">
        <v>3.3113308926626095</v>
      </c>
      <c r="AM527">
        <v>22</v>
      </c>
      <c r="AN527">
        <v>0</v>
      </c>
      <c r="AO527">
        <v>0.33333333333333331</v>
      </c>
      <c r="AP527">
        <v>0.83333333333333337</v>
      </c>
      <c r="AQ527">
        <v>0.2</v>
      </c>
      <c r="AR527">
        <v>0.4</v>
      </c>
      <c r="AS527">
        <v>0.33333333333333331</v>
      </c>
      <c r="AT527">
        <v>6.6666666666666666E-2</v>
      </c>
      <c r="AU527">
        <v>34794.523292049998</v>
      </c>
      <c r="AV527">
        <v>9</v>
      </c>
      <c r="AW527">
        <f t="shared" si="52"/>
        <v>0</v>
      </c>
      <c r="AX527">
        <v>0</v>
      </c>
      <c r="AY527">
        <f t="shared" si="53"/>
        <v>0</v>
      </c>
      <c r="AZ527">
        <v>0</v>
      </c>
      <c r="BA527">
        <v>12</v>
      </c>
      <c r="BB527">
        <v>2018</v>
      </c>
      <c r="BC527">
        <v>1</v>
      </c>
      <c r="BD527">
        <v>2019</v>
      </c>
      <c r="BE527">
        <v>1</v>
      </c>
      <c r="BF527">
        <v>2019</v>
      </c>
    </row>
    <row r="528" spans="1:58" x14ac:dyDescent="0.2">
      <c r="A528" s="7">
        <v>0</v>
      </c>
      <c r="B528" s="7">
        <v>8</v>
      </c>
      <c r="C528" s="7">
        <v>0</v>
      </c>
      <c r="D528" s="7">
        <v>0</v>
      </c>
      <c r="E528" s="7">
        <f t="shared" si="48"/>
        <v>8</v>
      </c>
      <c r="F528" s="11" t="s">
        <v>55</v>
      </c>
      <c r="G528">
        <v>0</v>
      </c>
      <c r="H528">
        <v>8</v>
      </c>
      <c r="I528">
        <v>0</v>
      </c>
      <c r="J528">
        <v>0</v>
      </c>
      <c r="K528">
        <f t="shared" si="49"/>
        <v>8</v>
      </c>
      <c r="L528" t="s">
        <v>55</v>
      </c>
      <c r="M528">
        <v>59110.481288679999</v>
      </c>
      <c r="N528" s="7">
        <v>1</v>
      </c>
      <c r="O528" s="7">
        <v>10</v>
      </c>
      <c r="P528" s="7">
        <v>0</v>
      </c>
      <c r="Q528" s="7">
        <v>0</v>
      </c>
      <c r="R528" s="7">
        <f t="shared" si="50"/>
        <v>11</v>
      </c>
      <c r="S528" t="s">
        <v>55</v>
      </c>
      <c r="T528" s="7">
        <v>8</v>
      </c>
      <c r="U528" s="7">
        <v>19</v>
      </c>
      <c r="V528" s="7">
        <v>3</v>
      </c>
      <c r="W528" s="7">
        <v>3</v>
      </c>
      <c r="X528" s="7">
        <f t="shared" si="51"/>
        <v>33</v>
      </c>
      <c r="Y528" t="s">
        <v>36</v>
      </c>
      <c r="Z528">
        <v>217600.15617082</v>
      </c>
      <c r="AA528" t="s">
        <v>912</v>
      </c>
      <c r="AB528">
        <v>65</v>
      </c>
      <c r="AC528">
        <v>647</v>
      </c>
      <c r="AD528" t="s">
        <v>252</v>
      </c>
      <c r="AE528" t="s">
        <v>41</v>
      </c>
      <c r="AF528" t="e">
        <v>#N/A</v>
      </c>
      <c r="AG528" s="8">
        <v>254</v>
      </c>
      <c r="AH528">
        <v>22</v>
      </c>
      <c r="AI528">
        <v>25</v>
      </c>
      <c r="AJ528">
        <v>0</v>
      </c>
      <c r="AK528">
        <v>8.6614173228346455E-2</v>
      </c>
      <c r="AL528">
        <v>1.3804027713039488</v>
      </c>
      <c r="AM528">
        <v>3</v>
      </c>
      <c r="AN528">
        <v>0</v>
      </c>
      <c r="AO528">
        <v>2</v>
      </c>
      <c r="AP528">
        <v>2.75</v>
      </c>
      <c r="AQ528">
        <v>0</v>
      </c>
      <c r="AR528">
        <v>0</v>
      </c>
      <c r="AS528">
        <v>1</v>
      </c>
      <c r="AT528">
        <v>0</v>
      </c>
      <c r="AU528">
        <v>276710.63745949999</v>
      </c>
      <c r="AV528">
        <v>20</v>
      </c>
      <c r="AW528">
        <f t="shared" si="52"/>
        <v>1</v>
      </c>
      <c r="AX528">
        <v>647</v>
      </c>
      <c r="AY528">
        <f t="shared" si="53"/>
        <v>1</v>
      </c>
      <c r="AZ528" t="e">
        <v>#N/A</v>
      </c>
      <c r="BA528">
        <v>10</v>
      </c>
      <c r="BB528">
        <v>2019</v>
      </c>
      <c r="BC528">
        <v>10</v>
      </c>
      <c r="BD528">
        <v>2019</v>
      </c>
      <c r="BE528">
        <v>1</v>
      </c>
      <c r="BF528">
        <v>2019</v>
      </c>
    </row>
    <row r="529" spans="1:58" x14ac:dyDescent="0.2">
      <c r="A529" s="7">
        <v>3</v>
      </c>
      <c r="B529" s="7">
        <v>8</v>
      </c>
      <c r="C529" s="7">
        <v>0</v>
      </c>
      <c r="D529" s="7">
        <v>0</v>
      </c>
      <c r="E529" s="7">
        <f t="shared" si="48"/>
        <v>11</v>
      </c>
      <c r="F529" s="11" t="e">
        <v>#N/A</v>
      </c>
      <c r="G529">
        <v>3</v>
      </c>
      <c r="H529">
        <v>8</v>
      </c>
      <c r="I529">
        <v>0</v>
      </c>
      <c r="J529">
        <v>0</v>
      </c>
      <c r="K529">
        <f t="shared" si="49"/>
        <v>11</v>
      </c>
      <c r="L529" t="e">
        <v>#N/A</v>
      </c>
      <c r="M529">
        <v>13961.748560460001</v>
      </c>
      <c r="N529" s="7">
        <v>0</v>
      </c>
      <c r="O529" s="7">
        <v>0</v>
      </c>
      <c r="P529" s="7">
        <v>0</v>
      </c>
      <c r="Q529" s="7">
        <v>0</v>
      </c>
      <c r="R529" s="7">
        <f t="shared" si="50"/>
        <v>0</v>
      </c>
      <c r="S529" t="e">
        <v>#N/A</v>
      </c>
      <c r="T529" s="7">
        <v>0</v>
      </c>
      <c r="U529" s="7">
        <v>0</v>
      </c>
      <c r="V529" s="7">
        <v>0</v>
      </c>
      <c r="W529" s="7">
        <v>0</v>
      </c>
      <c r="X529" s="7">
        <f t="shared" si="51"/>
        <v>0</v>
      </c>
      <c r="Y529" t="e">
        <v>#N/A</v>
      </c>
      <c r="AA529" t="s">
        <v>913</v>
      </c>
      <c r="AB529">
        <v>15</v>
      </c>
      <c r="AC529">
        <v>0</v>
      </c>
      <c r="AD529" t="s">
        <v>275</v>
      </c>
      <c r="AE529" t="s">
        <v>75</v>
      </c>
      <c r="AF529" t="e">
        <v>#N/A</v>
      </c>
      <c r="AG529" s="8"/>
      <c r="AH529">
        <v>0</v>
      </c>
      <c r="AI529">
        <v>-11</v>
      </c>
      <c r="AJ529">
        <v>0</v>
      </c>
      <c r="AK529" t="e">
        <v>#N/A</v>
      </c>
      <c r="AL529" t="e">
        <v>#N/A</v>
      </c>
      <c r="AM529">
        <v>-11</v>
      </c>
      <c r="AN529">
        <v>1</v>
      </c>
      <c r="AO529" t="e">
        <v>#N/A</v>
      </c>
      <c r="AP529">
        <v>0</v>
      </c>
      <c r="AQ529">
        <v>0</v>
      </c>
      <c r="AR529">
        <v>0.27272727272727271</v>
      </c>
      <c r="AS529">
        <v>0.72727272727272729</v>
      </c>
      <c r="AT529">
        <v>0</v>
      </c>
      <c r="AU529">
        <v>13961.748560460001</v>
      </c>
      <c r="AV529">
        <v>12</v>
      </c>
      <c r="AW529">
        <f t="shared" si="52"/>
        <v>1</v>
      </c>
      <c r="AX529">
        <v>0</v>
      </c>
      <c r="AY529">
        <f t="shared" si="53"/>
        <v>0</v>
      </c>
      <c r="AZ529" t="e">
        <v>#N/A</v>
      </c>
      <c r="BA529">
        <v>5</v>
      </c>
      <c r="BB529">
        <v>2019</v>
      </c>
      <c r="BC529">
        <v>5</v>
      </c>
      <c r="BD529">
        <v>2019</v>
      </c>
      <c r="BE529" t="e">
        <v>#N/A</v>
      </c>
      <c r="BF529" t="e">
        <v>#N/A</v>
      </c>
    </row>
    <row r="530" spans="1:58" x14ac:dyDescent="0.2">
      <c r="A530" s="7">
        <v>0</v>
      </c>
      <c r="B530" s="7">
        <v>0</v>
      </c>
      <c r="C530" s="7">
        <v>0</v>
      </c>
      <c r="D530" s="7">
        <v>0</v>
      </c>
      <c r="E530" s="7">
        <f t="shared" si="48"/>
        <v>0</v>
      </c>
      <c r="F530" s="11" t="s">
        <v>59</v>
      </c>
      <c r="G530">
        <v>0</v>
      </c>
      <c r="H530">
        <v>0</v>
      </c>
      <c r="I530">
        <v>0</v>
      </c>
      <c r="J530">
        <v>0</v>
      </c>
      <c r="K530">
        <f t="shared" si="49"/>
        <v>0</v>
      </c>
      <c r="L530" t="s">
        <v>59</v>
      </c>
      <c r="M530">
        <v>74597.594984619995</v>
      </c>
      <c r="N530" s="7">
        <v>0</v>
      </c>
      <c r="O530" s="7">
        <v>7</v>
      </c>
      <c r="P530" s="7">
        <v>0</v>
      </c>
      <c r="Q530" s="7">
        <v>1</v>
      </c>
      <c r="R530" s="7">
        <f t="shared" si="50"/>
        <v>8</v>
      </c>
      <c r="S530" t="s">
        <v>44</v>
      </c>
      <c r="T530" s="7">
        <v>0</v>
      </c>
      <c r="U530" s="7">
        <v>7</v>
      </c>
      <c r="V530" s="7">
        <v>0</v>
      </c>
      <c r="W530" s="7">
        <v>0</v>
      </c>
      <c r="X530" s="7">
        <f t="shared" si="51"/>
        <v>7</v>
      </c>
      <c r="Y530" t="s">
        <v>51</v>
      </c>
      <c r="Z530">
        <v>235217.11441867001</v>
      </c>
      <c r="AA530" t="s">
        <v>914</v>
      </c>
      <c r="AB530">
        <v>65</v>
      </c>
      <c r="AC530">
        <v>984</v>
      </c>
      <c r="AD530" t="s">
        <v>46</v>
      </c>
      <c r="AE530" t="s">
        <v>75</v>
      </c>
      <c r="AF530" t="e">
        <v>#N/A</v>
      </c>
      <c r="AG530" s="8">
        <v>114</v>
      </c>
      <c r="AH530">
        <v>-1</v>
      </c>
      <c r="AI530">
        <v>7</v>
      </c>
      <c r="AJ530">
        <v>0</v>
      </c>
      <c r="AK530">
        <v>-8.771929824561403E-3</v>
      </c>
      <c r="AL530">
        <v>-9.3658581158169399E-2</v>
      </c>
      <c r="AM530">
        <v>8</v>
      </c>
      <c r="AN530">
        <v>0</v>
      </c>
      <c r="AO530">
        <v>-0.125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>
        <v>309814.70940329001</v>
      </c>
      <c r="AV530">
        <v>16</v>
      </c>
      <c r="AW530">
        <f t="shared" si="52"/>
        <v>1</v>
      </c>
      <c r="AX530">
        <v>984</v>
      </c>
      <c r="AY530">
        <f t="shared" si="53"/>
        <v>1</v>
      </c>
      <c r="AZ530" t="e">
        <v>#N/A</v>
      </c>
      <c r="BA530">
        <v>10</v>
      </c>
      <c r="BB530">
        <v>2019</v>
      </c>
      <c r="BC530">
        <v>10</v>
      </c>
      <c r="BD530">
        <v>2019</v>
      </c>
      <c r="BE530">
        <v>1</v>
      </c>
      <c r="BF530">
        <v>2019</v>
      </c>
    </row>
    <row r="531" spans="1:58" x14ac:dyDescent="0.2">
      <c r="A531" s="7">
        <v>11</v>
      </c>
      <c r="B531" s="7">
        <v>33</v>
      </c>
      <c r="C531" s="7">
        <v>4</v>
      </c>
      <c r="D531" s="7">
        <v>0</v>
      </c>
      <c r="E531" s="7">
        <f t="shared" si="48"/>
        <v>48</v>
      </c>
      <c r="F531" s="11" t="s">
        <v>36</v>
      </c>
      <c r="G531">
        <v>11</v>
      </c>
      <c r="H531">
        <v>33</v>
      </c>
      <c r="I531">
        <v>4</v>
      </c>
      <c r="J531">
        <v>0</v>
      </c>
      <c r="K531">
        <f t="shared" si="49"/>
        <v>48</v>
      </c>
      <c r="L531" t="s">
        <v>36</v>
      </c>
      <c r="M531">
        <v>55316.427917359993</v>
      </c>
      <c r="N531" s="7">
        <v>16</v>
      </c>
      <c r="O531" s="7">
        <v>33</v>
      </c>
      <c r="P531" s="7">
        <v>6</v>
      </c>
      <c r="Q531" s="7">
        <v>1</v>
      </c>
      <c r="R531" s="7">
        <f t="shared" si="50"/>
        <v>56</v>
      </c>
      <c r="S531" t="s">
        <v>36</v>
      </c>
      <c r="T531" s="7">
        <v>8</v>
      </c>
      <c r="U531" s="7">
        <v>33</v>
      </c>
      <c r="V531" s="7">
        <v>5</v>
      </c>
      <c r="W531" s="7">
        <v>6</v>
      </c>
      <c r="X531" s="7">
        <f t="shared" si="51"/>
        <v>52</v>
      </c>
      <c r="Y531" t="s">
        <v>36</v>
      </c>
      <c r="Z531">
        <v>48187.258868049998</v>
      </c>
      <c r="AA531" t="s">
        <v>915</v>
      </c>
      <c r="AB531">
        <v>73</v>
      </c>
      <c r="AC531">
        <v>935</v>
      </c>
      <c r="AD531" t="s">
        <v>46</v>
      </c>
      <c r="AE531" t="s">
        <v>75</v>
      </c>
      <c r="AF531" t="e">
        <v>#N/A</v>
      </c>
      <c r="AG531" s="8">
        <v>183</v>
      </c>
      <c r="AH531">
        <v>-4</v>
      </c>
      <c r="AI531">
        <v>4</v>
      </c>
      <c r="AJ531">
        <v>0</v>
      </c>
      <c r="AK531">
        <v>-2.185792349726776E-2</v>
      </c>
      <c r="AL531">
        <v>-0.29568850838182914</v>
      </c>
      <c r="AM531">
        <v>8</v>
      </c>
      <c r="AN531">
        <v>0</v>
      </c>
      <c r="AO531">
        <v>-7.1428571428571425E-2</v>
      </c>
      <c r="AP531">
        <v>-8.3333333333333329E-2</v>
      </c>
      <c r="AQ531">
        <v>0</v>
      </c>
      <c r="AR531">
        <v>0.22916666666666666</v>
      </c>
      <c r="AS531">
        <v>0.6875</v>
      </c>
      <c r="AT531">
        <v>8.3333333333333329E-2</v>
      </c>
      <c r="AU531">
        <v>103503.68678540998</v>
      </c>
      <c r="AV531">
        <v>23</v>
      </c>
      <c r="AW531">
        <f t="shared" si="52"/>
        <v>1</v>
      </c>
      <c r="AX531">
        <v>935</v>
      </c>
      <c r="AY531">
        <f t="shared" si="53"/>
        <v>1</v>
      </c>
      <c r="AZ531" t="e">
        <v>#N/A</v>
      </c>
      <c r="BA531">
        <v>2</v>
      </c>
      <c r="BB531">
        <v>2019</v>
      </c>
      <c r="BC531">
        <v>2</v>
      </c>
      <c r="BD531">
        <v>2019</v>
      </c>
      <c r="BE531">
        <v>1</v>
      </c>
      <c r="BF531">
        <v>2019</v>
      </c>
    </row>
    <row r="532" spans="1:58" x14ac:dyDescent="0.2">
      <c r="A532" s="7">
        <v>10</v>
      </c>
      <c r="B532" s="7">
        <v>20</v>
      </c>
      <c r="C532" s="7">
        <v>0</v>
      </c>
      <c r="D532" s="7">
        <v>3</v>
      </c>
      <c r="E532" s="7">
        <f t="shared" si="48"/>
        <v>33</v>
      </c>
      <c r="F532" s="11" t="s">
        <v>36</v>
      </c>
      <c r="G532">
        <v>10</v>
      </c>
      <c r="H532">
        <v>20</v>
      </c>
      <c r="I532">
        <v>0</v>
      </c>
      <c r="J532">
        <v>3</v>
      </c>
      <c r="K532">
        <f t="shared" si="49"/>
        <v>33</v>
      </c>
      <c r="L532" t="s">
        <v>36</v>
      </c>
      <c r="M532">
        <v>21947.95167002</v>
      </c>
      <c r="N532" s="7">
        <v>11</v>
      </c>
      <c r="O532" s="7">
        <v>28</v>
      </c>
      <c r="P532" s="7">
        <v>0</v>
      </c>
      <c r="Q532" s="7">
        <v>6</v>
      </c>
      <c r="R532" s="7">
        <f t="shared" si="50"/>
        <v>45</v>
      </c>
      <c r="S532" t="s">
        <v>36</v>
      </c>
      <c r="T532" s="7">
        <v>16</v>
      </c>
      <c r="U532" s="7">
        <v>28</v>
      </c>
      <c r="V532" s="7">
        <v>9</v>
      </c>
      <c r="W532" s="7">
        <v>7</v>
      </c>
      <c r="X532" s="7">
        <f t="shared" si="51"/>
        <v>60</v>
      </c>
      <c r="Y532" t="s">
        <v>36</v>
      </c>
      <c r="Z532">
        <v>144699.63267903999</v>
      </c>
      <c r="AA532" t="s">
        <v>916</v>
      </c>
      <c r="AB532">
        <v>56</v>
      </c>
      <c r="AC532">
        <v>117</v>
      </c>
      <c r="AD532" t="s">
        <v>119</v>
      </c>
      <c r="AE532" t="s">
        <v>41</v>
      </c>
      <c r="AF532" t="e">
        <v>#N/A</v>
      </c>
      <c r="AG532" s="8">
        <v>237</v>
      </c>
      <c r="AH532">
        <v>15</v>
      </c>
      <c r="AI532">
        <v>27</v>
      </c>
      <c r="AJ532">
        <v>0</v>
      </c>
      <c r="AK532">
        <v>6.3291139240506333E-2</v>
      </c>
      <c r="AL532">
        <v>0.97435470369244637</v>
      </c>
      <c r="AM532">
        <v>12</v>
      </c>
      <c r="AN532">
        <v>0</v>
      </c>
      <c r="AO532">
        <v>0.33333333333333331</v>
      </c>
      <c r="AP532">
        <v>0.45454545454545453</v>
      </c>
      <c r="AQ532">
        <v>9.0909090909090912E-2</v>
      </c>
      <c r="AR532">
        <v>0.30303030303030304</v>
      </c>
      <c r="AS532">
        <v>0.60606060606060608</v>
      </c>
      <c r="AT532">
        <v>0</v>
      </c>
      <c r="AU532">
        <v>166647.58434905999</v>
      </c>
      <c r="AV532">
        <v>6</v>
      </c>
      <c r="AW532">
        <f t="shared" si="52"/>
        <v>0</v>
      </c>
      <c r="AX532">
        <v>117</v>
      </c>
      <c r="AY532">
        <f t="shared" si="53"/>
        <v>1</v>
      </c>
      <c r="AZ532" t="e">
        <v>#N/A</v>
      </c>
      <c r="BA532">
        <v>11</v>
      </c>
      <c r="BB532">
        <v>2019</v>
      </c>
      <c r="BC532">
        <v>11</v>
      </c>
      <c r="BD532">
        <v>2019</v>
      </c>
      <c r="BE532">
        <v>1</v>
      </c>
      <c r="BF532">
        <v>2019</v>
      </c>
    </row>
    <row r="533" spans="1:58" x14ac:dyDescent="0.2">
      <c r="A533" s="7">
        <v>3</v>
      </c>
      <c r="B533" s="7">
        <v>36</v>
      </c>
      <c r="C533" s="7">
        <v>6</v>
      </c>
      <c r="D533" s="7">
        <v>3</v>
      </c>
      <c r="E533" s="7">
        <f t="shared" si="48"/>
        <v>48</v>
      </c>
      <c r="F533" s="11" t="s">
        <v>53</v>
      </c>
      <c r="G533">
        <v>3</v>
      </c>
      <c r="H533">
        <v>36</v>
      </c>
      <c r="I533">
        <v>6</v>
      </c>
      <c r="J533">
        <v>3</v>
      </c>
      <c r="K533">
        <f t="shared" si="49"/>
        <v>48</v>
      </c>
      <c r="L533" t="s">
        <v>53</v>
      </c>
      <c r="M533">
        <v>11917.441440000001</v>
      </c>
      <c r="N533" s="7">
        <v>5</v>
      </c>
      <c r="O533" s="7">
        <v>39</v>
      </c>
      <c r="P533" s="7">
        <v>6</v>
      </c>
      <c r="Q533" s="7">
        <v>3</v>
      </c>
      <c r="R533" s="7">
        <f t="shared" si="50"/>
        <v>53</v>
      </c>
      <c r="S533" t="s">
        <v>53</v>
      </c>
      <c r="T533" s="7">
        <v>5</v>
      </c>
      <c r="U533" s="7">
        <v>39</v>
      </c>
      <c r="V533" s="7">
        <v>6</v>
      </c>
      <c r="W533" s="7">
        <v>3</v>
      </c>
      <c r="X533" s="7">
        <f t="shared" si="51"/>
        <v>53</v>
      </c>
      <c r="Y533" t="s">
        <v>53</v>
      </c>
      <c r="Z533">
        <v>13627.787759999999</v>
      </c>
      <c r="AA533" t="s">
        <v>917</v>
      </c>
      <c r="AB533">
        <v>25</v>
      </c>
      <c r="AC533">
        <v>0</v>
      </c>
      <c r="AD533" t="s">
        <v>276</v>
      </c>
      <c r="AE533" t="s">
        <v>41</v>
      </c>
      <c r="AF533" t="e">
        <v>#N/A</v>
      </c>
      <c r="AG533" s="8">
        <v>0</v>
      </c>
      <c r="AH533">
        <v>0</v>
      </c>
      <c r="AI533">
        <v>5</v>
      </c>
      <c r="AJ533">
        <v>0</v>
      </c>
      <c r="AK533" t="e">
        <v>#N/A</v>
      </c>
      <c r="AL533" t="e">
        <v>#N/A</v>
      </c>
      <c r="AM533">
        <v>5</v>
      </c>
      <c r="AN533">
        <v>0</v>
      </c>
      <c r="AO533">
        <v>0</v>
      </c>
      <c r="AP533">
        <v>0</v>
      </c>
      <c r="AQ533">
        <v>6.25E-2</v>
      </c>
      <c r="AR533">
        <v>6.25E-2</v>
      </c>
      <c r="AS533">
        <v>0.75</v>
      </c>
      <c r="AT533">
        <v>0.125</v>
      </c>
      <c r="AU533">
        <v>25545.229200000002</v>
      </c>
      <c r="AV533">
        <v>4</v>
      </c>
      <c r="AW533">
        <f t="shared" si="52"/>
        <v>0</v>
      </c>
      <c r="AX533">
        <v>0</v>
      </c>
      <c r="AY533">
        <f t="shared" si="53"/>
        <v>0</v>
      </c>
      <c r="AZ533" t="e">
        <v>#N/A</v>
      </c>
      <c r="BA533">
        <v>8</v>
      </c>
      <c r="BB533">
        <v>2019</v>
      </c>
      <c r="BC533">
        <v>8</v>
      </c>
      <c r="BD533">
        <v>2019</v>
      </c>
      <c r="BE533">
        <v>9</v>
      </c>
      <c r="BF533">
        <v>2019</v>
      </c>
    </row>
    <row r="534" spans="1:58" x14ac:dyDescent="0.2">
      <c r="A534" s="7">
        <v>12</v>
      </c>
      <c r="B534" s="7">
        <v>15</v>
      </c>
      <c r="C534" s="7">
        <v>2</v>
      </c>
      <c r="D534" s="7">
        <v>0</v>
      </c>
      <c r="E534" s="7">
        <f t="shared" si="48"/>
        <v>29</v>
      </c>
      <c r="F534" s="11" t="s">
        <v>54</v>
      </c>
      <c r="G534">
        <v>12</v>
      </c>
      <c r="H534">
        <v>15</v>
      </c>
      <c r="I534">
        <v>2</v>
      </c>
      <c r="J534">
        <v>0</v>
      </c>
      <c r="K534">
        <f t="shared" si="49"/>
        <v>29</v>
      </c>
      <c r="L534" t="s">
        <v>54</v>
      </c>
      <c r="M534">
        <v>38798.279735130003</v>
      </c>
      <c r="N534" s="7">
        <v>13</v>
      </c>
      <c r="O534" s="7">
        <v>26</v>
      </c>
      <c r="P534" s="7">
        <v>2</v>
      </c>
      <c r="Q534" s="7">
        <v>5</v>
      </c>
      <c r="R534" s="7">
        <f t="shared" si="50"/>
        <v>46</v>
      </c>
      <c r="S534" t="s">
        <v>36</v>
      </c>
      <c r="T534" s="7">
        <v>17</v>
      </c>
      <c r="U534" s="7">
        <v>36</v>
      </c>
      <c r="V534" s="7">
        <v>9</v>
      </c>
      <c r="W534" s="7">
        <v>7</v>
      </c>
      <c r="X534" s="7">
        <f t="shared" si="51"/>
        <v>69</v>
      </c>
      <c r="Y534" t="s">
        <v>42</v>
      </c>
      <c r="Z534">
        <v>109454.32349094001</v>
      </c>
      <c r="AA534" t="s">
        <v>918</v>
      </c>
      <c r="AB534">
        <v>37</v>
      </c>
      <c r="AC534">
        <v>240</v>
      </c>
      <c r="AD534" t="s">
        <v>258</v>
      </c>
      <c r="AE534" t="s">
        <v>75</v>
      </c>
      <c r="AF534" t="e">
        <v>#N/A</v>
      </c>
      <c r="AG534" s="8">
        <v>95</v>
      </c>
      <c r="AH534">
        <v>23</v>
      </c>
      <c r="AI534">
        <v>40</v>
      </c>
      <c r="AJ534">
        <v>0</v>
      </c>
      <c r="AK534">
        <v>0.24210526315789474</v>
      </c>
      <c r="AL534">
        <v>2.3597502097958545</v>
      </c>
      <c r="AM534">
        <v>17</v>
      </c>
      <c r="AN534">
        <v>0</v>
      </c>
      <c r="AO534">
        <v>0.5</v>
      </c>
      <c r="AP534">
        <v>0.7931034482758621</v>
      </c>
      <c r="AQ534">
        <v>0</v>
      </c>
      <c r="AR534">
        <v>0.41379310344827586</v>
      </c>
      <c r="AS534">
        <v>0.51724137931034486</v>
      </c>
      <c r="AT534">
        <v>6.8965517241379309E-2</v>
      </c>
      <c r="AU534">
        <v>148252.60322607</v>
      </c>
      <c r="AV534">
        <v>8</v>
      </c>
      <c r="AW534">
        <f t="shared" si="52"/>
        <v>0</v>
      </c>
      <c r="AX534">
        <v>240</v>
      </c>
      <c r="AY534">
        <f t="shared" si="53"/>
        <v>1</v>
      </c>
      <c r="AZ534" t="e">
        <v>#N/A</v>
      </c>
      <c r="BA534">
        <v>10</v>
      </c>
      <c r="BB534">
        <v>2019</v>
      </c>
      <c r="BC534">
        <v>10</v>
      </c>
      <c r="BD534">
        <v>2019</v>
      </c>
      <c r="BE534">
        <v>1</v>
      </c>
      <c r="BF534">
        <v>2019</v>
      </c>
    </row>
    <row r="535" spans="1:58" x14ac:dyDescent="0.2">
      <c r="A535" s="7">
        <v>0</v>
      </c>
      <c r="B535" s="7">
        <v>0</v>
      </c>
      <c r="C535" s="7">
        <v>0</v>
      </c>
      <c r="D535" s="7">
        <v>3</v>
      </c>
      <c r="E535" s="7">
        <f t="shared" si="48"/>
        <v>3</v>
      </c>
      <c r="F535" s="11" t="s">
        <v>36</v>
      </c>
      <c r="G535">
        <v>0</v>
      </c>
      <c r="H535">
        <v>0</v>
      </c>
      <c r="I535">
        <v>0</v>
      </c>
      <c r="J535">
        <v>0</v>
      </c>
      <c r="K535">
        <f t="shared" si="49"/>
        <v>0</v>
      </c>
      <c r="L535" t="s">
        <v>36</v>
      </c>
      <c r="M535">
        <v>38545.485168329993</v>
      </c>
      <c r="N535" s="7">
        <v>0</v>
      </c>
      <c r="O535" s="7">
        <v>16</v>
      </c>
      <c r="P535" s="7">
        <v>0</v>
      </c>
      <c r="Q535" s="7">
        <v>3</v>
      </c>
      <c r="R535" s="7">
        <f t="shared" si="50"/>
        <v>19</v>
      </c>
      <c r="S535" t="s">
        <v>36</v>
      </c>
      <c r="T535" s="7">
        <v>4</v>
      </c>
      <c r="U535" s="7">
        <v>16</v>
      </c>
      <c r="V535" s="7">
        <v>4</v>
      </c>
      <c r="W535" s="7">
        <v>29</v>
      </c>
      <c r="X535" s="7">
        <f t="shared" si="51"/>
        <v>53</v>
      </c>
      <c r="Y535" t="s">
        <v>42</v>
      </c>
      <c r="Z535">
        <v>238453.36845015001</v>
      </c>
      <c r="AA535" t="s">
        <v>919</v>
      </c>
      <c r="AB535">
        <v>77</v>
      </c>
      <c r="AC535">
        <v>459</v>
      </c>
      <c r="AD535" t="s">
        <v>254</v>
      </c>
      <c r="AE535" t="s">
        <v>41</v>
      </c>
      <c r="AF535">
        <v>23</v>
      </c>
      <c r="AG535" s="8">
        <v>158</v>
      </c>
      <c r="AH535">
        <v>34</v>
      </c>
      <c r="AI535">
        <v>50</v>
      </c>
      <c r="AJ535">
        <v>-3</v>
      </c>
      <c r="AK535">
        <v>0.21518987341772153</v>
      </c>
      <c r="AL535">
        <v>2.7048947661974823</v>
      </c>
      <c r="AM535">
        <v>19</v>
      </c>
      <c r="AN535">
        <v>0</v>
      </c>
      <c r="AO535">
        <v>1.7894736842105263</v>
      </c>
      <c r="AP535">
        <v>11.333333333333334</v>
      </c>
      <c r="AQ535">
        <v>1</v>
      </c>
      <c r="AR535">
        <v>0</v>
      </c>
      <c r="AS535">
        <v>0</v>
      </c>
      <c r="AT535">
        <v>0</v>
      </c>
      <c r="AU535">
        <v>276998.85361848003</v>
      </c>
      <c r="AV535">
        <v>15</v>
      </c>
      <c r="AW535">
        <f t="shared" si="52"/>
        <v>1</v>
      </c>
      <c r="AX535">
        <v>459</v>
      </c>
      <c r="AY535">
        <f t="shared" si="53"/>
        <v>1</v>
      </c>
      <c r="AZ535">
        <v>19.956521739130434</v>
      </c>
      <c r="BA535">
        <v>1</v>
      </c>
      <c r="BB535">
        <v>2019</v>
      </c>
      <c r="BC535">
        <v>1</v>
      </c>
      <c r="BD535">
        <v>2019</v>
      </c>
      <c r="BE535">
        <v>1</v>
      </c>
      <c r="BF535">
        <v>2019</v>
      </c>
    </row>
    <row r="536" spans="1:58" x14ac:dyDescent="0.2">
      <c r="A536" s="7">
        <v>0</v>
      </c>
      <c r="B536" s="7">
        <v>0</v>
      </c>
      <c r="C536" s="7">
        <v>0</v>
      </c>
      <c r="D536" s="7">
        <v>0</v>
      </c>
      <c r="E536" s="7">
        <f t="shared" si="48"/>
        <v>0</v>
      </c>
      <c r="F536" s="11" t="s">
        <v>36</v>
      </c>
      <c r="G536">
        <v>0</v>
      </c>
      <c r="H536">
        <v>0</v>
      </c>
      <c r="I536">
        <v>0</v>
      </c>
      <c r="J536">
        <v>0</v>
      </c>
      <c r="K536">
        <f t="shared" si="49"/>
        <v>0</v>
      </c>
      <c r="L536" t="s">
        <v>36</v>
      </c>
      <c r="M536">
        <v>51543.993791269997</v>
      </c>
      <c r="N536" s="7">
        <v>0</v>
      </c>
      <c r="O536" s="7">
        <v>2</v>
      </c>
      <c r="P536" s="7">
        <v>0</v>
      </c>
      <c r="Q536" s="7">
        <v>2</v>
      </c>
      <c r="R536" s="7">
        <f t="shared" si="50"/>
        <v>4</v>
      </c>
      <c r="S536" t="s">
        <v>36</v>
      </c>
      <c r="T536" s="7">
        <v>20</v>
      </c>
      <c r="U536" s="7">
        <v>40</v>
      </c>
      <c r="V536" s="7">
        <v>9</v>
      </c>
      <c r="W536" s="7">
        <v>13</v>
      </c>
      <c r="X536" s="7">
        <f t="shared" si="51"/>
        <v>82</v>
      </c>
      <c r="Y536" t="s">
        <v>36</v>
      </c>
      <c r="Z536">
        <v>191272.76391676001</v>
      </c>
      <c r="AA536" t="s">
        <v>920</v>
      </c>
      <c r="AB536">
        <v>29</v>
      </c>
      <c r="AC536">
        <v>648</v>
      </c>
      <c r="AD536" t="s">
        <v>252</v>
      </c>
      <c r="AE536" t="s">
        <v>75</v>
      </c>
      <c r="AF536" t="e">
        <v>#N/A</v>
      </c>
      <c r="AG536" s="8">
        <v>229</v>
      </c>
      <c r="AH536">
        <v>78</v>
      </c>
      <c r="AI536">
        <v>82</v>
      </c>
      <c r="AJ536">
        <v>0</v>
      </c>
      <c r="AK536">
        <v>0.34061135371179041</v>
      </c>
      <c r="AL536">
        <v>5.1543850835497</v>
      </c>
      <c r="AM536">
        <v>4</v>
      </c>
      <c r="AN536">
        <v>0</v>
      </c>
      <c r="AO536">
        <v>19.5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>
        <v>242816.75770803</v>
      </c>
      <c r="AV536">
        <v>8</v>
      </c>
      <c r="AW536">
        <f t="shared" si="52"/>
        <v>0</v>
      </c>
      <c r="AX536">
        <v>648</v>
      </c>
      <c r="AY536">
        <f t="shared" si="53"/>
        <v>1</v>
      </c>
      <c r="AZ536" t="e">
        <v>#N/A</v>
      </c>
      <c r="BA536">
        <v>1</v>
      </c>
      <c r="BB536">
        <v>2019</v>
      </c>
      <c r="BC536">
        <v>1</v>
      </c>
      <c r="BD536">
        <v>2019</v>
      </c>
      <c r="BE536">
        <v>2</v>
      </c>
      <c r="BF536">
        <v>2019</v>
      </c>
    </row>
    <row r="537" spans="1:58" x14ac:dyDescent="0.2">
      <c r="A537" s="7">
        <v>0</v>
      </c>
      <c r="B537" s="7">
        <v>0</v>
      </c>
      <c r="C537" s="7">
        <v>0</v>
      </c>
      <c r="D537" s="7">
        <v>0</v>
      </c>
      <c r="E537" s="7">
        <f t="shared" si="48"/>
        <v>0</v>
      </c>
      <c r="F537" s="11" t="s">
        <v>59</v>
      </c>
      <c r="G537">
        <v>0</v>
      </c>
      <c r="H537">
        <v>0</v>
      </c>
      <c r="I537">
        <v>0</v>
      </c>
      <c r="J537">
        <v>0</v>
      </c>
      <c r="K537">
        <f t="shared" si="49"/>
        <v>0</v>
      </c>
      <c r="L537" t="s">
        <v>59</v>
      </c>
      <c r="M537">
        <v>104870.78186865</v>
      </c>
      <c r="N537" s="7">
        <v>0</v>
      </c>
      <c r="O537" s="7">
        <v>0</v>
      </c>
      <c r="P537" s="7">
        <v>0</v>
      </c>
      <c r="Q537" s="7">
        <v>0</v>
      </c>
      <c r="R537" s="7">
        <f t="shared" si="50"/>
        <v>0</v>
      </c>
      <c r="S537" t="e">
        <v>#N/A</v>
      </c>
      <c r="T537" s="7">
        <v>0</v>
      </c>
      <c r="U537" s="7">
        <v>0</v>
      </c>
      <c r="V537" s="7">
        <v>0</v>
      </c>
      <c r="W537" s="7">
        <v>0</v>
      </c>
      <c r="X537" s="7">
        <f t="shared" si="51"/>
        <v>0</v>
      </c>
      <c r="Y537" t="e">
        <v>#N/A</v>
      </c>
      <c r="AA537" t="s">
        <v>921</v>
      </c>
      <c r="AB537">
        <v>70</v>
      </c>
      <c r="AC537">
        <v>1392</v>
      </c>
      <c r="AD537" t="s">
        <v>46</v>
      </c>
      <c r="AE537" t="s">
        <v>75</v>
      </c>
      <c r="AF537" t="e">
        <v>#N/A</v>
      </c>
      <c r="AG537" s="8"/>
      <c r="AH537">
        <v>0</v>
      </c>
      <c r="AI537">
        <v>0</v>
      </c>
      <c r="AJ537">
        <v>0</v>
      </c>
      <c r="AK537" t="e">
        <v>#N/A</v>
      </c>
      <c r="AL537" t="e">
        <v>#N/A</v>
      </c>
      <c r="AM537">
        <v>0</v>
      </c>
      <c r="AN537">
        <v>0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>
        <v>104870.78186865</v>
      </c>
      <c r="AV537">
        <v>15</v>
      </c>
      <c r="AW537">
        <f t="shared" si="52"/>
        <v>1</v>
      </c>
      <c r="AX537">
        <v>1392</v>
      </c>
      <c r="AY537">
        <f t="shared" si="53"/>
        <v>1</v>
      </c>
      <c r="AZ537" t="e">
        <v>#N/A</v>
      </c>
      <c r="BA537">
        <v>1</v>
      </c>
      <c r="BB537">
        <v>2019</v>
      </c>
      <c r="BC537">
        <v>1</v>
      </c>
      <c r="BD537">
        <v>2019</v>
      </c>
      <c r="BE537" t="e">
        <v>#N/A</v>
      </c>
      <c r="BF537" t="e">
        <v>#N/A</v>
      </c>
    </row>
    <row r="538" spans="1:58" x14ac:dyDescent="0.2">
      <c r="A538" s="7">
        <v>0</v>
      </c>
      <c r="B538" s="7">
        <v>2</v>
      </c>
      <c r="C538" s="7">
        <v>0</v>
      </c>
      <c r="D538" s="7">
        <v>0</v>
      </c>
      <c r="E538" s="7">
        <f t="shared" si="48"/>
        <v>2</v>
      </c>
      <c r="F538" s="11" t="s">
        <v>37</v>
      </c>
      <c r="G538">
        <v>0</v>
      </c>
      <c r="H538">
        <v>2</v>
      </c>
      <c r="I538">
        <v>0</v>
      </c>
      <c r="J538">
        <v>0</v>
      </c>
      <c r="K538">
        <f t="shared" si="49"/>
        <v>2</v>
      </c>
      <c r="L538" t="s">
        <v>37</v>
      </c>
      <c r="M538">
        <v>112746.455284</v>
      </c>
      <c r="N538" s="7">
        <v>0</v>
      </c>
      <c r="O538" s="7">
        <v>9</v>
      </c>
      <c r="P538" s="7">
        <v>0</v>
      </c>
      <c r="Q538" s="7">
        <v>0</v>
      </c>
      <c r="R538" s="7">
        <f t="shared" si="50"/>
        <v>9</v>
      </c>
      <c r="S538" t="s">
        <v>66</v>
      </c>
      <c r="T538" s="7">
        <v>9</v>
      </c>
      <c r="U538" s="7">
        <v>39</v>
      </c>
      <c r="V538" s="7">
        <v>6</v>
      </c>
      <c r="W538" s="7">
        <v>5</v>
      </c>
      <c r="X538" s="7">
        <f t="shared" si="51"/>
        <v>59</v>
      </c>
      <c r="Y538" t="s">
        <v>51</v>
      </c>
      <c r="Z538">
        <v>197079.38237937001</v>
      </c>
      <c r="AA538" t="s">
        <v>922</v>
      </c>
      <c r="AB538">
        <v>68</v>
      </c>
      <c r="AC538">
        <v>1364</v>
      </c>
      <c r="AD538" t="s">
        <v>253</v>
      </c>
      <c r="AE538" t="s">
        <v>75</v>
      </c>
      <c r="AF538">
        <v>51</v>
      </c>
      <c r="AG538" s="8">
        <v>319</v>
      </c>
      <c r="AH538">
        <v>50</v>
      </c>
      <c r="AI538">
        <v>57</v>
      </c>
      <c r="AJ538">
        <v>0</v>
      </c>
      <c r="AK538">
        <v>0.15673981191222572</v>
      </c>
      <c r="AL538">
        <v>2.7994625547792715</v>
      </c>
      <c r="AM538">
        <v>7</v>
      </c>
      <c r="AN538">
        <v>0</v>
      </c>
      <c r="AO538">
        <v>5.5555555555555554</v>
      </c>
      <c r="AP538">
        <v>25</v>
      </c>
      <c r="AQ538">
        <v>0</v>
      </c>
      <c r="AR538">
        <v>0</v>
      </c>
      <c r="AS538">
        <v>1</v>
      </c>
      <c r="AT538">
        <v>0</v>
      </c>
      <c r="AU538">
        <v>309825.83766337001</v>
      </c>
      <c r="AV538">
        <v>22</v>
      </c>
      <c r="AW538">
        <f t="shared" si="52"/>
        <v>1</v>
      </c>
      <c r="AX538">
        <v>1364</v>
      </c>
      <c r="AY538">
        <f t="shared" si="53"/>
        <v>1</v>
      </c>
      <c r="AZ538">
        <v>26.745098039215687</v>
      </c>
      <c r="BA538">
        <v>2</v>
      </c>
      <c r="BB538">
        <v>2019</v>
      </c>
      <c r="BC538">
        <v>4</v>
      </c>
      <c r="BD538">
        <v>2019</v>
      </c>
      <c r="BE538">
        <v>1</v>
      </c>
      <c r="BF538">
        <v>2019</v>
      </c>
    </row>
    <row r="539" spans="1:58" x14ac:dyDescent="0.2">
      <c r="A539" s="7">
        <v>20</v>
      </c>
      <c r="B539" s="7">
        <v>40</v>
      </c>
      <c r="C539" s="7">
        <v>10</v>
      </c>
      <c r="D539" s="7">
        <v>19</v>
      </c>
      <c r="E539" s="7">
        <f t="shared" si="48"/>
        <v>89</v>
      </c>
      <c r="F539" s="11" t="s">
        <v>36</v>
      </c>
      <c r="G539">
        <v>20</v>
      </c>
      <c r="H539">
        <v>40</v>
      </c>
      <c r="I539">
        <v>9</v>
      </c>
      <c r="J539">
        <v>19</v>
      </c>
      <c r="K539">
        <f t="shared" si="49"/>
        <v>88</v>
      </c>
      <c r="L539" t="s">
        <v>36</v>
      </c>
      <c r="M539">
        <v>7291.59565939</v>
      </c>
      <c r="N539" s="7">
        <v>20</v>
      </c>
      <c r="O539" s="7">
        <v>40</v>
      </c>
      <c r="P539" s="7">
        <v>9</v>
      </c>
      <c r="Q539" s="7">
        <v>19</v>
      </c>
      <c r="R539" s="7">
        <f t="shared" si="50"/>
        <v>88</v>
      </c>
      <c r="S539" t="s">
        <v>36</v>
      </c>
      <c r="T539" s="7">
        <v>20</v>
      </c>
      <c r="U539" s="7">
        <v>40</v>
      </c>
      <c r="V539" s="7">
        <v>9</v>
      </c>
      <c r="W539" s="7">
        <v>19</v>
      </c>
      <c r="X539" s="7">
        <f t="shared" si="51"/>
        <v>88</v>
      </c>
      <c r="Y539" t="s">
        <v>36</v>
      </c>
      <c r="Z539">
        <v>14117.064837739999</v>
      </c>
      <c r="AA539" t="s">
        <v>923</v>
      </c>
      <c r="AB539">
        <v>72</v>
      </c>
      <c r="AC539">
        <v>0</v>
      </c>
      <c r="AD539" t="s">
        <v>217</v>
      </c>
      <c r="AE539" t="s">
        <v>75</v>
      </c>
      <c r="AF539">
        <v>66</v>
      </c>
      <c r="AG539" s="8">
        <v>243</v>
      </c>
      <c r="AH539">
        <v>0</v>
      </c>
      <c r="AI539">
        <v>-1</v>
      </c>
      <c r="AJ539">
        <v>-1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0.21348314606741572</v>
      </c>
      <c r="AR539">
        <v>0.2247191011235955</v>
      </c>
      <c r="AS539">
        <v>0.449438202247191</v>
      </c>
      <c r="AT539">
        <v>0.11235955056179775</v>
      </c>
      <c r="AU539">
        <v>21408.66049713</v>
      </c>
      <c r="AV539">
        <v>9</v>
      </c>
      <c r="AW539">
        <f t="shared" si="52"/>
        <v>0</v>
      </c>
      <c r="AX539">
        <v>0</v>
      </c>
      <c r="AY539">
        <f t="shared" si="53"/>
        <v>0</v>
      </c>
      <c r="AZ539">
        <v>0</v>
      </c>
      <c r="BA539">
        <v>2</v>
      </c>
      <c r="BB539">
        <v>2019</v>
      </c>
      <c r="BC539">
        <v>5</v>
      </c>
      <c r="BD539">
        <v>2019</v>
      </c>
      <c r="BE539">
        <v>1</v>
      </c>
      <c r="BF539">
        <v>2019</v>
      </c>
    </row>
    <row r="540" spans="1:58" x14ac:dyDescent="0.2">
      <c r="A540" s="7">
        <v>0</v>
      </c>
      <c r="B540" s="7">
        <v>10</v>
      </c>
      <c r="C540" s="7">
        <v>1</v>
      </c>
      <c r="D540" s="7">
        <v>3</v>
      </c>
      <c r="E540" s="7">
        <f t="shared" si="48"/>
        <v>14</v>
      </c>
      <c r="F540" s="11" t="s">
        <v>36</v>
      </c>
      <c r="G540">
        <v>0</v>
      </c>
      <c r="H540">
        <v>10</v>
      </c>
      <c r="I540">
        <v>1</v>
      </c>
      <c r="J540">
        <v>3</v>
      </c>
      <c r="K540">
        <f t="shared" si="49"/>
        <v>14</v>
      </c>
      <c r="L540" t="s">
        <v>36</v>
      </c>
      <c r="M540">
        <v>14122.379307839999</v>
      </c>
      <c r="N540" s="7">
        <v>4</v>
      </c>
      <c r="O540" s="7">
        <v>18</v>
      </c>
      <c r="P540" s="7">
        <v>1</v>
      </c>
      <c r="Q540" s="7">
        <v>3</v>
      </c>
      <c r="R540" s="7">
        <f t="shared" si="50"/>
        <v>26</v>
      </c>
      <c r="S540" t="s">
        <v>36</v>
      </c>
      <c r="T540" s="7">
        <v>19</v>
      </c>
      <c r="U540" s="7">
        <v>40</v>
      </c>
      <c r="V540" s="7">
        <v>9</v>
      </c>
      <c r="W540" s="7">
        <v>29</v>
      </c>
      <c r="X540" s="7">
        <f t="shared" si="51"/>
        <v>97</v>
      </c>
      <c r="Y540" t="s">
        <v>36</v>
      </c>
      <c r="Z540">
        <v>103135.76116241</v>
      </c>
      <c r="AA540" t="s">
        <v>924</v>
      </c>
      <c r="AB540">
        <v>53</v>
      </c>
      <c r="AC540">
        <v>97</v>
      </c>
      <c r="AD540" t="s">
        <v>254</v>
      </c>
      <c r="AE540" t="s">
        <v>41</v>
      </c>
      <c r="AF540" t="e">
        <v>#N/A</v>
      </c>
      <c r="AG540" s="8">
        <v>217</v>
      </c>
      <c r="AH540">
        <v>71</v>
      </c>
      <c r="AI540">
        <v>83</v>
      </c>
      <c r="AJ540">
        <v>0</v>
      </c>
      <c r="AK540">
        <v>0.32718894009216593</v>
      </c>
      <c r="AL540">
        <v>4.8197940564451276</v>
      </c>
      <c r="AM540">
        <v>12</v>
      </c>
      <c r="AN540">
        <v>0</v>
      </c>
      <c r="AO540">
        <v>2.7307692307692308</v>
      </c>
      <c r="AP540">
        <v>5.0714285714285712</v>
      </c>
      <c r="AQ540">
        <v>0.21428571428571427</v>
      </c>
      <c r="AR540">
        <v>0</v>
      </c>
      <c r="AS540">
        <v>0.7142857142857143</v>
      </c>
      <c r="AT540">
        <v>7.1428571428571425E-2</v>
      </c>
      <c r="AU540">
        <v>117258.14047025</v>
      </c>
      <c r="AV540">
        <v>4</v>
      </c>
      <c r="AW540">
        <f t="shared" si="52"/>
        <v>0</v>
      </c>
      <c r="AX540">
        <v>97</v>
      </c>
      <c r="AY540">
        <f t="shared" si="53"/>
        <v>1</v>
      </c>
      <c r="AZ540" t="e">
        <v>#N/A</v>
      </c>
      <c r="BA540">
        <v>1</v>
      </c>
      <c r="BB540">
        <v>2019</v>
      </c>
      <c r="BC540">
        <v>1</v>
      </c>
      <c r="BD540">
        <v>2019</v>
      </c>
      <c r="BE540">
        <v>1</v>
      </c>
      <c r="BF540">
        <v>2019</v>
      </c>
    </row>
    <row r="541" spans="1:58" x14ac:dyDescent="0.2">
      <c r="A541" s="7">
        <v>4</v>
      </c>
      <c r="B541" s="7">
        <v>10</v>
      </c>
      <c r="C541" s="7">
        <v>0</v>
      </c>
      <c r="D541" s="7">
        <v>0</v>
      </c>
      <c r="E541" s="7">
        <f t="shared" si="48"/>
        <v>14</v>
      </c>
      <c r="F541" s="11" t="s">
        <v>36</v>
      </c>
      <c r="G541">
        <v>4</v>
      </c>
      <c r="H541">
        <v>10</v>
      </c>
      <c r="I541">
        <v>0</v>
      </c>
      <c r="J541">
        <v>0</v>
      </c>
      <c r="K541">
        <f t="shared" si="49"/>
        <v>14</v>
      </c>
      <c r="L541" t="s">
        <v>36</v>
      </c>
      <c r="M541">
        <v>15995.364358569999</v>
      </c>
      <c r="N541" s="7">
        <v>13</v>
      </c>
      <c r="O541" s="7">
        <v>19</v>
      </c>
      <c r="P541" s="7">
        <v>2</v>
      </c>
      <c r="Q541" s="7">
        <v>1</v>
      </c>
      <c r="R541" s="7">
        <f t="shared" si="50"/>
        <v>35</v>
      </c>
      <c r="S541" t="s">
        <v>36</v>
      </c>
      <c r="T541" s="7">
        <v>19</v>
      </c>
      <c r="U541" s="7">
        <v>40</v>
      </c>
      <c r="V541" s="7">
        <v>9</v>
      </c>
      <c r="W541" s="7">
        <v>10</v>
      </c>
      <c r="X541" s="7">
        <f t="shared" si="51"/>
        <v>78</v>
      </c>
      <c r="Y541" t="s">
        <v>36</v>
      </c>
      <c r="Z541">
        <v>180081.30310573001</v>
      </c>
      <c r="AA541" t="s">
        <v>925</v>
      </c>
      <c r="AB541">
        <v>66</v>
      </c>
      <c r="AC541">
        <v>72</v>
      </c>
      <c r="AD541" t="s">
        <v>119</v>
      </c>
      <c r="AE541" t="s">
        <v>75</v>
      </c>
      <c r="AF541" t="e">
        <v>#N/A</v>
      </c>
      <c r="AG541" s="8">
        <v>250</v>
      </c>
      <c r="AH541">
        <v>43</v>
      </c>
      <c r="AI541">
        <v>64</v>
      </c>
      <c r="AJ541">
        <v>0</v>
      </c>
      <c r="AK541">
        <v>0.17199999999999999</v>
      </c>
      <c r="AL541">
        <v>2.7195587877448064</v>
      </c>
      <c r="AM541">
        <v>21</v>
      </c>
      <c r="AN541">
        <v>0</v>
      </c>
      <c r="AO541">
        <v>1.2285714285714286</v>
      </c>
      <c r="AP541">
        <v>3.0714285714285716</v>
      </c>
      <c r="AQ541">
        <v>0</v>
      </c>
      <c r="AR541">
        <v>0.2857142857142857</v>
      </c>
      <c r="AS541">
        <v>0.7142857142857143</v>
      </c>
      <c r="AT541">
        <v>0</v>
      </c>
      <c r="AU541">
        <v>196076.6674643</v>
      </c>
      <c r="AV541">
        <v>7</v>
      </c>
      <c r="AW541">
        <f t="shared" si="52"/>
        <v>0</v>
      </c>
      <c r="AX541">
        <v>72</v>
      </c>
      <c r="AY541">
        <f t="shared" si="53"/>
        <v>1</v>
      </c>
      <c r="AZ541" t="e">
        <v>#N/A</v>
      </c>
      <c r="BA541">
        <v>2</v>
      </c>
      <c r="BB541">
        <v>2019</v>
      </c>
      <c r="BC541">
        <v>2</v>
      </c>
      <c r="BD541">
        <v>2019</v>
      </c>
      <c r="BE541">
        <v>1</v>
      </c>
      <c r="BF541">
        <v>2019</v>
      </c>
    </row>
    <row r="542" spans="1:58" x14ac:dyDescent="0.2">
      <c r="A542" s="7">
        <v>5</v>
      </c>
      <c r="B542" s="7">
        <v>30</v>
      </c>
      <c r="C542" s="7">
        <v>0</v>
      </c>
      <c r="D542" s="7">
        <v>0</v>
      </c>
      <c r="E542" s="7">
        <f t="shared" si="48"/>
        <v>35</v>
      </c>
      <c r="F542" s="11" t="s">
        <v>39</v>
      </c>
      <c r="G542">
        <v>5</v>
      </c>
      <c r="H542">
        <v>30</v>
      </c>
      <c r="I542">
        <v>0</v>
      </c>
      <c r="J542">
        <v>0</v>
      </c>
      <c r="K542">
        <f t="shared" si="49"/>
        <v>35</v>
      </c>
      <c r="L542" t="s">
        <v>39</v>
      </c>
      <c r="M542">
        <v>87915.425217060008</v>
      </c>
      <c r="N542" s="7">
        <v>8</v>
      </c>
      <c r="O542" s="7">
        <v>28</v>
      </c>
      <c r="P542" s="7">
        <v>2</v>
      </c>
      <c r="Q542" s="7">
        <v>3</v>
      </c>
      <c r="R542" s="7">
        <f t="shared" si="50"/>
        <v>41</v>
      </c>
      <c r="S542" t="s">
        <v>42</v>
      </c>
      <c r="T542" s="7">
        <v>19</v>
      </c>
      <c r="U542" s="7">
        <v>40</v>
      </c>
      <c r="V542" s="7">
        <v>10</v>
      </c>
      <c r="W542" s="7">
        <v>30</v>
      </c>
      <c r="X542" s="7">
        <f t="shared" si="51"/>
        <v>99</v>
      </c>
      <c r="Y542" t="s">
        <v>36</v>
      </c>
      <c r="Z542">
        <v>120132.81656928999</v>
      </c>
      <c r="AA542" t="s">
        <v>926</v>
      </c>
      <c r="AB542">
        <v>46</v>
      </c>
      <c r="AC542">
        <v>1199</v>
      </c>
      <c r="AD542" t="s">
        <v>46</v>
      </c>
      <c r="AE542" t="s">
        <v>75</v>
      </c>
      <c r="AF542" t="e">
        <v>#N/A</v>
      </c>
      <c r="AG542" s="8">
        <v>5</v>
      </c>
      <c r="AH542">
        <v>58</v>
      </c>
      <c r="AI542">
        <v>64</v>
      </c>
      <c r="AJ542">
        <v>0</v>
      </c>
      <c r="AK542">
        <v>11.6</v>
      </c>
      <c r="AL542">
        <v>25.938388538997557</v>
      </c>
      <c r="AM542">
        <v>6</v>
      </c>
      <c r="AN542">
        <v>0</v>
      </c>
      <c r="AO542">
        <v>1.4146341463414633</v>
      </c>
      <c r="AP542">
        <v>1.6571428571428573</v>
      </c>
      <c r="AQ542">
        <v>0</v>
      </c>
      <c r="AR542">
        <v>0.14285714285714285</v>
      </c>
      <c r="AS542">
        <v>0.8571428571428571</v>
      </c>
      <c r="AT542">
        <v>0</v>
      </c>
      <c r="AU542">
        <v>208048.24178635</v>
      </c>
      <c r="AV542">
        <v>6</v>
      </c>
      <c r="AW542">
        <f t="shared" si="52"/>
        <v>0</v>
      </c>
      <c r="AX542">
        <v>1199</v>
      </c>
      <c r="AY542">
        <f t="shared" si="53"/>
        <v>1</v>
      </c>
      <c r="AZ542" t="e">
        <v>#N/A</v>
      </c>
      <c r="BA542">
        <v>3</v>
      </c>
      <c r="BB542">
        <v>2019</v>
      </c>
      <c r="BC542">
        <v>3</v>
      </c>
      <c r="BD542">
        <v>2019</v>
      </c>
      <c r="BE542">
        <v>1</v>
      </c>
      <c r="BF542">
        <v>2019</v>
      </c>
    </row>
    <row r="543" spans="1:58" x14ac:dyDescent="0.2">
      <c r="A543" s="7">
        <v>0</v>
      </c>
      <c r="B543" s="7">
        <v>2</v>
      </c>
      <c r="C543" s="7">
        <v>0</v>
      </c>
      <c r="D543" s="7">
        <v>0</v>
      </c>
      <c r="E543" s="7">
        <f t="shared" si="48"/>
        <v>2</v>
      </c>
      <c r="F543" s="11" t="s">
        <v>83</v>
      </c>
      <c r="G543">
        <v>0</v>
      </c>
      <c r="H543">
        <v>2</v>
      </c>
      <c r="I543">
        <v>0</v>
      </c>
      <c r="J543">
        <v>0</v>
      </c>
      <c r="K543">
        <f t="shared" si="49"/>
        <v>2</v>
      </c>
      <c r="L543" t="s">
        <v>83</v>
      </c>
      <c r="M543">
        <v>24279.30859982</v>
      </c>
      <c r="N543" s="7">
        <v>0</v>
      </c>
      <c r="O543" s="7">
        <v>5</v>
      </c>
      <c r="P543" s="7">
        <v>0</v>
      </c>
      <c r="Q543" s="7">
        <v>1</v>
      </c>
      <c r="R543" s="7">
        <f t="shared" si="50"/>
        <v>6</v>
      </c>
      <c r="S543" t="s">
        <v>54</v>
      </c>
      <c r="T543" s="7">
        <v>0</v>
      </c>
      <c r="U543" s="7">
        <v>5</v>
      </c>
      <c r="V543" s="7">
        <v>3</v>
      </c>
      <c r="W543" s="7">
        <v>19</v>
      </c>
      <c r="X543" s="7">
        <f t="shared" si="51"/>
        <v>27</v>
      </c>
      <c r="Y543" t="s">
        <v>36</v>
      </c>
      <c r="Z543">
        <v>146885.66341469</v>
      </c>
      <c r="AA543" t="s">
        <v>927</v>
      </c>
      <c r="AB543">
        <v>78</v>
      </c>
      <c r="AC543">
        <v>192</v>
      </c>
      <c r="AD543" t="s">
        <v>272</v>
      </c>
      <c r="AE543" t="s">
        <v>41</v>
      </c>
      <c r="AF543" t="e">
        <v>#N/A</v>
      </c>
      <c r="AG543" s="8">
        <v>198</v>
      </c>
      <c r="AH543">
        <v>21</v>
      </c>
      <c r="AI543">
        <v>25</v>
      </c>
      <c r="AJ543">
        <v>0</v>
      </c>
      <c r="AK543">
        <v>0.10606060606060606</v>
      </c>
      <c r="AL543">
        <v>1.4924050144892731</v>
      </c>
      <c r="AM543">
        <v>4</v>
      </c>
      <c r="AN543">
        <v>0</v>
      </c>
      <c r="AO543">
        <v>3.5</v>
      </c>
      <c r="AP543">
        <v>10.5</v>
      </c>
      <c r="AQ543">
        <v>0</v>
      </c>
      <c r="AR543">
        <v>0</v>
      </c>
      <c r="AS543">
        <v>1</v>
      </c>
      <c r="AT543">
        <v>0</v>
      </c>
      <c r="AU543">
        <v>171164.97201451001</v>
      </c>
      <c r="AV543">
        <v>7</v>
      </c>
      <c r="AW543">
        <f t="shared" si="52"/>
        <v>0</v>
      </c>
      <c r="AX543">
        <v>192</v>
      </c>
      <c r="AY543">
        <f t="shared" si="53"/>
        <v>1</v>
      </c>
      <c r="AZ543" t="e">
        <v>#N/A</v>
      </c>
      <c r="BA543">
        <v>7</v>
      </c>
      <c r="BB543">
        <v>2019</v>
      </c>
      <c r="BC543">
        <v>7</v>
      </c>
      <c r="BD543">
        <v>2019</v>
      </c>
      <c r="BE543">
        <v>1</v>
      </c>
      <c r="BF543">
        <v>2019</v>
      </c>
    </row>
    <row r="544" spans="1:58" x14ac:dyDescent="0.2">
      <c r="A544" s="7">
        <v>2</v>
      </c>
      <c r="B544" s="7">
        <v>19</v>
      </c>
      <c r="C544" s="7">
        <v>0</v>
      </c>
      <c r="D544" s="7">
        <v>0</v>
      </c>
      <c r="E544" s="7">
        <f t="shared" si="48"/>
        <v>21</v>
      </c>
      <c r="F544" s="11" t="s">
        <v>36</v>
      </c>
      <c r="G544">
        <v>2</v>
      </c>
      <c r="H544">
        <v>19</v>
      </c>
      <c r="I544">
        <v>0</v>
      </c>
      <c r="J544">
        <v>0</v>
      </c>
      <c r="K544">
        <f t="shared" si="49"/>
        <v>21</v>
      </c>
      <c r="L544" t="s">
        <v>36</v>
      </c>
      <c r="M544">
        <v>15207.385584449999</v>
      </c>
      <c r="N544" s="7">
        <v>2</v>
      </c>
      <c r="O544" s="7">
        <v>17</v>
      </c>
      <c r="P544" s="7">
        <v>0</v>
      </c>
      <c r="Q544" s="7">
        <v>0</v>
      </c>
      <c r="R544" s="7">
        <f t="shared" si="50"/>
        <v>19</v>
      </c>
      <c r="S544" t="s">
        <v>36</v>
      </c>
      <c r="T544" s="7">
        <v>0</v>
      </c>
      <c r="U544" s="7">
        <v>19</v>
      </c>
      <c r="V544" s="7">
        <v>0</v>
      </c>
      <c r="W544" s="7">
        <v>0</v>
      </c>
      <c r="X544" s="7">
        <f t="shared" si="51"/>
        <v>19</v>
      </c>
      <c r="Y544" t="s">
        <v>36</v>
      </c>
      <c r="Z544">
        <v>58675.328407930007</v>
      </c>
      <c r="AA544" t="s">
        <v>928</v>
      </c>
      <c r="AB544">
        <v>76</v>
      </c>
      <c r="AC544">
        <v>43</v>
      </c>
      <c r="AD544" t="s">
        <v>244</v>
      </c>
      <c r="AE544" t="s">
        <v>41</v>
      </c>
      <c r="AF544">
        <v>111</v>
      </c>
      <c r="AG544" s="8">
        <v>1</v>
      </c>
      <c r="AH544">
        <v>0</v>
      </c>
      <c r="AI544">
        <v>-2</v>
      </c>
      <c r="AJ544">
        <v>0</v>
      </c>
      <c r="AK544">
        <v>0</v>
      </c>
      <c r="AL544">
        <v>0</v>
      </c>
      <c r="AM544">
        <v>-2</v>
      </c>
      <c r="AN544">
        <v>1</v>
      </c>
      <c r="AO544">
        <v>0</v>
      </c>
      <c r="AP544">
        <v>0</v>
      </c>
      <c r="AQ544">
        <v>0</v>
      </c>
      <c r="AR544">
        <v>9.5238095238095233E-2</v>
      </c>
      <c r="AS544">
        <v>0.90476190476190477</v>
      </c>
      <c r="AT544">
        <v>0</v>
      </c>
      <c r="AU544">
        <v>73882.713992380013</v>
      </c>
      <c r="AV544">
        <v>12</v>
      </c>
      <c r="AW544">
        <f t="shared" si="52"/>
        <v>1</v>
      </c>
      <c r="AX544">
        <v>43</v>
      </c>
      <c r="AY544">
        <f t="shared" si="53"/>
        <v>1</v>
      </c>
      <c r="AZ544">
        <v>0.38738738738738737</v>
      </c>
      <c r="BA544">
        <v>1</v>
      </c>
      <c r="BB544">
        <v>2019</v>
      </c>
      <c r="BC544">
        <v>4</v>
      </c>
      <c r="BD544">
        <v>2019</v>
      </c>
      <c r="BE544">
        <v>1</v>
      </c>
      <c r="BF544">
        <v>2019</v>
      </c>
    </row>
    <row r="545" spans="1:58" x14ac:dyDescent="0.2">
      <c r="A545" s="7">
        <v>18</v>
      </c>
      <c r="B545" s="7">
        <v>18</v>
      </c>
      <c r="C545" s="7">
        <v>9</v>
      </c>
      <c r="D545" s="7">
        <v>9</v>
      </c>
      <c r="E545" s="7">
        <f t="shared" si="48"/>
        <v>54</v>
      </c>
      <c r="F545" s="11" t="s">
        <v>36</v>
      </c>
      <c r="G545">
        <v>18</v>
      </c>
      <c r="H545">
        <v>18</v>
      </c>
      <c r="I545">
        <v>9</v>
      </c>
      <c r="J545">
        <v>6</v>
      </c>
      <c r="K545">
        <f t="shared" si="49"/>
        <v>51</v>
      </c>
      <c r="L545" t="s">
        <v>36</v>
      </c>
      <c r="M545">
        <v>8996.0772867799988</v>
      </c>
      <c r="N545" s="7">
        <v>18</v>
      </c>
      <c r="O545" s="7">
        <v>35</v>
      </c>
      <c r="P545" s="7">
        <v>9</v>
      </c>
      <c r="Q545" s="7">
        <v>16</v>
      </c>
      <c r="R545" s="7">
        <f t="shared" si="50"/>
        <v>78</v>
      </c>
      <c r="S545" t="s">
        <v>36</v>
      </c>
      <c r="T545" s="7">
        <v>19</v>
      </c>
      <c r="U545" s="7">
        <v>35</v>
      </c>
      <c r="V545" s="7">
        <v>9</v>
      </c>
      <c r="W545" s="7">
        <v>19</v>
      </c>
      <c r="X545" s="7">
        <f t="shared" si="51"/>
        <v>82</v>
      </c>
      <c r="Y545" t="s">
        <v>36</v>
      </c>
      <c r="Z545">
        <v>32454.73532045</v>
      </c>
      <c r="AA545" t="s">
        <v>929</v>
      </c>
      <c r="AB545">
        <v>44</v>
      </c>
      <c r="AC545">
        <v>0</v>
      </c>
      <c r="AD545" t="s">
        <v>131</v>
      </c>
      <c r="AE545" t="s">
        <v>41</v>
      </c>
      <c r="AF545">
        <v>53</v>
      </c>
      <c r="AG545" s="8">
        <v>139</v>
      </c>
      <c r="AH545">
        <v>4</v>
      </c>
      <c r="AI545">
        <v>28</v>
      </c>
      <c r="AJ545">
        <v>-3</v>
      </c>
      <c r="AK545">
        <v>2.8776978417266189E-2</v>
      </c>
      <c r="AL545">
        <v>0.33927557187198837</v>
      </c>
      <c r="AM545">
        <v>27</v>
      </c>
      <c r="AN545">
        <v>0</v>
      </c>
      <c r="AO545">
        <v>5.128205128205128E-2</v>
      </c>
      <c r="AP545">
        <v>7.407407407407407E-2</v>
      </c>
      <c r="AQ545">
        <v>0.16666666666666666</v>
      </c>
      <c r="AR545">
        <v>0.33333333333333331</v>
      </c>
      <c r="AS545">
        <v>0.33333333333333331</v>
      </c>
      <c r="AT545">
        <v>0.16666666666666666</v>
      </c>
      <c r="AU545">
        <v>41450.81260723</v>
      </c>
      <c r="AV545">
        <v>12</v>
      </c>
      <c r="AW545">
        <f t="shared" si="52"/>
        <v>1</v>
      </c>
      <c r="AX545">
        <v>0</v>
      </c>
      <c r="AY545">
        <f t="shared" si="53"/>
        <v>0</v>
      </c>
      <c r="AZ545">
        <v>0</v>
      </c>
      <c r="BA545">
        <v>1</v>
      </c>
      <c r="BB545">
        <v>2019</v>
      </c>
      <c r="BC545">
        <v>2</v>
      </c>
      <c r="BD545">
        <v>2019</v>
      </c>
      <c r="BE545">
        <v>1</v>
      </c>
      <c r="BF545">
        <v>2019</v>
      </c>
    </row>
    <row r="546" spans="1:58" x14ac:dyDescent="0.2">
      <c r="A546" s="7">
        <v>7</v>
      </c>
      <c r="B546" s="7">
        <v>10</v>
      </c>
      <c r="C546" s="7">
        <v>0</v>
      </c>
      <c r="D546" s="7">
        <v>0</v>
      </c>
      <c r="E546" s="7">
        <f t="shared" si="48"/>
        <v>17</v>
      </c>
      <c r="F546" s="11" t="s">
        <v>51</v>
      </c>
      <c r="G546">
        <v>7</v>
      </c>
      <c r="H546">
        <v>10</v>
      </c>
      <c r="I546">
        <v>0</v>
      </c>
      <c r="J546">
        <v>0</v>
      </c>
      <c r="K546">
        <f t="shared" si="49"/>
        <v>17</v>
      </c>
      <c r="L546" t="s">
        <v>51</v>
      </c>
      <c r="M546">
        <v>63841.190165699998</v>
      </c>
      <c r="N546" s="7">
        <v>7</v>
      </c>
      <c r="O546" s="7">
        <v>10</v>
      </c>
      <c r="P546" s="7">
        <v>0</v>
      </c>
      <c r="Q546" s="7">
        <v>4</v>
      </c>
      <c r="R546" s="7">
        <f t="shared" si="50"/>
        <v>21</v>
      </c>
      <c r="S546" t="s">
        <v>51</v>
      </c>
      <c r="T546" s="7">
        <v>9</v>
      </c>
      <c r="U546" s="7">
        <v>22</v>
      </c>
      <c r="V546" s="7">
        <v>3</v>
      </c>
      <c r="W546" s="7">
        <v>5</v>
      </c>
      <c r="X546" s="7">
        <f t="shared" si="51"/>
        <v>39</v>
      </c>
      <c r="Y546" t="s">
        <v>36</v>
      </c>
      <c r="Z546">
        <v>60885.923543589997</v>
      </c>
      <c r="AA546" t="s">
        <v>930</v>
      </c>
      <c r="AB546">
        <v>57</v>
      </c>
      <c r="AC546">
        <v>907</v>
      </c>
      <c r="AD546" t="s">
        <v>46</v>
      </c>
      <c r="AE546" t="s">
        <v>41</v>
      </c>
      <c r="AF546" t="e">
        <v>#N/A</v>
      </c>
      <c r="AG546" s="8">
        <v>336</v>
      </c>
      <c r="AH546">
        <v>18</v>
      </c>
      <c r="AI546">
        <v>22</v>
      </c>
      <c r="AJ546">
        <v>0</v>
      </c>
      <c r="AK546">
        <v>5.3571428571428568E-2</v>
      </c>
      <c r="AL546">
        <v>0.98198050606196574</v>
      </c>
      <c r="AM546">
        <v>4</v>
      </c>
      <c r="AN546">
        <v>0</v>
      </c>
      <c r="AO546">
        <v>0.8571428571428571</v>
      </c>
      <c r="AP546">
        <v>1.0588235294117647</v>
      </c>
      <c r="AQ546">
        <v>0</v>
      </c>
      <c r="AR546">
        <v>0.41176470588235292</v>
      </c>
      <c r="AS546">
        <v>0.58823529411764708</v>
      </c>
      <c r="AT546">
        <v>0</v>
      </c>
      <c r="AU546">
        <v>124727.11370928999</v>
      </c>
      <c r="AV546">
        <v>17</v>
      </c>
      <c r="AW546">
        <f t="shared" si="52"/>
        <v>1</v>
      </c>
      <c r="AX546">
        <v>907</v>
      </c>
      <c r="AY546">
        <f t="shared" si="53"/>
        <v>1</v>
      </c>
      <c r="AZ546" t="e">
        <v>#N/A</v>
      </c>
      <c r="BA546">
        <v>1</v>
      </c>
      <c r="BB546">
        <v>2019</v>
      </c>
      <c r="BC546">
        <v>1</v>
      </c>
      <c r="BD546">
        <v>2019</v>
      </c>
      <c r="BE546">
        <v>1</v>
      </c>
      <c r="BF546">
        <v>2019</v>
      </c>
    </row>
    <row r="547" spans="1:58" x14ac:dyDescent="0.2">
      <c r="A547" s="7">
        <v>0</v>
      </c>
      <c r="B547" s="7">
        <v>16</v>
      </c>
      <c r="C547" s="7">
        <v>4</v>
      </c>
      <c r="D547" s="7">
        <v>0</v>
      </c>
      <c r="E547" s="7">
        <f t="shared" si="48"/>
        <v>20</v>
      </c>
      <c r="F547" s="11" t="s">
        <v>44</v>
      </c>
      <c r="G547">
        <v>0</v>
      </c>
      <c r="H547">
        <v>16</v>
      </c>
      <c r="I547">
        <v>4</v>
      </c>
      <c r="J547">
        <v>0</v>
      </c>
      <c r="K547">
        <f t="shared" si="49"/>
        <v>20</v>
      </c>
      <c r="L547" t="s">
        <v>44</v>
      </c>
      <c r="M547">
        <v>81932.800401629996</v>
      </c>
      <c r="N547" s="7">
        <v>2</v>
      </c>
      <c r="O547" s="7">
        <v>21</v>
      </c>
      <c r="P547" s="7">
        <v>6</v>
      </c>
      <c r="Q547" s="7">
        <v>10</v>
      </c>
      <c r="R547" s="7">
        <f t="shared" si="50"/>
        <v>39</v>
      </c>
      <c r="S547" t="s">
        <v>54</v>
      </c>
      <c r="T547" s="7">
        <v>0</v>
      </c>
      <c r="U547" s="7">
        <v>18</v>
      </c>
      <c r="V547" s="7">
        <v>6</v>
      </c>
      <c r="W547" s="7">
        <v>10</v>
      </c>
      <c r="X547" s="7">
        <f t="shared" si="51"/>
        <v>34</v>
      </c>
      <c r="Y547" t="s">
        <v>54</v>
      </c>
      <c r="Z547">
        <v>28928.803879999999</v>
      </c>
      <c r="AA547" t="s">
        <v>931</v>
      </c>
      <c r="AB547">
        <v>58</v>
      </c>
      <c r="AC547">
        <v>1509</v>
      </c>
      <c r="AD547" t="s">
        <v>46</v>
      </c>
      <c r="AE547" t="s">
        <v>41</v>
      </c>
      <c r="AF547" t="e">
        <v>#N/A</v>
      </c>
      <c r="AG547" s="8">
        <v>58</v>
      </c>
      <c r="AH547">
        <v>-5</v>
      </c>
      <c r="AI547">
        <v>14</v>
      </c>
      <c r="AJ547">
        <v>0</v>
      </c>
      <c r="AK547">
        <v>-8.6206896551724144E-2</v>
      </c>
      <c r="AL547">
        <v>-0.65653216429861272</v>
      </c>
      <c r="AM547">
        <v>19</v>
      </c>
      <c r="AN547">
        <v>0</v>
      </c>
      <c r="AO547">
        <v>-0.12820512820512819</v>
      </c>
      <c r="AP547">
        <v>-0.25</v>
      </c>
      <c r="AQ547">
        <v>0</v>
      </c>
      <c r="AR547">
        <v>0</v>
      </c>
      <c r="AS547">
        <v>0.8</v>
      </c>
      <c r="AT547">
        <v>0.2</v>
      </c>
      <c r="AU547">
        <v>110861.60428162999</v>
      </c>
      <c r="AV547">
        <v>8</v>
      </c>
      <c r="AW547">
        <f t="shared" si="52"/>
        <v>0</v>
      </c>
      <c r="AX547">
        <v>1509</v>
      </c>
      <c r="AY547">
        <f t="shared" si="53"/>
        <v>1</v>
      </c>
      <c r="AZ547" t="e">
        <v>#N/A</v>
      </c>
      <c r="BA547">
        <v>2</v>
      </c>
      <c r="BB547">
        <v>2019</v>
      </c>
      <c r="BC547">
        <v>2</v>
      </c>
      <c r="BD547">
        <v>2019</v>
      </c>
      <c r="BE547">
        <v>1</v>
      </c>
      <c r="BF547">
        <v>2019</v>
      </c>
    </row>
    <row r="548" spans="1:58" x14ac:dyDescent="0.2">
      <c r="A548" s="7">
        <v>6</v>
      </c>
      <c r="B548" s="7">
        <v>6</v>
      </c>
      <c r="C548" s="7">
        <v>0</v>
      </c>
      <c r="D548" s="7">
        <v>5</v>
      </c>
      <c r="E548" s="7">
        <f t="shared" si="48"/>
        <v>17</v>
      </c>
      <c r="F548" s="11" t="s">
        <v>39</v>
      </c>
      <c r="G548">
        <v>5</v>
      </c>
      <c r="H548">
        <v>6</v>
      </c>
      <c r="I548">
        <v>0</v>
      </c>
      <c r="J548">
        <v>0</v>
      </c>
      <c r="K548">
        <f t="shared" si="49"/>
        <v>11</v>
      </c>
      <c r="L548" t="s">
        <v>39</v>
      </c>
      <c r="M548">
        <v>33399.116678500002</v>
      </c>
      <c r="N548" s="7">
        <v>7</v>
      </c>
      <c r="O548" s="7">
        <v>9</v>
      </c>
      <c r="P548" s="7">
        <v>1</v>
      </c>
      <c r="Q548" s="7">
        <v>5</v>
      </c>
      <c r="R548" s="7">
        <f t="shared" si="50"/>
        <v>22</v>
      </c>
      <c r="S548" t="s">
        <v>36</v>
      </c>
      <c r="T548" s="7">
        <v>10</v>
      </c>
      <c r="U548" s="7">
        <v>11</v>
      </c>
      <c r="V548" s="7">
        <v>6</v>
      </c>
      <c r="W548" s="7">
        <v>6</v>
      </c>
      <c r="X548" s="7">
        <f t="shared" si="51"/>
        <v>33</v>
      </c>
      <c r="Y548" t="s">
        <v>36</v>
      </c>
      <c r="Z548">
        <v>134055.34687663001</v>
      </c>
      <c r="AA548" t="s">
        <v>932</v>
      </c>
      <c r="AB548">
        <v>75</v>
      </c>
      <c r="AC548">
        <v>0</v>
      </c>
      <c r="AD548" t="s">
        <v>131</v>
      </c>
      <c r="AE548" t="s">
        <v>41</v>
      </c>
      <c r="AF548">
        <v>54</v>
      </c>
      <c r="AG548" s="8">
        <v>229</v>
      </c>
      <c r="AH548">
        <v>11</v>
      </c>
      <c r="AI548">
        <v>16</v>
      </c>
      <c r="AJ548">
        <v>-6</v>
      </c>
      <c r="AK548">
        <v>4.8034934497816595E-2</v>
      </c>
      <c r="AL548">
        <v>0.72690046050059876</v>
      </c>
      <c r="AM548">
        <v>11</v>
      </c>
      <c r="AN548">
        <v>0</v>
      </c>
      <c r="AO548">
        <v>0.5</v>
      </c>
      <c r="AP548">
        <v>0.6470588235294118</v>
      </c>
      <c r="AQ548">
        <v>0.29411764705882354</v>
      </c>
      <c r="AR548">
        <v>0.35294117647058826</v>
      </c>
      <c r="AS548">
        <v>0.35294117647058826</v>
      </c>
      <c r="AT548">
        <v>0</v>
      </c>
      <c r="AU548">
        <v>167454.46355513</v>
      </c>
      <c r="AV548">
        <v>13</v>
      </c>
      <c r="AW548">
        <f t="shared" si="52"/>
        <v>1</v>
      </c>
      <c r="AX548">
        <v>0</v>
      </c>
      <c r="AY548">
        <f t="shared" si="53"/>
        <v>0</v>
      </c>
      <c r="AZ548">
        <v>0</v>
      </c>
      <c r="BA548">
        <v>1</v>
      </c>
      <c r="BB548">
        <v>2019</v>
      </c>
      <c r="BC548">
        <v>2</v>
      </c>
      <c r="BD548">
        <v>2019</v>
      </c>
      <c r="BE548">
        <v>1</v>
      </c>
      <c r="BF548">
        <v>2019</v>
      </c>
    </row>
    <row r="549" spans="1:58" x14ac:dyDescent="0.2">
      <c r="A549" s="7">
        <v>20</v>
      </c>
      <c r="B549" s="7">
        <v>25</v>
      </c>
      <c r="C549" s="7">
        <v>6</v>
      </c>
      <c r="D549" s="7">
        <v>0</v>
      </c>
      <c r="E549" s="7">
        <f t="shared" si="48"/>
        <v>51</v>
      </c>
      <c r="F549" s="11" t="s">
        <v>36</v>
      </c>
      <c r="G549">
        <v>20</v>
      </c>
      <c r="H549">
        <v>25</v>
      </c>
      <c r="I549">
        <v>6</v>
      </c>
      <c r="J549">
        <v>0</v>
      </c>
      <c r="K549">
        <f t="shared" si="49"/>
        <v>51</v>
      </c>
      <c r="L549" t="s">
        <v>36</v>
      </c>
      <c r="M549">
        <v>15086.27219448</v>
      </c>
      <c r="N549" s="7">
        <v>20</v>
      </c>
      <c r="O549" s="7">
        <v>25</v>
      </c>
      <c r="P549" s="7">
        <v>6</v>
      </c>
      <c r="Q549" s="7">
        <v>6</v>
      </c>
      <c r="R549" s="7">
        <f t="shared" si="50"/>
        <v>57</v>
      </c>
      <c r="S549" t="s">
        <v>42</v>
      </c>
      <c r="T549" s="7">
        <v>20</v>
      </c>
      <c r="U549" s="7">
        <v>33</v>
      </c>
      <c r="V549" s="7">
        <v>9</v>
      </c>
      <c r="W549" s="7">
        <v>10</v>
      </c>
      <c r="X549" s="7">
        <f t="shared" si="51"/>
        <v>72</v>
      </c>
      <c r="Y549" t="s">
        <v>39</v>
      </c>
      <c r="Z549">
        <v>73557.290442220008</v>
      </c>
      <c r="AA549" t="s">
        <v>933</v>
      </c>
      <c r="AB549">
        <v>45</v>
      </c>
      <c r="AC549">
        <v>0</v>
      </c>
      <c r="AD549" t="s">
        <v>272</v>
      </c>
      <c r="AE549" t="s">
        <v>41</v>
      </c>
      <c r="AF549" t="e">
        <v>#N/A</v>
      </c>
      <c r="AG549" s="8">
        <v>162</v>
      </c>
      <c r="AH549">
        <v>15</v>
      </c>
      <c r="AI549">
        <v>21</v>
      </c>
      <c r="AJ549">
        <v>0</v>
      </c>
      <c r="AK549">
        <v>9.2592592592592587E-2</v>
      </c>
      <c r="AL549">
        <v>1.1785113019775793</v>
      </c>
      <c r="AM549">
        <v>6</v>
      </c>
      <c r="AN549">
        <v>0</v>
      </c>
      <c r="AO549">
        <v>0.26315789473684209</v>
      </c>
      <c r="AP549">
        <v>0.29411764705882354</v>
      </c>
      <c r="AQ549">
        <v>0</v>
      </c>
      <c r="AR549">
        <v>0.39215686274509803</v>
      </c>
      <c r="AS549">
        <v>0.49019607843137253</v>
      </c>
      <c r="AT549">
        <v>0.11764705882352941</v>
      </c>
      <c r="AU549">
        <v>88643.562636700008</v>
      </c>
      <c r="AV549">
        <v>8</v>
      </c>
      <c r="AW549">
        <f t="shared" si="52"/>
        <v>0</v>
      </c>
      <c r="AX549">
        <v>0</v>
      </c>
      <c r="AY549">
        <f t="shared" si="53"/>
        <v>0</v>
      </c>
      <c r="AZ549" t="e">
        <v>#N/A</v>
      </c>
      <c r="BA549">
        <v>4</v>
      </c>
      <c r="BB549">
        <v>2019</v>
      </c>
      <c r="BC549">
        <v>4</v>
      </c>
      <c r="BD549">
        <v>2019</v>
      </c>
      <c r="BE549">
        <v>1</v>
      </c>
      <c r="BF549">
        <v>2019</v>
      </c>
    </row>
    <row r="550" spans="1:58" x14ac:dyDescent="0.2">
      <c r="A550" s="7">
        <v>0</v>
      </c>
      <c r="B550" s="7">
        <v>10</v>
      </c>
      <c r="C550" s="7">
        <v>0</v>
      </c>
      <c r="D550" s="7">
        <v>0</v>
      </c>
      <c r="E550" s="7">
        <f t="shared" si="48"/>
        <v>10</v>
      </c>
      <c r="F550" s="11" t="e">
        <v>#N/A</v>
      </c>
      <c r="G550">
        <v>0</v>
      </c>
      <c r="H550">
        <v>10</v>
      </c>
      <c r="I550">
        <v>0</v>
      </c>
      <c r="J550">
        <v>0</v>
      </c>
      <c r="K550">
        <f t="shared" si="49"/>
        <v>10</v>
      </c>
      <c r="L550" t="e">
        <v>#N/A</v>
      </c>
      <c r="M550">
        <v>19362.27823521</v>
      </c>
      <c r="N550" s="7">
        <v>0</v>
      </c>
      <c r="O550" s="7">
        <v>15</v>
      </c>
      <c r="P550" s="7">
        <v>0</v>
      </c>
      <c r="Q550" s="7">
        <v>0</v>
      </c>
      <c r="R550" s="7">
        <f t="shared" si="50"/>
        <v>15</v>
      </c>
      <c r="S550" t="e">
        <v>#N/A</v>
      </c>
      <c r="T550" s="7">
        <v>11</v>
      </c>
      <c r="U550" s="7">
        <v>18</v>
      </c>
      <c r="V550" s="7">
        <v>9</v>
      </c>
      <c r="W550" s="7">
        <v>6</v>
      </c>
      <c r="X550" s="7">
        <f t="shared" si="51"/>
        <v>44</v>
      </c>
      <c r="Y550" t="e">
        <v>#N/A</v>
      </c>
      <c r="Z550">
        <v>130366.03638219</v>
      </c>
      <c r="AA550" t="s">
        <v>277</v>
      </c>
      <c r="AB550">
        <v>46</v>
      </c>
      <c r="AC550">
        <v>25</v>
      </c>
      <c r="AD550" t="s">
        <v>278</v>
      </c>
      <c r="AE550" t="s">
        <v>41</v>
      </c>
      <c r="AF550" t="e">
        <v>#N/A</v>
      </c>
      <c r="AG550" s="8">
        <v>294</v>
      </c>
      <c r="AH550">
        <v>29</v>
      </c>
      <c r="AI550">
        <v>34</v>
      </c>
      <c r="AJ550">
        <v>0</v>
      </c>
      <c r="AK550">
        <v>9.8639455782312924E-2</v>
      </c>
      <c r="AL550">
        <v>1.6913143462074325</v>
      </c>
      <c r="AM550">
        <v>5</v>
      </c>
      <c r="AN550">
        <v>0</v>
      </c>
      <c r="AO550">
        <v>1.9333333333333333</v>
      </c>
      <c r="AP550">
        <v>2.9</v>
      </c>
      <c r="AQ550">
        <v>0</v>
      </c>
      <c r="AR550">
        <v>0</v>
      </c>
      <c r="AS550">
        <v>1</v>
      </c>
      <c r="AT550">
        <v>0</v>
      </c>
      <c r="AU550">
        <v>149728.3146174</v>
      </c>
      <c r="AV550">
        <v>7</v>
      </c>
      <c r="AW550">
        <f t="shared" si="52"/>
        <v>0</v>
      </c>
      <c r="AX550">
        <v>25</v>
      </c>
      <c r="AY550">
        <f t="shared" si="53"/>
        <v>1</v>
      </c>
      <c r="AZ550" t="e">
        <v>#N/A</v>
      </c>
      <c r="BA550">
        <v>4</v>
      </c>
      <c r="BB550">
        <v>2020</v>
      </c>
      <c r="BC550">
        <v>4</v>
      </c>
      <c r="BD550">
        <v>2020</v>
      </c>
      <c r="BE550">
        <v>1</v>
      </c>
      <c r="BF550">
        <v>2020</v>
      </c>
    </row>
    <row r="551" spans="1:58" x14ac:dyDescent="0.2">
      <c r="A551" s="7">
        <v>0</v>
      </c>
      <c r="B551" s="7">
        <v>10</v>
      </c>
      <c r="C551" s="7">
        <v>0</v>
      </c>
      <c r="D551" s="7">
        <v>0</v>
      </c>
      <c r="E551" s="7">
        <f t="shared" si="48"/>
        <v>10</v>
      </c>
      <c r="F551" s="11" t="s">
        <v>65</v>
      </c>
      <c r="G551">
        <v>0</v>
      </c>
      <c r="H551">
        <v>10</v>
      </c>
      <c r="I551">
        <v>0</v>
      </c>
      <c r="J551">
        <v>0</v>
      </c>
      <c r="K551">
        <f t="shared" si="49"/>
        <v>10</v>
      </c>
      <c r="L551" t="s">
        <v>65</v>
      </c>
      <c r="M551">
        <v>111577.27074617</v>
      </c>
      <c r="N551" s="7">
        <v>0</v>
      </c>
      <c r="O551" s="7">
        <v>10</v>
      </c>
      <c r="P551" s="7">
        <v>0</v>
      </c>
      <c r="Q551" s="7">
        <v>0</v>
      </c>
      <c r="R551" s="7">
        <f t="shared" si="50"/>
        <v>10</v>
      </c>
      <c r="S551" t="s">
        <v>65</v>
      </c>
      <c r="T551" s="7">
        <v>0</v>
      </c>
      <c r="U551" s="7">
        <v>6</v>
      </c>
      <c r="V551" s="7">
        <v>0</v>
      </c>
      <c r="W551" s="7">
        <v>0</v>
      </c>
      <c r="X551" s="7">
        <f t="shared" si="51"/>
        <v>6</v>
      </c>
      <c r="Y551" t="s">
        <v>65</v>
      </c>
      <c r="Z551">
        <v>222588.88239595</v>
      </c>
      <c r="AA551" t="s">
        <v>934</v>
      </c>
      <c r="AB551">
        <v>42</v>
      </c>
      <c r="AC551">
        <v>1388</v>
      </c>
      <c r="AD551" t="s">
        <v>46</v>
      </c>
      <c r="AE551" t="s">
        <v>75</v>
      </c>
      <c r="AF551" t="e">
        <v>#N/A</v>
      </c>
      <c r="AG551" s="8">
        <v>327</v>
      </c>
      <c r="AH551">
        <v>-4</v>
      </c>
      <c r="AI551">
        <v>-4</v>
      </c>
      <c r="AJ551">
        <v>0</v>
      </c>
      <c r="AK551">
        <v>-1.2232415902140673E-2</v>
      </c>
      <c r="AL551">
        <v>-0.2212005054437324</v>
      </c>
      <c r="AM551">
        <v>0</v>
      </c>
      <c r="AN551">
        <v>0</v>
      </c>
      <c r="AO551">
        <v>-0.4</v>
      </c>
      <c r="AP551">
        <v>-0.4</v>
      </c>
      <c r="AQ551">
        <v>0</v>
      </c>
      <c r="AR551">
        <v>0</v>
      </c>
      <c r="AS551">
        <v>1</v>
      </c>
      <c r="AT551">
        <v>0</v>
      </c>
      <c r="AU551">
        <v>334166.15314211999</v>
      </c>
      <c r="AV551">
        <v>19</v>
      </c>
      <c r="AW551">
        <f t="shared" si="52"/>
        <v>1</v>
      </c>
      <c r="AX551">
        <v>1388</v>
      </c>
      <c r="AY551">
        <f t="shared" si="53"/>
        <v>1</v>
      </c>
      <c r="AZ551" t="e">
        <v>#N/A</v>
      </c>
      <c r="BA551">
        <v>1</v>
      </c>
      <c r="BB551">
        <v>2019</v>
      </c>
      <c r="BC551">
        <v>1</v>
      </c>
      <c r="BD551">
        <v>2019</v>
      </c>
      <c r="BE551">
        <v>1</v>
      </c>
      <c r="BF551">
        <v>2019</v>
      </c>
    </row>
    <row r="552" spans="1:58" x14ac:dyDescent="0.2">
      <c r="A552" s="7">
        <v>9</v>
      </c>
      <c r="B552" s="7">
        <v>10</v>
      </c>
      <c r="C552" s="7">
        <v>2</v>
      </c>
      <c r="D552" s="7">
        <v>0</v>
      </c>
      <c r="E552" s="7">
        <f t="shared" si="48"/>
        <v>21</v>
      </c>
      <c r="F552" s="11" t="s">
        <v>36</v>
      </c>
      <c r="G552">
        <v>9</v>
      </c>
      <c r="H552">
        <v>10</v>
      </c>
      <c r="I552">
        <v>2</v>
      </c>
      <c r="J552">
        <v>0</v>
      </c>
      <c r="K552">
        <f t="shared" si="49"/>
        <v>21</v>
      </c>
      <c r="L552" t="s">
        <v>36</v>
      </c>
      <c r="M552">
        <v>14469.68622886</v>
      </c>
      <c r="N552" s="7">
        <v>9</v>
      </c>
      <c r="O552" s="7">
        <v>6</v>
      </c>
      <c r="P552" s="7">
        <v>0</v>
      </c>
      <c r="Q552" s="7">
        <v>6</v>
      </c>
      <c r="R552" s="7">
        <f t="shared" si="50"/>
        <v>21</v>
      </c>
      <c r="S552" t="s">
        <v>36</v>
      </c>
      <c r="T552" s="7">
        <v>11</v>
      </c>
      <c r="U552" s="7">
        <v>15</v>
      </c>
      <c r="V552" s="7">
        <v>1</v>
      </c>
      <c r="W552" s="7">
        <v>7</v>
      </c>
      <c r="X552" s="7">
        <f t="shared" si="51"/>
        <v>34</v>
      </c>
      <c r="Y552" t="s">
        <v>42</v>
      </c>
      <c r="Z552">
        <v>215537.36346737001</v>
      </c>
      <c r="AA552" t="s">
        <v>935</v>
      </c>
      <c r="AB552">
        <v>74</v>
      </c>
      <c r="AC552">
        <v>0</v>
      </c>
      <c r="AD552" t="s">
        <v>131</v>
      </c>
      <c r="AE552" t="s">
        <v>41</v>
      </c>
      <c r="AF552" t="e">
        <v>#N/A</v>
      </c>
      <c r="AG552" s="8">
        <v>345</v>
      </c>
      <c r="AH552">
        <v>13</v>
      </c>
      <c r="AI552">
        <v>13</v>
      </c>
      <c r="AJ552">
        <v>0</v>
      </c>
      <c r="AK552">
        <v>3.7681159420289857E-2</v>
      </c>
      <c r="AL552">
        <v>0.69989647267561517</v>
      </c>
      <c r="AM552">
        <v>0</v>
      </c>
      <c r="AN552">
        <v>0</v>
      </c>
      <c r="AO552">
        <v>0.61904761904761907</v>
      </c>
      <c r="AP552">
        <v>0.61904761904761907</v>
      </c>
      <c r="AQ552">
        <v>0</v>
      </c>
      <c r="AR552">
        <v>0.42857142857142855</v>
      </c>
      <c r="AS552">
        <v>0.47619047619047616</v>
      </c>
      <c r="AT552">
        <v>9.5238095238095233E-2</v>
      </c>
      <c r="AU552">
        <v>230007.04969623001</v>
      </c>
      <c r="AV552">
        <v>13</v>
      </c>
      <c r="AW552">
        <f t="shared" si="52"/>
        <v>1</v>
      </c>
      <c r="AX552">
        <v>0</v>
      </c>
      <c r="AY552">
        <f t="shared" si="53"/>
        <v>0</v>
      </c>
      <c r="AZ552" t="e">
        <v>#N/A</v>
      </c>
      <c r="BA552">
        <v>1</v>
      </c>
      <c r="BB552">
        <v>2019</v>
      </c>
      <c r="BC552">
        <v>1</v>
      </c>
      <c r="BD552">
        <v>2019</v>
      </c>
      <c r="BE552">
        <v>1</v>
      </c>
      <c r="BF552">
        <v>2019</v>
      </c>
    </row>
    <row r="553" spans="1:58" x14ac:dyDescent="0.2">
      <c r="A553" s="7">
        <v>0</v>
      </c>
      <c r="B553" s="7">
        <v>15</v>
      </c>
      <c r="C553" s="7">
        <v>1</v>
      </c>
      <c r="D553" s="7">
        <v>0</v>
      </c>
      <c r="E553" s="7">
        <f t="shared" si="48"/>
        <v>16</v>
      </c>
      <c r="F553" s="11" t="s">
        <v>36</v>
      </c>
      <c r="G553">
        <v>0</v>
      </c>
      <c r="H553">
        <v>10</v>
      </c>
      <c r="I553">
        <v>1</v>
      </c>
      <c r="J553">
        <v>0</v>
      </c>
      <c r="K553">
        <f t="shared" si="49"/>
        <v>11</v>
      </c>
      <c r="L553" t="s">
        <v>36</v>
      </c>
      <c r="M553">
        <v>11136.37587625</v>
      </c>
      <c r="N553" s="7">
        <v>0</v>
      </c>
      <c r="O553" s="7">
        <v>18</v>
      </c>
      <c r="P553" s="7">
        <v>1</v>
      </c>
      <c r="Q553" s="7">
        <v>0</v>
      </c>
      <c r="R553" s="7">
        <f t="shared" si="50"/>
        <v>19</v>
      </c>
      <c r="S553" t="s">
        <v>35</v>
      </c>
      <c r="T553" s="7">
        <v>5</v>
      </c>
      <c r="U553" s="7">
        <v>20</v>
      </c>
      <c r="V553" s="7">
        <v>8</v>
      </c>
      <c r="W553" s="7">
        <v>19</v>
      </c>
      <c r="X553" s="7">
        <f t="shared" si="51"/>
        <v>52</v>
      </c>
      <c r="Y553" t="s">
        <v>39</v>
      </c>
      <c r="Z553">
        <v>255498.49793546001</v>
      </c>
      <c r="AA553" t="s">
        <v>936</v>
      </c>
      <c r="AB553">
        <v>63</v>
      </c>
      <c r="AC553">
        <v>0</v>
      </c>
      <c r="AD553" t="s">
        <v>244</v>
      </c>
      <c r="AE553" t="s">
        <v>75</v>
      </c>
      <c r="AF553">
        <v>75</v>
      </c>
      <c r="AG553" s="8">
        <v>341</v>
      </c>
      <c r="AH553">
        <v>33</v>
      </c>
      <c r="AI553">
        <v>36</v>
      </c>
      <c r="AJ553">
        <v>-5</v>
      </c>
      <c r="AK553">
        <v>9.6774193548387094E-2</v>
      </c>
      <c r="AL553">
        <v>1.7870501915438117</v>
      </c>
      <c r="AM553">
        <v>8</v>
      </c>
      <c r="AN553">
        <v>0</v>
      </c>
      <c r="AO553">
        <v>1.736842105263158</v>
      </c>
      <c r="AP553">
        <v>2.0625</v>
      </c>
      <c r="AQ553">
        <v>0</v>
      </c>
      <c r="AR553">
        <v>0</v>
      </c>
      <c r="AS553">
        <v>0.9375</v>
      </c>
      <c r="AT553">
        <v>6.25E-2</v>
      </c>
      <c r="AU553">
        <v>266634.87381170999</v>
      </c>
      <c r="AV553">
        <v>5</v>
      </c>
      <c r="AW553">
        <f t="shared" si="52"/>
        <v>0</v>
      </c>
      <c r="AX553">
        <v>0</v>
      </c>
      <c r="AY553">
        <f t="shared" si="53"/>
        <v>0</v>
      </c>
      <c r="AZ553">
        <v>0</v>
      </c>
      <c r="BA553">
        <v>1</v>
      </c>
      <c r="BB553">
        <v>2019</v>
      </c>
      <c r="BC553">
        <v>3</v>
      </c>
      <c r="BD553">
        <v>2019</v>
      </c>
      <c r="BE553">
        <v>1</v>
      </c>
      <c r="BF553">
        <v>2019</v>
      </c>
    </row>
    <row r="554" spans="1:58" x14ac:dyDescent="0.2">
      <c r="A554" s="7">
        <v>0</v>
      </c>
      <c r="B554" s="7">
        <v>2</v>
      </c>
      <c r="C554" s="7">
        <v>0</v>
      </c>
      <c r="D554" s="7">
        <v>0</v>
      </c>
      <c r="E554" s="7">
        <f t="shared" si="48"/>
        <v>2</v>
      </c>
      <c r="F554" s="11" t="s">
        <v>36</v>
      </c>
      <c r="G554">
        <v>0</v>
      </c>
      <c r="H554">
        <v>2</v>
      </c>
      <c r="I554">
        <v>0</v>
      </c>
      <c r="J554">
        <v>0</v>
      </c>
      <c r="K554">
        <f t="shared" si="49"/>
        <v>2</v>
      </c>
      <c r="L554" t="s">
        <v>36</v>
      </c>
      <c r="M554">
        <v>21219.024967770001</v>
      </c>
      <c r="N554" s="7">
        <v>3</v>
      </c>
      <c r="O554" s="7">
        <v>9</v>
      </c>
      <c r="P554" s="7">
        <v>0</v>
      </c>
      <c r="Q554" s="7">
        <v>3</v>
      </c>
      <c r="R554" s="7">
        <f t="shared" si="50"/>
        <v>15</v>
      </c>
      <c r="S554" t="s">
        <v>36</v>
      </c>
      <c r="T554" s="7">
        <v>11</v>
      </c>
      <c r="U554" s="7">
        <v>21</v>
      </c>
      <c r="V554" s="7">
        <v>4</v>
      </c>
      <c r="W554" s="7">
        <v>4</v>
      </c>
      <c r="X554" s="7">
        <f t="shared" si="51"/>
        <v>40</v>
      </c>
      <c r="Y554" t="s">
        <v>36</v>
      </c>
      <c r="Z554">
        <v>284736.73402011988</v>
      </c>
      <c r="AA554" t="s">
        <v>937</v>
      </c>
      <c r="AB554">
        <v>56</v>
      </c>
      <c r="AC554">
        <v>332</v>
      </c>
      <c r="AD554" t="s">
        <v>252</v>
      </c>
      <c r="AE554" t="s">
        <v>41</v>
      </c>
      <c r="AF554" t="e">
        <v>#N/A</v>
      </c>
      <c r="AG554" s="8">
        <v>452</v>
      </c>
      <c r="AH554">
        <v>25</v>
      </c>
      <c r="AI554">
        <v>38</v>
      </c>
      <c r="AJ554">
        <v>0</v>
      </c>
      <c r="AK554">
        <v>5.5309734513274339E-2</v>
      </c>
      <c r="AL554">
        <v>1.1759010854794965</v>
      </c>
      <c r="AM554">
        <v>13</v>
      </c>
      <c r="AN554">
        <v>0</v>
      </c>
      <c r="AO554">
        <v>1.6666666666666667</v>
      </c>
      <c r="AP554">
        <v>12.5</v>
      </c>
      <c r="AQ554">
        <v>0</v>
      </c>
      <c r="AR554">
        <v>0</v>
      </c>
      <c r="AS554">
        <v>1</v>
      </c>
      <c r="AT554">
        <v>0</v>
      </c>
      <c r="AU554">
        <v>305955.75898788986</v>
      </c>
      <c r="AV554">
        <v>11</v>
      </c>
      <c r="AW554">
        <f t="shared" si="52"/>
        <v>1</v>
      </c>
      <c r="AX554">
        <v>332</v>
      </c>
      <c r="AY554">
        <f t="shared" si="53"/>
        <v>1</v>
      </c>
      <c r="AZ554" t="e">
        <v>#N/A</v>
      </c>
      <c r="BA554">
        <v>2</v>
      </c>
      <c r="BB554">
        <v>2019</v>
      </c>
      <c r="BC554">
        <v>2</v>
      </c>
      <c r="BD554">
        <v>2019</v>
      </c>
      <c r="BE554">
        <v>1</v>
      </c>
      <c r="BF554">
        <v>2019</v>
      </c>
    </row>
    <row r="555" spans="1:58" x14ac:dyDescent="0.2">
      <c r="A555" s="7">
        <v>4</v>
      </c>
      <c r="B555" s="7">
        <v>6</v>
      </c>
      <c r="C555" s="7">
        <v>0</v>
      </c>
      <c r="D555" s="7">
        <v>0</v>
      </c>
      <c r="E555" s="7">
        <f t="shared" si="48"/>
        <v>10</v>
      </c>
      <c r="F555" s="11" t="s">
        <v>39</v>
      </c>
      <c r="G555">
        <v>5</v>
      </c>
      <c r="H555">
        <v>20</v>
      </c>
      <c r="I555">
        <v>4</v>
      </c>
      <c r="J555">
        <v>0</v>
      </c>
      <c r="K555">
        <f t="shared" si="49"/>
        <v>29</v>
      </c>
      <c r="L555" t="s">
        <v>39</v>
      </c>
      <c r="M555">
        <v>19298.022411009999</v>
      </c>
      <c r="N555" s="7">
        <v>4</v>
      </c>
      <c r="O555" s="7">
        <v>17</v>
      </c>
      <c r="P555" s="7">
        <v>0</v>
      </c>
      <c r="Q555" s="7">
        <v>1</v>
      </c>
      <c r="R555" s="7">
        <f t="shared" si="50"/>
        <v>22</v>
      </c>
      <c r="S555" t="s">
        <v>36</v>
      </c>
      <c r="T555" s="7">
        <v>15</v>
      </c>
      <c r="U555" s="7">
        <v>26</v>
      </c>
      <c r="V555" s="7">
        <v>9</v>
      </c>
      <c r="W555" s="7">
        <v>6</v>
      </c>
      <c r="X555" s="7">
        <f t="shared" si="51"/>
        <v>56</v>
      </c>
      <c r="Y555" t="s">
        <v>42</v>
      </c>
      <c r="Z555">
        <v>182762.30384380999</v>
      </c>
      <c r="AA555" t="s">
        <v>938</v>
      </c>
      <c r="AB555">
        <v>58</v>
      </c>
      <c r="AC555">
        <v>0</v>
      </c>
      <c r="AD555" t="s">
        <v>119</v>
      </c>
      <c r="AE555" t="s">
        <v>41</v>
      </c>
      <c r="AF555">
        <v>70</v>
      </c>
      <c r="AG555" s="8">
        <v>248</v>
      </c>
      <c r="AH555">
        <v>34</v>
      </c>
      <c r="AI555">
        <v>46</v>
      </c>
      <c r="AJ555">
        <v>19</v>
      </c>
      <c r="AK555">
        <v>0.13709677419354838</v>
      </c>
      <c r="AL555">
        <v>2.1590021590032387</v>
      </c>
      <c r="AM555">
        <v>-7</v>
      </c>
      <c r="AN555">
        <v>1</v>
      </c>
      <c r="AO555">
        <v>1.5454545454545454</v>
      </c>
      <c r="AP555">
        <v>3.4</v>
      </c>
      <c r="AQ555">
        <v>0</v>
      </c>
      <c r="AR555">
        <v>0.4</v>
      </c>
      <c r="AS555">
        <v>0.6</v>
      </c>
      <c r="AT555">
        <v>0</v>
      </c>
      <c r="AU555">
        <v>202060.32625481999</v>
      </c>
      <c r="AV555">
        <v>9</v>
      </c>
      <c r="AW555">
        <f t="shared" si="52"/>
        <v>0</v>
      </c>
      <c r="AX555">
        <v>0</v>
      </c>
      <c r="AY555">
        <f t="shared" si="53"/>
        <v>0</v>
      </c>
      <c r="AZ555">
        <v>0</v>
      </c>
      <c r="BA555">
        <v>1</v>
      </c>
      <c r="BB555">
        <v>2019</v>
      </c>
      <c r="BC555">
        <v>3</v>
      </c>
      <c r="BD555">
        <v>2019</v>
      </c>
      <c r="BE555">
        <v>1</v>
      </c>
      <c r="BF555">
        <v>2019</v>
      </c>
    </row>
    <row r="556" spans="1:58" x14ac:dyDescent="0.2">
      <c r="A556" s="7">
        <v>6</v>
      </c>
      <c r="B556" s="7">
        <v>12</v>
      </c>
      <c r="C556" s="7">
        <v>2</v>
      </c>
      <c r="D556" s="7">
        <v>4</v>
      </c>
      <c r="E556" s="7">
        <f t="shared" si="48"/>
        <v>24</v>
      </c>
      <c r="F556" s="11" t="e">
        <v>#N/A</v>
      </c>
      <c r="G556">
        <v>6</v>
      </c>
      <c r="H556">
        <v>12</v>
      </c>
      <c r="I556">
        <v>2</v>
      </c>
      <c r="J556">
        <v>4</v>
      </c>
      <c r="K556">
        <f t="shared" si="49"/>
        <v>24</v>
      </c>
      <c r="L556" t="e">
        <v>#N/A</v>
      </c>
      <c r="M556">
        <v>6141.0662600000014</v>
      </c>
      <c r="N556" s="7">
        <v>11</v>
      </c>
      <c r="O556" s="7">
        <v>23</v>
      </c>
      <c r="P556" s="7">
        <v>4</v>
      </c>
      <c r="Q556" s="7">
        <v>6</v>
      </c>
      <c r="R556" s="7">
        <f t="shared" si="50"/>
        <v>44</v>
      </c>
      <c r="S556" t="e">
        <v>#N/A</v>
      </c>
      <c r="T556" s="7">
        <v>11</v>
      </c>
      <c r="U556" s="7">
        <v>23</v>
      </c>
      <c r="V556" s="7">
        <v>4</v>
      </c>
      <c r="W556" s="7">
        <v>6</v>
      </c>
      <c r="X556" s="7">
        <f t="shared" si="51"/>
        <v>44</v>
      </c>
      <c r="Y556" t="e">
        <v>#N/A</v>
      </c>
      <c r="Z556">
        <v>11101.92158</v>
      </c>
      <c r="AA556" t="s">
        <v>279</v>
      </c>
      <c r="AB556">
        <v>59</v>
      </c>
      <c r="AC556">
        <v>0</v>
      </c>
      <c r="AD556" t="s">
        <v>73</v>
      </c>
      <c r="AE556" t="s">
        <v>41</v>
      </c>
      <c r="AF556" t="e">
        <v>#N/A</v>
      </c>
      <c r="AG556" s="8">
        <v>189</v>
      </c>
      <c r="AH556">
        <v>0</v>
      </c>
      <c r="AI556">
        <v>20</v>
      </c>
      <c r="AJ556">
        <v>0</v>
      </c>
      <c r="AK556">
        <v>0</v>
      </c>
      <c r="AL556">
        <v>0</v>
      </c>
      <c r="AM556">
        <v>20</v>
      </c>
      <c r="AN556">
        <v>0</v>
      </c>
      <c r="AO556">
        <v>0</v>
      </c>
      <c r="AP556">
        <v>0</v>
      </c>
      <c r="AQ556">
        <v>0.16666666666666666</v>
      </c>
      <c r="AR556">
        <v>0.25</v>
      </c>
      <c r="AS556">
        <v>0.5</v>
      </c>
      <c r="AT556">
        <v>8.3333333333333329E-2</v>
      </c>
      <c r="AU556">
        <v>17242.987840000002</v>
      </c>
      <c r="AV556">
        <v>7</v>
      </c>
      <c r="AW556">
        <f t="shared" si="52"/>
        <v>0</v>
      </c>
      <c r="AX556">
        <v>0</v>
      </c>
      <c r="AY556">
        <f t="shared" si="53"/>
        <v>0</v>
      </c>
      <c r="AZ556" t="e">
        <v>#N/A</v>
      </c>
      <c r="BA556">
        <v>12</v>
      </c>
      <c r="BB556">
        <v>2020</v>
      </c>
      <c r="BC556">
        <v>12</v>
      </c>
      <c r="BD556">
        <v>2020</v>
      </c>
      <c r="BE556">
        <v>2</v>
      </c>
      <c r="BF556">
        <v>2020</v>
      </c>
    </row>
    <row r="557" spans="1:58" x14ac:dyDescent="0.2">
      <c r="A557" s="7">
        <v>0</v>
      </c>
      <c r="B557" s="7">
        <v>13</v>
      </c>
      <c r="C557" s="7">
        <v>0</v>
      </c>
      <c r="D557" s="7">
        <v>0</v>
      </c>
      <c r="E557" s="7">
        <f t="shared" si="48"/>
        <v>13</v>
      </c>
      <c r="F557" s="11" t="s">
        <v>50</v>
      </c>
      <c r="G557">
        <v>0</v>
      </c>
      <c r="H557">
        <v>13</v>
      </c>
      <c r="I557">
        <v>0</v>
      </c>
      <c r="J557">
        <v>0</v>
      </c>
      <c r="K557">
        <f t="shared" si="49"/>
        <v>13</v>
      </c>
      <c r="L557" t="s">
        <v>50</v>
      </c>
      <c r="M557">
        <v>16860.44728</v>
      </c>
      <c r="N557" s="7">
        <v>0</v>
      </c>
      <c r="O557" s="7">
        <v>13</v>
      </c>
      <c r="P557" s="7">
        <v>0</v>
      </c>
      <c r="Q557" s="7">
        <v>0</v>
      </c>
      <c r="R557" s="7">
        <f t="shared" si="50"/>
        <v>13</v>
      </c>
      <c r="S557" t="s">
        <v>50</v>
      </c>
      <c r="T557" s="7">
        <v>0</v>
      </c>
      <c r="U557" s="7">
        <v>13</v>
      </c>
      <c r="V557" s="7">
        <v>0</v>
      </c>
      <c r="W557" s="7">
        <v>0</v>
      </c>
      <c r="X557" s="7">
        <f t="shared" si="51"/>
        <v>13</v>
      </c>
      <c r="Y557" t="s">
        <v>50</v>
      </c>
      <c r="Z557">
        <v>14980.687959999999</v>
      </c>
      <c r="AA557" t="s">
        <v>939</v>
      </c>
      <c r="AB557">
        <v>16</v>
      </c>
      <c r="AC557">
        <v>0</v>
      </c>
      <c r="AD557" t="s">
        <v>156</v>
      </c>
      <c r="AE557" t="s">
        <v>75</v>
      </c>
      <c r="AF557">
        <v>292</v>
      </c>
      <c r="AG557" s="8">
        <v>0</v>
      </c>
      <c r="AH557">
        <v>0</v>
      </c>
      <c r="AI557">
        <v>0</v>
      </c>
      <c r="AJ557">
        <v>0</v>
      </c>
      <c r="AK557" t="e">
        <v>#N/A</v>
      </c>
      <c r="AL557" t="e">
        <v>#N/A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31841.13524</v>
      </c>
      <c r="AV557">
        <v>3</v>
      </c>
      <c r="AW557">
        <f t="shared" si="52"/>
        <v>0</v>
      </c>
      <c r="AX557">
        <v>0</v>
      </c>
      <c r="AY557">
        <f t="shared" si="53"/>
        <v>0</v>
      </c>
      <c r="AZ557">
        <v>0</v>
      </c>
      <c r="BA557">
        <v>1</v>
      </c>
      <c r="BB557">
        <v>2019</v>
      </c>
      <c r="BC557">
        <v>10</v>
      </c>
      <c r="BD557">
        <v>2019</v>
      </c>
      <c r="BE557">
        <v>11</v>
      </c>
      <c r="BF557">
        <v>2019</v>
      </c>
    </row>
    <row r="558" spans="1:58" x14ac:dyDescent="0.2">
      <c r="A558" s="7">
        <v>1</v>
      </c>
      <c r="B558" s="7">
        <v>8</v>
      </c>
      <c r="C558" s="7">
        <v>0</v>
      </c>
      <c r="D558" s="7">
        <v>0</v>
      </c>
      <c r="E558" s="7">
        <f t="shared" si="48"/>
        <v>9</v>
      </c>
      <c r="F558" s="11" t="s">
        <v>36</v>
      </c>
      <c r="G558">
        <v>1</v>
      </c>
      <c r="H558">
        <v>8</v>
      </c>
      <c r="I558">
        <v>0</v>
      </c>
      <c r="J558">
        <v>0</v>
      </c>
      <c r="K558">
        <f t="shared" si="49"/>
        <v>9</v>
      </c>
      <c r="L558" t="s">
        <v>36</v>
      </c>
      <c r="M558">
        <v>31035.68806923</v>
      </c>
      <c r="N558" s="7">
        <v>4</v>
      </c>
      <c r="O558" s="7">
        <v>16</v>
      </c>
      <c r="P558" s="7">
        <v>0</v>
      </c>
      <c r="Q558" s="7">
        <v>2</v>
      </c>
      <c r="R558" s="7">
        <f t="shared" si="50"/>
        <v>22</v>
      </c>
      <c r="S558" t="s">
        <v>36</v>
      </c>
      <c r="T558" s="7">
        <v>10</v>
      </c>
      <c r="U558" s="7">
        <v>27</v>
      </c>
      <c r="V558" s="7">
        <v>9</v>
      </c>
      <c r="W558" s="7">
        <v>6</v>
      </c>
      <c r="X558" s="7">
        <f t="shared" si="51"/>
        <v>52</v>
      </c>
      <c r="Y558" t="s">
        <v>36</v>
      </c>
      <c r="Z558">
        <v>233910.52835988</v>
      </c>
      <c r="AA558" t="s">
        <v>940</v>
      </c>
      <c r="AB558">
        <v>30</v>
      </c>
      <c r="AC558">
        <v>4</v>
      </c>
      <c r="AD558" t="s">
        <v>280</v>
      </c>
      <c r="AE558" t="s">
        <v>41</v>
      </c>
      <c r="AF558" t="e">
        <v>#N/A</v>
      </c>
      <c r="AG558" s="8">
        <v>382</v>
      </c>
      <c r="AH558">
        <v>30</v>
      </c>
      <c r="AI558">
        <v>43</v>
      </c>
      <c r="AJ558">
        <v>0</v>
      </c>
      <c r="AK558">
        <v>7.8534031413612565E-2</v>
      </c>
      <c r="AL558">
        <v>1.5349335302899525</v>
      </c>
      <c r="AM558">
        <v>13</v>
      </c>
      <c r="AN558">
        <v>0</v>
      </c>
      <c r="AO558">
        <v>1.3636363636363635</v>
      </c>
      <c r="AP558">
        <v>3.3333333333333335</v>
      </c>
      <c r="AQ558">
        <v>0</v>
      </c>
      <c r="AR558">
        <v>0.1111111111111111</v>
      </c>
      <c r="AS558">
        <v>0.88888888888888884</v>
      </c>
      <c r="AT558">
        <v>0</v>
      </c>
      <c r="AU558">
        <v>264946.21642910998</v>
      </c>
      <c r="AV558">
        <v>8</v>
      </c>
      <c r="AW558">
        <f t="shared" si="52"/>
        <v>0</v>
      </c>
      <c r="AX558">
        <v>4</v>
      </c>
      <c r="AY558">
        <f t="shared" si="53"/>
        <v>1</v>
      </c>
      <c r="AZ558" t="e">
        <v>#N/A</v>
      </c>
      <c r="BA558">
        <v>3</v>
      </c>
      <c r="BB558">
        <v>2019</v>
      </c>
      <c r="BC558">
        <v>3</v>
      </c>
      <c r="BD558">
        <v>2019</v>
      </c>
      <c r="BE558">
        <v>1</v>
      </c>
      <c r="BF558">
        <v>2019</v>
      </c>
    </row>
    <row r="559" spans="1:58" x14ac:dyDescent="0.2">
      <c r="A559" s="7">
        <v>0</v>
      </c>
      <c r="B559" s="7">
        <v>10</v>
      </c>
      <c r="C559" s="7">
        <v>0</v>
      </c>
      <c r="D559" s="7">
        <v>0</v>
      </c>
      <c r="E559" s="7">
        <f t="shared" si="48"/>
        <v>10</v>
      </c>
      <c r="F559" s="11" t="s">
        <v>36</v>
      </c>
      <c r="G559">
        <v>0</v>
      </c>
      <c r="H559">
        <v>10</v>
      </c>
      <c r="I559">
        <v>0</v>
      </c>
      <c r="J559">
        <v>0</v>
      </c>
      <c r="K559">
        <f t="shared" si="49"/>
        <v>10</v>
      </c>
      <c r="L559" t="s">
        <v>36</v>
      </c>
      <c r="M559">
        <v>22555.896465090002</v>
      </c>
      <c r="N559" s="7">
        <v>1</v>
      </c>
      <c r="O559" s="7">
        <v>11</v>
      </c>
      <c r="P559" s="7">
        <v>0</v>
      </c>
      <c r="Q559" s="7">
        <v>3</v>
      </c>
      <c r="R559" s="7">
        <f t="shared" si="50"/>
        <v>15</v>
      </c>
      <c r="S559" t="s">
        <v>36</v>
      </c>
      <c r="T559" s="7">
        <v>0</v>
      </c>
      <c r="U559" s="7">
        <v>10</v>
      </c>
      <c r="V559" s="7">
        <v>0</v>
      </c>
      <c r="W559" s="7">
        <v>0</v>
      </c>
      <c r="X559" s="7">
        <f t="shared" si="51"/>
        <v>10</v>
      </c>
      <c r="Y559" t="s">
        <v>36</v>
      </c>
      <c r="Z559">
        <v>216572.29299419999</v>
      </c>
      <c r="AA559" t="s">
        <v>941</v>
      </c>
      <c r="AB559">
        <v>81</v>
      </c>
      <c r="AC559">
        <v>286</v>
      </c>
      <c r="AD559" t="s">
        <v>254</v>
      </c>
      <c r="AE559" t="s">
        <v>41</v>
      </c>
      <c r="AF559" t="e">
        <v>#N/A</v>
      </c>
      <c r="AG559" s="8">
        <v>86</v>
      </c>
      <c r="AH559">
        <v>-5</v>
      </c>
      <c r="AI559">
        <v>0</v>
      </c>
      <c r="AJ559">
        <v>0</v>
      </c>
      <c r="AK559">
        <v>-5.8139534883720929E-2</v>
      </c>
      <c r="AL559">
        <v>-0.53916386601719202</v>
      </c>
      <c r="AM559">
        <v>5</v>
      </c>
      <c r="AN559">
        <v>0</v>
      </c>
      <c r="AO559">
        <v>-0.33333333333333331</v>
      </c>
      <c r="AP559">
        <v>-0.5</v>
      </c>
      <c r="AQ559">
        <v>0</v>
      </c>
      <c r="AR559">
        <v>0</v>
      </c>
      <c r="AS559">
        <v>1</v>
      </c>
      <c r="AT559">
        <v>0</v>
      </c>
      <c r="AU559">
        <v>239128.18945929001</v>
      </c>
      <c r="AV559">
        <v>14</v>
      </c>
      <c r="AW559">
        <f t="shared" si="52"/>
        <v>1</v>
      </c>
      <c r="AX559">
        <v>286</v>
      </c>
      <c r="AY559">
        <f t="shared" si="53"/>
        <v>1</v>
      </c>
      <c r="AZ559" t="e">
        <v>#N/A</v>
      </c>
      <c r="BA559">
        <v>3</v>
      </c>
      <c r="BB559">
        <v>2019</v>
      </c>
      <c r="BC559">
        <v>3</v>
      </c>
      <c r="BD559">
        <v>2019</v>
      </c>
      <c r="BE559">
        <v>7</v>
      </c>
      <c r="BF559">
        <v>2019</v>
      </c>
    </row>
    <row r="560" spans="1:58" x14ac:dyDescent="0.2">
      <c r="A560" s="7">
        <v>3</v>
      </c>
      <c r="B560" s="7">
        <v>15</v>
      </c>
      <c r="C560" s="7">
        <v>0</v>
      </c>
      <c r="D560" s="7">
        <v>3</v>
      </c>
      <c r="E560" s="7">
        <f t="shared" si="48"/>
        <v>21</v>
      </c>
      <c r="F560" s="11" t="s">
        <v>36</v>
      </c>
      <c r="G560">
        <v>3</v>
      </c>
      <c r="H560">
        <v>15</v>
      </c>
      <c r="I560">
        <v>0</v>
      </c>
      <c r="J560">
        <v>3</v>
      </c>
      <c r="K560">
        <f t="shared" si="49"/>
        <v>21</v>
      </c>
      <c r="L560" t="s">
        <v>36</v>
      </c>
      <c r="M560">
        <v>18770.321970410001</v>
      </c>
      <c r="N560" s="7">
        <v>3</v>
      </c>
      <c r="O560" s="7">
        <v>15</v>
      </c>
      <c r="P560" s="7">
        <v>0</v>
      </c>
      <c r="Q560" s="7">
        <v>3</v>
      </c>
      <c r="R560" s="7">
        <f t="shared" si="50"/>
        <v>21</v>
      </c>
      <c r="S560" t="s">
        <v>36</v>
      </c>
      <c r="T560" s="7">
        <v>3</v>
      </c>
      <c r="U560" s="7">
        <v>15</v>
      </c>
      <c r="V560" s="7">
        <v>0</v>
      </c>
      <c r="W560" s="7">
        <v>3</v>
      </c>
      <c r="X560" s="7">
        <f t="shared" si="51"/>
        <v>21</v>
      </c>
      <c r="Y560" t="s">
        <v>36</v>
      </c>
      <c r="Z560">
        <v>27417.571775410001</v>
      </c>
      <c r="AA560" t="s">
        <v>942</v>
      </c>
      <c r="AB560">
        <v>32</v>
      </c>
      <c r="AC560">
        <v>0</v>
      </c>
      <c r="AD560" t="s">
        <v>281</v>
      </c>
      <c r="AE560" t="s">
        <v>75</v>
      </c>
      <c r="AF560" t="e">
        <v>#N/A</v>
      </c>
      <c r="AG560" s="8">
        <v>135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0.14285714285714285</v>
      </c>
      <c r="AR560">
        <v>0.14285714285714285</v>
      </c>
      <c r="AS560">
        <v>0.7142857142857143</v>
      </c>
      <c r="AT560">
        <v>0</v>
      </c>
      <c r="AU560">
        <v>46187.893745820002</v>
      </c>
      <c r="AV560">
        <v>9</v>
      </c>
      <c r="AW560">
        <f t="shared" si="52"/>
        <v>0</v>
      </c>
      <c r="AX560">
        <v>0</v>
      </c>
      <c r="AY560">
        <f t="shared" si="53"/>
        <v>0</v>
      </c>
      <c r="AZ560" t="e">
        <v>#N/A</v>
      </c>
      <c r="BA560">
        <v>11</v>
      </c>
      <c r="BB560">
        <v>2019</v>
      </c>
      <c r="BC560">
        <v>11</v>
      </c>
      <c r="BD560">
        <v>2019</v>
      </c>
      <c r="BE560">
        <v>1</v>
      </c>
      <c r="BF560">
        <v>2019</v>
      </c>
    </row>
    <row r="561" spans="1:58" x14ac:dyDescent="0.2">
      <c r="A561" s="7">
        <v>0</v>
      </c>
      <c r="B561" s="7">
        <v>15</v>
      </c>
      <c r="C561" s="7">
        <v>0</v>
      </c>
      <c r="D561" s="7">
        <v>3</v>
      </c>
      <c r="E561" s="7">
        <f t="shared" si="48"/>
        <v>18</v>
      </c>
      <c r="F561" s="11" t="s">
        <v>42</v>
      </c>
      <c r="G561">
        <v>0</v>
      </c>
      <c r="H561">
        <v>15</v>
      </c>
      <c r="I561">
        <v>0</v>
      </c>
      <c r="J561">
        <v>0</v>
      </c>
      <c r="K561">
        <f t="shared" si="49"/>
        <v>15</v>
      </c>
      <c r="L561" t="s">
        <v>54</v>
      </c>
      <c r="M561">
        <v>132363.27174905009</v>
      </c>
      <c r="N561" s="7">
        <v>0</v>
      </c>
      <c r="O561" s="7">
        <v>18</v>
      </c>
      <c r="P561" s="7">
        <v>0</v>
      </c>
      <c r="Q561" s="7">
        <v>3</v>
      </c>
      <c r="R561" s="7">
        <f t="shared" si="50"/>
        <v>21</v>
      </c>
      <c r="S561" t="s">
        <v>54</v>
      </c>
      <c r="T561" s="7">
        <v>0</v>
      </c>
      <c r="U561" s="7">
        <v>15</v>
      </c>
      <c r="V561" s="7">
        <v>0</v>
      </c>
      <c r="W561" s="7">
        <v>3</v>
      </c>
      <c r="X561" s="7">
        <f t="shared" si="51"/>
        <v>18</v>
      </c>
      <c r="Y561" t="s">
        <v>42</v>
      </c>
      <c r="Z561">
        <v>158983.32642266</v>
      </c>
      <c r="AA561" t="s">
        <v>943</v>
      </c>
      <c r="AB561">
        <v>59</v>
      </c>
      <c r="AC561">
        <v>1657</v>
      </c>
      <c r="AD561" t="s">
        <v>254</v>
      </c>
      <c r="AE561" t="s">
        <v>41</v>
      </c>
      <c r="AF561">
        <v>80</v>
      </c>
      <c r="AG561" s="8">
        <v>297</v>
      </c>
      <c r="AH561">
        <v>-3</v>
      </c>
      <c r="AI561">
        <v>0</v>
      </c>
      <c r="AJ561">
        <v>-3</v>
      </c>
      <c r="AK561">
        <v>-1.0101010101010102E-2</v>
      </c>
      <c r="AL561">
        <v>-0.17407765595569785</v>
      </c>
      <c r="AM561">
        <v>6</v>
      </c>
      <c r="AN561">
        <v>0</v>
      </c>
      <c r="AO561">
        <v>-0.14285714285714285</v>
      </c>
      <c r="AP561">
        <v>-0.16666666666666666</v>
      </c>
      <c r="AQ561">
        <v>0.16666666666666666</v>
      </c>
      <c r="AR561">
        <v>0</v>
      </c>
      <c r="AS561">
        <v>0.83333333333333337</v>
      </c>
      <c r="AT561">
        <v>0</v>
      </c>
      <c r="AU561">
        <v>291346.59817171009</v>
      </c>
      <c r="AV561">
        <v>16</v>
      </c>
      <c r="AW561">
        <f t="shared" si="52"/>
        <v>1</v>
      </c>
      <c r="AX561">
        <v>1657</v>
      </c>
      <c r="AY561">
        <f t="shared" si="53"/>
        <v>1</v>
      </c>
      <c r="AZ561">
        <v>20.712499999999999</v>
      </c>
      <c r="BA561">
        <v>1</v>
      </c>
      <c r="BB561">
        <v>2019</v>
      </c>
      <c r="BC561">
        <v>3</v>
      </c>
      <c r="BD561">
        <v>2019</v>
      </c>
      <c r="BE561">
        <v>1</v>
      </c>
      <c r="BF561">
        <v>2019</v>
      </c>
    </row>
    <row r="562" spans="1:58" x14ac:dyDescent="0.2">
      <c r="A562" s="7">
        <v>8</v>
      </c>
      <c r="B562" s="7">
        <v>4</v>
      </c>
      <c r="C562" s="7">
        <v>0</v>
      </c>
      <c r="D562" s="7">
        <v>0</v>
      </c>
      <c r="E562" s="7">
        <f t="shared" si="48"/>
        <v>12</v>
      </c>
      <c r="F562" s="11" t="s">
        <v>36</v>
      </c>
      <c r="G562">
        <v>4</v>
      </c>
      <c r="H562">
        <v>4</v>
      </c>
      <c r="I562">
        <v>0</v>
      </c>
      <c r="J562">
        <v>0</v>
      </c>
      <c r="K562">
        <f t="shared" si="49"/>
        <v>8</v>
      </c>
      <c r="L562" t="s">
        <v>36</v>
      </c>
      <c r="M562">
        <v>67808.555110990012</v>
      </c>
      <c r="N562" s="7">
        <v>9</v>
      </c>
      <c r="O562" s="7">
        <v>18</v>
      </c>
      <c r="P562" s="7">
        <v>3</v>
      </c>
      <c r="Q562" s="7">
        <v>4</v>
      </c>
      <c r="R562" s="7">
        <f t="shared" si="50"/>
        <v>34</v>
      </c>
      <c r="S562" t="s">
        <v>36</v>
      </c>
      <c r="T562" s="7">
        <v>20</v>
      </c>
      <c r="U562" s="7">
        <v>40</v>
      </c>
      <c r="V562" s="7">
        <v>9</v>
      </c>
      <c r="W562" s="7">
        <v>7</v>
      </c>
      <c r="X562" s="7">
        <f t="shared" si="51"/>
        <v>76</v>
      </c>
      <c r="Y562" t="s">
        <v>36</v>
      </c>
      <c r="Z562">
        <v>154388.79774330999</v>
      </c>
      <c r="AA562" t="s">
        <v>944</v>
      </c>
      <c r="AB562">
        <v>58</v>
      </c>
      <c r="AC562">
        <v>864</v>
      </c>
      <c r="AD562" t="s">
        <v>258</v>
      </c>
      <c r="AE562" t="s">
        <v>41</v>
      </c>
      <c r="AF562">
        <v>62</v>
      </c>
      <c r="AG562" s="8">
        <v>278</v>
      </c>
      <c r="AH562">
        <v>42</v>
      </c>
      <c r="AI562">
        <v>64</v>
      </c>
      <c r="AJ562">
        <v>-4</v>
      </c>
      <c r="AK562">
        <v>0.15107913669064749</v>
      </c>
      <c r="AL562">
        <v>2.5189926043970821</v>
      </c>
      <c r="AM562">
        <v>26</v>
      </c>
      <c r="AN562">
        <v>0</v>
      </c>
      <c r="AO562">
        <v>1.2352941176470589</v>
      </c>
      <c r="AP562">
        <v>3.5</v>
      </c>
      <c r="AQ562">
        <v>0</v>
      </c>
      <c r="AR562">
        <v>0.66666666666666663</v>
      </c>
      <c r="AS562">
        <v>0.33333333333333331</v>
      </c>
      <c r="AT562">
        <v>0</v>
      </c>
      <c r="AU562">
        <v>222197.3528543</v>
      </c>
      <c r="AV562">
        <v>16</v>
      </c>
      <c r="AW562">
        <f t="shared" si="52"/>
        <v>1</v>
      </c>
      <c r="AX562">
        <v>864</v>
      </c>
      <c r="AY562">
        <f t="shared" si="53"/>
        <v>1</v>
      </c>
      <c r="AZ562">
        <v>13.935483870967742</v>
      </c>
      <c r="BA562">
        <v>3</v>
      </c>
      <c r="BB562">
        <v>2019</v>
      </c>
      <c r="BC562">
        <v>5</v>
      </c>
      <c r="BD562">
        <v>2019</v>
      </c>
      <c r="BE562">
        <v>1</v>
      </c>
      <c r="BF562">
        <v>2019</v>
      </c>
    </row>
    <row r="563" spans="1:58" x14ac:dyDescent="0.2">
      <c r="A563" s="7">
        <v>8</v>
      </c>
      <c r="B563" s="7">
        <v>18</v>
      </c>
      <c r="C563" s="7">
        <v>4</v>
      </c>
      <c r="D563" s="7">
        <v>3</v>
      </c>
      <c r="E563" s="7">
        <f t="shared" si="48"/>
        <v>33</v>
      </c>
      <c r="F563" s="11" t="s">
        <v>42</v>
      </c>
      <c r="G563">
        <v>8</v>
      </c>
      <c r="H563">
        <v>18</v>
      </c>
      <c r="I563">
        <v>4</v>
      </c>
      <c r="J563">
        <v>3</v>
      </c>
      <c r="K563">
        <f t="shared" si="49"/>
        <v>33</v>
      </c>
      <c r="L563" t="s">
        <v>42</v>
      </c>
      <c r="M563">
        <v>12303.187692330001</v>
      </c>
      <c r="N563" s="7">
        <v>10</v>
      </c>
      <c r="O563" s="7">
        <v>17</v>
      </c>
      <c r="P563" s="7">
        <v>2</v>
      </c>
      <c r="Q563" s="7">
        <v>2</v>
      </c>
      <c r="R563" s="7">
        <f t="shared" si="50"/>
        <v>31</v>
      </c>
      <c r="S563" t="s">
        <v>42</v>
      </c>
      <c r="T563" s="7">
        <v>15</v>
      </c>
      <c r="U563" s="7">
        <v>17</v>
      </c>
      <c r="V563" s="7">
        <v>2</v>
      </c>
      <c r="W563" s="7">
        <v>2</v>
      </c>
      <c r="X563" s="7">
        <f t="shared" si="51"/>
        <v>36</v>
      </c>
      <c r="Y563" t="s">
        <v>42</v>
      </c>
      <c r="Z563">
        <v>28043.564866230001</v>
      </c>
      <c r="AA563" t="s">
        <v>945</v>
      </c>
      <c r="AB563">
        <v>53</v>
      </c>
      <c r="AC563">
        <v>0</v>
      </c>
      <c r="AD563" t="s">
        <v>282</v>
      </c>
      <c r="AE563" t="s">
        <v>75</v>
      </c>
      <c r="AF563" t="e">
        <v>#N/A</v>
      </c>
      <c r="AG563" s="8">
        <v>189</v>
      </c>
      <c r="AH563">
        <v>5</v>
      </c>
      <c r="AI563">
        <v>3</v>
      </c>
      <c r="AJ563">
        <v>0</v>
      </c>
      <c r="AK563">
        <v>2.6455026455026454E-2</v>
      </c>
      <c r="AL563">
        <v>0.36369648372665397</v>
      </c>
      <c r="AM563">
        <v>-2</v>
      </c>
      <c r="AN563">
        <v>1</v>
      </c>
      <c r="AO563">
        <v>0.16129032258064516</v>
      </c>
      <c r="AP563">
        <v>0.15151515151515152</v>
      </c>
      <c r="AQ563">
        <v>9.0909090909090912E-2</v>
      </c>
      <c r="AR563">
        <v>0.24242424242424243</v>
      </c>
      <c r="AS563">
        <v>0.54545454545454541</v>
      </c>
      <c r="AT563">
        <v>0.12121212121212122</v>
      </c>
      <c r="AU563">
        <v>40346.752558560001</v>
      </c>
      <c r="AV563">
        <v>3</v>
      </c>
      <c r="AW563">
        <f t="shared" si="52"/>
        <v>0</v>
      </c>
      <c r="AX563">
        <v>0</v>
      </c>
      <c r="AY563">
        <f t="shared" si="53"/>
        <v>0</v>
      </c>
      <c r="AZ563" t="e">
        <v>#N/A</v>
      </c>
      <c r="BA563">
        <v>7</v>
      </c>
      <c r="BB563">
        <v>2019</v>
      </c>
      <c r="BC563">
        <v>7</v>
      </c>
      <c r="BD563">
        <v>2019</v>
      </c>
      <c r="BE563">
        <v>1</v>
      </c>
      <c r="BF563">
        <v>2019</v>
      </c>
    </row>
    <row r="564" spans="1:58" x14ac:dyDescent="0.2">
      <c r="A564" s="7">
        <v>0</v>
      </c>
      <c r="B564" s="7">
        <v>6</v>
      </c>
      <c r="C564" s="7">
        <v>0</v>
      </c>
      <c r="D564" s="7">
        <v>0</v>
      </c>
      <c r="E564" s="7">
        <f t="shared" si="48"/>
        <v>6</v>
      </c>
      <c r="F564" s="11" t="s">
        <v>53</v>
      </c>
      <c r="G564">
        <v>0</v>
      </c>
      <c r="H564">
        <v>0</v>
      </c>
      <c r="I564">
        <v>0</v>
      </c>
      <c r="J564">
        <v>0</v>
      </c>
      <c r="K564">
        <f t="shared" si="49"/>
        <v>0</v>
      </c>
      <c r="L564" t="s">
        <v>53</v>
      </c>
      <c r="M564">
        <v>14293.23677148</v>
      </c>
      <c r="N564" s="7">
        <v>3</v>
      </c>
      <c r="O564" s="7">
        <v>8</v>
      </c>
      <c r="P564" s="7">
        <v>0</v>
      </c>
      <c r="Q564" s="7">
        <v>3</v>
      </c>
      <c r="R564" s="7">
        <f t="shared" si="50"/>
        <v>14</v>
      </c>
      <c r="S564" t="s">
        <v>53</v>
      </c>
      <c r="T564" s="7">
        <v>6</v>
      </c>
      <c r="U564" s="7">
        <v>10</v>
      </c>
      <c r="V564" s="7">
        <v>0</v>
      </c>
      <c r="W564" s="7">
        <v>3</v>
      </c>
      <c r="X564" s="7">
        <f t="shared" si="51"/>
        <v>19</v>
      </c>
      <c r="Y564" t="s">
        <v>80</v>
      </c>
      <c r="Z564">
        <v>119488.77957098</v>
      </c>
      <c r="AA564" t="s">
        <v>946</v>
      </c>
      <c r="AB564">
        <v>71</v>
      </c>
      <c r="AC564">
        <v>0</v>
      </c>
      <c r="AD564" t="s">
        <v>283</v>
      </c>
      <c r="AE564" t="s">
        <v>75</v>
      </c>
      <c r="AF564">
        <v>108</v>
      </c>
      <c r="AG564" s="8">
        <v>257</v>
      </c>
      <c r="AH564">
        <v>5</v>
      </c>
      <c r="AI564">
        <v>13</v>
      </c>
      <c r="AJ564">
        <v>-6</v>
      </c>
      <c r="AK564">
        <v>1.9455252918287938E-2</v>
      </c>
      <c r="AL564">
        <v>0.31189143077590264</v>
      </c>
      <c r="AM564">
        <v>14</v>
      </c>
      <c r="AN564">
        <v>0</v>
      </c>
      <c r="AO564">
        <v>0.35714285714285715</v>
      </c>
      <c r="AP564">
        <v>0.83333333333333337</v>
      </c>
      <c r="AQ564">
        <v>0</v>
      </c>
      <c r="AR564">
        <v>0</v>
      </c>
      <c r="AS564">
        <v>1</v>
      </c>
      <c r="AT564">
        <v>0</v>
      </c>
      <c r="AU564">
        <v>133782.01634246</v>
      </c>
      <c r="AV564">
        <v>11</v>
      </c>
      <c r="AW564">
        <f t="shared" si="52"/>
        <v>1</v>
      </c>
      <c r="AX564">
        <v>0</v>
      </c>
      <c r="AY564">
        <f t="shared" si="53"/>
        <v>0</v>
      </c>
      <c r="AZ564">
        <v>0</v>
      </c>
      <c r="BA564">
        <v>1</v>
      </c>
      <c r="BB564">
        <v>2019</v>
      </c>
      <c r="BC564">
        <v>4</v>
      </c>
      <c r="BD564">
        <v>2019</v>
      </c>
      <c r="BE564">
        <v>1</v>
      </c>
      <c r="BF564">
        <v>2019</v>
      </c>
    </row>
    <row r="565" spans="1:58" x14ac:dyDescent="0.2">
      <c r="A565" s="7">
        <v>14</v>
      </c>
      <c r="B565" s="7">
        <v>16</v>
      </c>
      <c r="C565" s="7">
        <v>2</v>
      </c>
      <c r="D565" s="7">
        <v>5</v>
      </c>
      <c r="E565" s="7">
        <f t="shared" si="48"/>
        <v>37</v>
      </c>
      <c r="F565" s="11" t="s">
        <v>36</v>
      </c>
      <c r="G565">
        <v>14</v>
      </c>
      <c r="H565">
        <v>16</v>
      </c>
      <c r="I565">
        <v>2</v>
      </c>
      <c r="J565">
        <v>5</v>
      </c>
      <c r="K565">
        <f t="shared" si="49"/>
        <v>37</v>
      </c>
      <c r="L565" t="s">
        <v>36</v>
      </c>
      <c r="M565">
        <v>13291.59367204</v>
      </c>
      <c r="N565" s="7">
        <v>16</v>
      </c>
      <c r="O565" s="7">
        <v>19</v>
      </c>
      <c r="P565" s="7">
        <v>6</v>
      </c>
      <c r="Q565" s="7">
        <v>5</v>
      </c>
      <c r="R565" s="7">
        <f t="shared" si="50"/>
        <v>46</v>
      </c>
      <c r="S565" t="s">
        <v>36</v>
      </c>
      <c r="T565" s="7">
        <v>20</v>
      </c>
      <c r="U565" s="7">
        <v>32</v>
      </c>
      <c r="V565" s="7">
        <v>10</v>
      </c>
      <c r="W565" s="7">
        <v>18</v>
      </c>
      <c r="X565" s="7">
        <f t="shared" si="51"/>
        <v>80</v>
      </c>
      <c r="Y565" t="s">
        <v>36</v>
      </c>
      <c r="Z565">
        <v>96541.480291960004</v>
      </c>
      <c r="AA565" t="s">
        <v>947</v>
      </c>
      <c r="AB565">
        <v>42</v>
      </c>
      <c r="AC565">
        <v>0</v>
      </c>
      <c r="AD565" t="s">
        <v>260</v>
      </c>
      <c r="AE565" t="s">
        <v>75</v>
      </c>
      <c r="AF565" t="e">
        <v>#N/A</v>
      </c>
      <c r="AG565" s="8">
        <v>95</v>
      </c>
      <c r="AH565">
        <v>34</v>
      </c>
      <c r="AI565">
        <v>43</v>
      </c>
      <c r="AJ565">
        <v>0</v>
      </c>
      <c r="AK565">
        <v>0.35789473684210527</v>
      </c>
      <c r="AL565">
        <v>3.4883263970895242</v>
      </c>
      <c r="AM565">
        <v>9</v>
      </c>
      <c r="AN565">
        <v>0</v>
      </c>
      <c r="AO565">
        <v>0.73913043478260865</v>
      </c>
      <c r="AP565">
        <v>0.91891891891891897</v>
      </c>
      <c r="AQ565">
        <v>0.13513513513513514</v>
      </c>
      <c r="AR565">
        <v>0.3783783783783784</v>
      </c>
      <c r="AS565">
        <v>0.43243243243243246</v>
      </c>
      <c r="AT565">
        <v>5.4054054054054057E-2</v>
      </c>
      <c r="AU565">
        <v>109833.07396400001</v>
      </c>
      <c r="AV565">
        <v>5</v>
      </c>
      <c r="AW565">
        <f t="shared" si="52"/>
        <v>0</v>
      </c>
      <c r="AX565">
        <v>0</v>
      </c>
      <c r="AY565">
        <f t="shared" si="53"/>
        <v>0</v>
      </c>
      <c r="AZ565" t="e">
        <v>#N/A</v>
      </c>
      <c r="BA565">
        <v>10</v>
      </c>
      <c r="BB565">
        <v>2019</v>
      </c>
      <c r="BC565">
        <v>10</v>
      </c>
      <c r="BD565">
        <v>2019</v>
      </c>
      <c r="BE565">
        <v>1</v>
      </c>
      <c r="BF565">
        <v>2019</v>
      </c>
    </row>
    <row r="566" spans="1:58" x14ac:dyDescent="0.2">
      <c r="A566" s="7">
        <v>5</v>
      </c>
      <c r="B566" s="7">
        <v>14</v>
      </c>
      <c r="C566" s="7">
        <v>0</v>
      </c>
      <c r="D566" s="7">
        <v>1</v>
      </c>
      <c r="E566" s="7">
        <f t="shared" si="48"/>
        <v>20</v>
      </c>
      <c r="F566" s="11" t="s">
        <v>36</v>
      </c>
      <c r="G566">
        <v>5</v>
      </c>
      <c r="H566">
        <v>11</v>
      </c>
      <c r="I566">
        <v>0</v>
      </c>
      <c r="J566">
        <v>0</v>
      </c>
      <c r="K566">
        <f t="shared" si="49"/>
        <v>16</v>
      </c>
      <c r="L566" t="s">
        <v>42</v>
      </c>
      <c r="M566">
        <v>19236.167188300002</v>
      </c>
      <c r="N566" s="7">
        <v>5</v>
      </c>
      <c r="O566" s="7">
        <v>14</v>
      </c>
      <c r="P566" s="7">
        <v>0</v>
      </c>
      <c r="Q566" s="7">
        <v>3</v>
      </c>
      <c r="R566" s="7">
        <f t="shared" si="50"/>
        <v>22</v>
      </c>
      <c r="S566" t="s">
        <v>39</v>
      </c>
      <c r="T566" s="7">
        <v>20</v>
      </c>
      <c r="U566" s="7">
        <v>32</v>
      </c>
      <c r="V566" s="7">
        <v>9</v>
      </c>
      <c r="W566" s="7">
        <v>8</v>
      </c>
      <c r="X566" s="7">
        <f t="shared" si="51"/>
        <v>69</v>
      </c>
      <c r="Y566" t="s">
        <v>39</v>
      </c>
      <c r="Z566">
        <v>142049.12445626999</v>
      </c>
      <c r="AA566" t="s">
        <v>948</v>
      </c>
      <c r="AB566">
        <v>44</v>
      </c>
      <c r="AC566">
        <v>187</v>
      </c>
      <c r="AD566" t="s">
        <v>131</v>
      </c>
      <c r="AE566" t="s">
        <v>75</v>
      </c>
      <c r="AF566">
        <v>102</v>
      </c>
      <c r="AG566" s="8">
        <v>5</v>
      </c>
      <c r="AH566">
        <v>47</v>
      </c>
      <c r="AI566">
        <v>49</v>
      </c>
      <c r="AJ566">
        <v>-4</v>
      </c>
      <c r="AK566">
        <v>9.4</v>
      </c>
      <c r="AL566">
        <v>21.019038988498021</v>
      </c>
      <c r="AM566">
        <v>6</v>
      </c>
      <c r="AN566">
        <v>0</v>
      </c>
      <c r="AO566">
        <v>2.1363636363636362</v>
      </c>
      <c r="AP566">
        <v>2.35</v>
      </c>
      <c r="AQ566">
        <v>0.05</v>
      </c>
      <c r="AR566">
        <v>0.25</v>
      </c>
      <c r="AS566">
        <v>0.7</v>
      </c>
      <c r="AT566">
        <v>0</v>
      </c>
      <c r="AU566">
        <v>161285.29164456998</v>
      </c>
      <c r="AV566">
        <v>11</v>
      </c>
      <c r="AW566">
        <f t="shared" si="52"/>
        <v>1</v>
      </c>
      <c r="AX566">
        <v>187</v>
      </c>
      <c r="AY566">
        <f t="shared" si="53"/>
        <v>1</v>
      </c>
      <c r="AZ566">
        <v>1.8333333333333333</v>
      </c>
      <c r="BA566">
        <v>1</v>
      </c>
      <c r="BB566">
        <v>2019</v>
      </c>
      <c r="BC566">
        <v>4</v>
      </c>
      <c r="BD566">
        <v>2019</v>
      </c>
      <c r="BE566">
        <v>1</v>
      </c>
      <c r="BF566">
        <v>2019</v>
      </c>
    </row>
    <row r="567" spans="1:58" x14ac:dyDescent="0.2">
      <c r="A567" s="7">
        <v>2</v>
      </c>
      <c r="B567" s="7">
        <v>8</v>
      </c>
      <c r="C567" s="7">
        <v>0</v>
      </c>
      <c r="D567" s="7">
        <v>0</v>
      </c>
      <c r="E567" s="7">
        <f t="shared" si="48"/>
        <v>10</v>
      </c>
      <c r="F567" s="11" t="s">
        <v>36</v>
      </c>
      <c r="G567">
        <v>2</v>
      </c>
      <c r="H567">
        <v>8</v>
      </c>
      <c r="I567">
        <v>0</v>
      </c>
      <c r="J567">
        <v>0</v>
      </c>
      <c r="K567">
        <f t="shared" si="49"/>
        <v>10</v>
      </c>
      <c r="L567" t="s">
        <v>36</v>
      </c>
      <c r="M567">
        <v>35575.896734089998</v>
      </c>
      <c r="N567" s="7">
        <v>9</v>
      </c>
      <c r="O567" s="7">
        <v>36</v>
      </c>
      <c r="P567" s="7">
        <v>4</v>
      </c>
      <c r="Q567" s="7">
        <v>5</v>
      </c>
      <c r="R567" s="7">
        <f t="shared" si="50"/>
        <v>54</v>
      </c>
      <c r="S567" t="s">
        <v>36</v>
      </c>
      <c r="T567" s="7">
        <v>9</v>
      </c>
      <c r="U567" s="7">
        <v>39</v>
      </c>
      <c r="V567" s="7">
        <v>6</v>
      </c>
      <c r="W567" s="7">
        <v>5</v>
      </c>
      <c r="X567" s="7">
        <f t="shared" si="51"/>
        <v>59</v>
      </c>
      <c r="Y567" t="e">
        <v>#N/A</v>
      </c>
      <c r="Z567">
        <v>175294.08467558</v>
      </c>
      <c r="AA567" t="s">
        <v>949</v>
      </c>
      <c r="AB567">
        <v>46</v>
      </c>
      <c r="AC567">
        <v>485</v>
      </c>
      <c r="AD567" t="s">
        <v>174</v>
      </c>
      <c r="AE567" t="s">
        <v>75</v>
      </c>
      <c r="AF567" t="e">
        <v>#N/A</v>
      </c>
      <c r="AG567" s="8">
        <v>316</v>
      </c>
      <c r="AH567">
        <v>5</v>
      </c>
      <c r="AI567">
        <v>49</v>
      </c>
      <c r="AJ567">
        <v>0</v>
      </c>
      <c r="AK567">
        <v>1.5822784810126583E-2</v>
      </c>
      <c r="AL567">
        <v>0.28127197523150599</v>
      </c>
      <c r="AM567">
        <v>44</v>
      </c>
      <c r="AN567">
        <v>0</v>
      </c>
      <c r="AO567">
        <v>9.2592592592592587E-2</v>
      </c>
      <c r="AP567">
        <v>0.5</v>
      </c>
      <c r="AQ567">
        <v>0</v>
      </c>
      <c r="AR567">
        <v>0.2</v>
      </c>
      <c r="AS567">
        <v>0.8</v>
      </c>
      <c r="AT567">
        <v>0</v>
      </c>
      <c r="AU567">
        <v>210869.98140967</v>
      </c>
      <c r="AV567">
        <v>25</v>
      </c>
      <c r="AW567">
        <f t="shared" si="52"/>
        <v>1</v>
      </c>
      <c r="AX567">
        <v>485</v>
      </c>
      <c r="AY567">
        <f t="shared" si="53"/>
        <v>1</v>
      </c>
      <c r="AZ567" t="e">
        <v>#N/A</v>
      </c>
      <c r="BA567">
        <v>4</v>
      </c>
      <c r="BB567">
        <v>2019</v>
      </c>
      <c r="BC567">
        <v>4</v>
      </c>
      <c r="BD567">
        <v>2019</v>
      </c>
      <c r="BE567">
        <v>1</v>
      </c>
      <c r="BF567">
        <v>2019</v>
      </c>
    </row>
    <row r="568" spans="1:58" x14ac:dyDescent="0.2">
      <c r="A568" s="7">
        <v>18</v>
      </c>
      <c r="B568" s="7">
        <v>21</v>
      </c>
      <c r="C568" s="7">
        <v>9</v>
      </c>
      <c r="D568" s="7">
        <v>5</v>
      </c>
      <c r="E568" s="7">
        <f t="shared" si="48"/>
        <v>53</v>
      </c>
      <c r="F568" s="11" t="s">
        <v>83</v>
      </c>
      <c r="G568">
        <v>18</v>
      </c>
      <c r="H568">
        <v>21</v>
      </c>
      <c r="I568">
        <v>8</v>
      </c>
      <c r="J568">
        <v>4</v>
      </c>
      <c r="K568">
        <f t="shared" si="49"/>
        <v>51</v>
      </c>
      <c r="L568" t="s">
        <v>83</v>
      </c>
      <c r="M568">
        <v>11900.31973666</v>
      </c>
      <c r="N568" s="7">
        <v>18</v>
      </c>
      <c r="O568" s="7">
        <v>21</v>
      </c>
      <c r="P568" s="7">
        <v>9</v>
      </c>
      <c r="Q568" s="7">
        <v>5</v>
      </c>
      <c r="R568" s="7">
        <f t="shared" si="50"/>
        <v>53</v>
      </c>
      <c r="S568" t="s">
        <v>83</v>
      </c>
      <c r="T568" s="7">
        <v>18</v>
      </c>
      <c r="U568" s="7">
        <v>21</v>
      </c>
      <c r="V568" s="7">
        <v>9</v>
      </c>
      <c r="W568" s="7">
        <v>5</v>
      </c>
      <c r="X568" s="7">
        <f t="shared" si="51"/>
        <v>53</v>
      </c>
      <c r="Y568" t="s">
        <v>83</v>
      </c>
      <c r="Z568">
        <v>8443.21590965</v>
      </c>
      <c r="AA568" t="s">
        <v>950</v>
      </c>
      <c r="AB568">
        <v>16</v>
      </c>
      <c r="AC568">
        <v>0</v>
      </c>
      <c r="AD568" t="s">
        <v>57</v>
      </c>
      <c r="AE568" t="s">
        <v>75</v>
      </c>
      <c r="AF568">
        <v>109</v>
      </c>
      <c r="AG568" s="8">
        <v>0</v>
      </c>
      <c r="AH568">
        <v>0</v>
      </c>
      <c r="AI568">
        <v>0</v>
      </c>
      <c r="AJ568">
        <v>-2</v>
      </c>
      <c r="AK568" t="e">
        <v>#N/A</v>
      </c>
      <c r="AL568" t="e">
        <v>#N/A</v>
      </c>
      <c r="AM568">
        <v>2</v>
      </c>
      <c r="AN568">
        <v>0</v>
      </c>
      <c r="AO568">
        <v>0</v>
      </c>
      <c r="AP568">
        <v>0</v>
      </c>
      <c r="AQ568">
        <v>9.4339622641509441E-2</v>
      </c>
      <c r="AR568">
        <v>0.33962264150943394</v>
      </c>
      <c r="AS568">
        <v>0.39622641509433965</v>
      </c>
      <c r="AT568">
        <v>0.16981132075471697</v>
      </c>
      <c r="AU568">
        <v>20343.53564631</v>
      </c>
      <c r="AV568">
        <v>5</v>
      </c>
      <c r="AW568">
        <f t="shared" si="52"/>
        <v>0</v>
      </c>
      <c r="AX568">
        <v>0</v>
      </c>
      <c r="AY568">
        <f t="shared" si="53"/>
        <v>0</v>
      </c>
      <c r="AZ568">
        <v>0</v>
      </c>
      <c r="BA568">
        <v>1</v>
      </c>
      <c r="BB568">
        <v>2019</v>
      </c>
      <c r="BC568">
        <v>4</v>
      </c>
      <c r="BD568">
        <v>2019</v>
      </c>
      <c r="BE568">
        <v>5</v>
      </c>
      <c r="BF568">
        <v>2019</v>
      </c>
    </row>
    <row r="569" spans="1:58" x14ac:dyDescent="0.2">
      <c r="A569" s="7">
        <v>7</v>
      </c>
      <c r="B569" s="7">
        <v>15</v>
      </c>
      <c r="C569" s="7">
        <v>0</v>
      </c>
      <c r="D569" s="7">
        <v>0</v>
      </c>
      <c r="E569" s="7">
        <f t="shared" si="48"/>
        <v>22</v>
      </c>
      <c r="F569" s="11" t="s">
        <v>68</v>
      </c>
      <c r="G569">
        <v>7</v>
      </c>
      <c r="H569">
        <v>15</v>
      </c>
      <c r="I569">
        <v>0</v>
      </c>
      <c r="J569">
        <v>0</v>
      </c>
      <c r="K569">
        <f t="shared" si="49"/>
        <v>22</v>
      </c>
      <c r="L569" t="s">
        <v>68</v>
      </c>
      <c r="M569">
        <v>20146.179249749999</v>
      </c>
      <c r="N569" s="7">
        <v>13</v>
      </c>
      <c r="O569" s="7">
        <v>18</v>
      </c>
      <c r="P569" s="7">
        <v>1</v>
      </c>
      <c r="Q569" s="7">
        <v>6</v>
      </c>
      <c r="R569" s="7">
        <f t="shared" si="50"/>
        <v>38</v>
      </c>
      <c r="S569" t="s">
        <v>54</v>
      </c>
      <c r="T569" s="7">
        <v>9</v>
      </c>
      <c r="U569" s="7">
        <v>10</v>
      </c>
      <c r="V569" s="7">
        <v>0</v>
      </c>
      <c r="W569" s="7">
        <v>5</v>
      </c>
      <c r="X569" s="7">
        <f t="shared" si="51"/>
        <v>24</v>
      </c>
      <c r="Y569" t="s">
        <v>68</v>
      </c>
      <c r="Z569">
        <v>58015.654481600002</v>
      </c>
      <c r="AA569" t="s">
        <v>951</v>
      </c>
      <c r="AB569">
        <v>32</v>
      </c>
      <c r="AC569">
        <v>0</v>
      </c>
      <c r="AD569" t="s">
        <v>174</v>
      </c>
      <c r="AE569" t="s">
        <v>41</v>
      </c>
      <c r="AF569" t="e">
        <v>#N/A</v>
      </c>
      <c r="AG569" s="8">
        <v>29</v>
      </c>
      <c r="AH569">
        <v>-14</v>
      </c>
      <c r="AI569">
        <v>2</v>
      </c>
      <c r="AJ569">
        <v>0</v>
      </c>
      <c r="AK569">
        <v>-0.48275862068965519</v>
      </c>
      <c r="AL569">
        <v>-2.5997347344787261</v>
      </c>
      <c r="AM569">
        <v>16</v>
      </c>
      <c r="AN569">
        <v>0</v>
      </c>
      <c r="AO569">
        <v>-0.36842105263157893</v>
      </c>
      <c r="AP569">
        <v>-0.63636363636363635</v>
      </c>
      <c r="AQ569">
        <v>0</v>
      </c>
      <c r="AR569">
        <v>0.31818181818181818</v>
      </c>
      <c r="AS569">
        <v>0.68181818181818177</v>
      </c>
      <c r="AT569">
        <v>0</v>
      </c>
      <c r="AU569">
        <v>78161.833731349994</v>
      </c>
      <c r="AV569">
        <v>11</v>
      </c>
      <c r="AW569">
        <f t="shared" si="52"/>
        <v>1</v>
      </c>
      <c r="AX569">
        <v>0</v>
      </c>
      <c r="AY569">
        <f t="shared" si="53"/>
        <v>0</v>
      </c>
      <c r="AZ569" t="e">
        <v>#N/A</v>
      </c>
      <c r="BA569">
        <v>4</v>
      </c>
      <c r="BB569">
        <v>2019</v>
      </c>
      <c r="BC569">
        <v>4</v>
      </c>
      <c r="BD569">
        <v>2019</v>
      </c>
      <c r="BE569">
        <v>1</v>
      </c>
      <c r="BF569">
        <v>2019</v>
      </c>
    </row>
    <row r="570" spans="1:58" x14ac:dyDescent="0.2">
      <c r="A570" s="7">
        <v>9</v>
      </c>
      <c r="B570" s="7">
        <v>15</v>
      </c>
      <c r="C570" s="7">
        <v>4</v>
      </c>
      <c r="D570" s="7">
        <v>0</v>
      </c>
      <c r="E570" s="7">
        <f t="shared" si="48"/>
        <v>28</v>
      </c>
      <c r="F570" s="11" t="s">
        <v>68</v>
      </c>
      <c r="G570">
        <v>9</v>
      </c>
      <c r="H570">
        <v>15</v>
      </c>
      <c r="I570">
        <v>4</v>
      </c>
      <c r="J570">
        <v>0</v>
      </c>
      <c r="K570">
        <f t="shared" si="49"/>
        <v>28</v>
      </c>
      <c r="L570" t="s">
        <v>68</v>
      </c>
      <c r="M570">
        <v>34462.2069711</v>
      </c>
      <c r="N570" s="7">
        <v>14</v>
      </c>
      <c r="O570" s="7">
        <v>28</v>
      </c>
      <c r="P570" s="7">
        <v>8</v>
      </c>
      <c r="Q570" s="7">
        <v>5</v>
      </c>
      <c r="R570" s="7">
        <f t="shared" si="50"/>
        <v>55</v>
      </c>
      <c r="S570" t="s">
        <v>68</v>
      </c>
      <c r="T570" s="7">
        <v>19</v>
      </c>
      <c r="U570" s="7">
        <v>40</v>
      </c>
      <c r="V570" s="7">
        <v>9</v>
      </c>
      <c r="W570" s="7">
        <v>21</v>
      </c>
      <c r="X570" s="7">
        <f t="shared" si="51"/>
        <v>89</v>
      </c>
      <c r="Y570" t="s">
        <v>83</v>
      </c>
      <c r="Z570">
        <v>83375.564686339989</v>
      </c>
      <c r="AA570" t="s">
        <v>952</v>
      </c>
      <c r="AB570">
        <v>57</v>
      </c>
      <c r="AC570">
        <v>527</v>
      </c>
      <c r="AD570" t="s">
        <v>253</v>
      </c>
      <c r="AE570" t="s">
        <v>75</v>
      </c>
      <c r="AF570" t="e">
        <v>#N/A</v>
      </c>
      <c r="AG570" s="8">
        <v>3</v>
      </c>
      <c r="AH570">
        <v>34</v>
      </c>
      <c r="AI570">
        <v>61</v>
      </c>
      <c r="AJ570">
        <v>0</v>
      </c>
      <c r="AK570">
        <v>11.333333333333334</v>
      </c>
      <c r="AL570">
        <v>19.629909152447276</v>
      </c>
      <c r="AM570">
        <v>27</v>
      </c>
      <c r="AN570">
        <v>0</v>
      </c>
      <c r="AO570">
        <v>0.61818181818181817</v>
      </c>
      <c r="AP570">
        <v>1.2142857142857142</v>
      </c>
      <c r="AQ570">
        <v>0</v>
      </c>
      <c r="AR570">
        <v>0.32142857142857145</v>
      </c>
      <c r="AS570">
        <v>0.5357142857142857</v>
      </c>
      <c r="AT570">
        <v>0.14285714285714285</v>
      </c>
      <c r="AU570">
        <v>117837.77165744</v>
      </c>
      <c r="AV570">
        <v>9</v>
      </c>
      <c r="AW570">
        <f t="shared" si="52"/>
        <v>0</v>
      </c>
      <c r="AX570">
        <v>527</v>
      </c>
      <c r="AY570">
        <f t="shared" si="53"/>
        <v>1</v>
      </c>
      <c r="AZ570" t="e">
        <v>#N/A</v>
      </c>
      <c r="BA570">
        <v>4</v>
      </c>
      <c r="BB570">
        <v>2019</v>
      </c>
      <c r="BC570">
        <v>4</v>
      </c>
      <c r="BD570">
        <v>2019</v>
      </c>
      <c r="BE570">
        <v>1</v>
      </c>
      <c r="BF570">
        <v>2019</v>
      </c>
    </row>
    <row r="571" spans="1:58" x14ac:dyDescent="0.2">
      <c r="A571" s="7">
        <v>3</v>
      </c>
      <c r="B571" s="7">
        <v>10</v>
      </c>
      <c r="C571" s="7">
        <v>1</v>
      </c>
      <c r="D571" s="7">
        <v>3</v>
      </c>
      <c r="E571" s="7">
        <f t="shared" si="48"/>
        <v>17</v>
      </c>
      <c r="F571" s="11" t="s">
        <v>36</v>
      </c>
      <c r="G571">
        <v>3</v>
      </c>
      <c r="H571">
        <v>10</v>
      </c>
      <c r="I571">
        <v>1</v>
      </c>
      <c r="J571">
        <v>3</v>
      </c>
      <c r="K571">
        <f t="shared" si="49"/>
        <v>17</v>
      </c>
      <c r="L571" t="s">
        <v>36</v>
      </c>
      <c r="M571">
        <v>10924.88788566</v>
      </c>
      <c r="N571" s="7">
        <v>6</v>
      </c>
      <c r="O571" s="7">
        <v>10</v>
      </c>
      <c r="P571" s="7">
        <v>1</v>
      </c>
      <c r="Q571" s="7">
        <v>3</v>
      </c>
      <c r="R571" s="7">
        <f t="shared" si="50"/>
        <v>20</v>
      </c>
      <c r="S571" t="s">
        <v>36</v>
      </c>
      <c r="T571" s="7">
        <v>4</v>
      </c>
      <c r="U571" s="7">
        <v>15</v>
      </c>
      <c r="V571" s="7">
        <v>1</v>
      </c>
      <c r="W571" s="7">
        <v>3</v>
      </c>
      <c r="X571" s="7">
        <f t="shared" si="51"/>
        <v>23</v>
      </c>
      <c r="Y571" t="s">
        <v>36</v>
      </c>
      <c r="Z571">
        <v>27809.845343180001</v>
      </c>
      <c r="AA571" t="s">
        <v>953</v>
      </c>
      <c r="AB571">
        <v>35</v>
      </c>
      <c r="AC571">
        <v>21</v>
      </c>
      <c r="AD571" t="s">
        <v>64</v>
      </c>
      <c r="AE571" t="s">
        <v>75</v>
      </c>
      <c r="AF571" t="e">
        <v>#N/A</v>
      </c>
      <c r="AG571" s="8">
        <v>252</v>
      </c>
      <c r="AH571">
        <v>3</v>
      </c>
      <c r="AI571">
        <v>6</v>
      </c>
      <c r="AJ571">
        <v>0</v>
      </c>
      <c r="AK571">
        <v>1.1904761904761904E-2</v>
      </c>
      <c r="AL571">
        <v>0.1889822365046136</v>
      </c>
      <c r="AM571">
        <v>3</v>
      </c>
      <c r="AN571">
        <v>0</v>
      </c>
      <c r="AO571">
        <v>0.15</v>
      </c>
      <c r="AP571">
        <v>0.17647058823529413</v>
      </c>
      <c r="AQ571">
        <v>0.17647058823529413</v>
      </c>
      <c r="AR571">
        <v>0.17647058823529413</v>
      </c>
      <c r="AS571">
        <v>0.58823529411764708</v>
      </c>
      <c r="AT571">
        <v>5.8823529411764705E-2</v>
      </c>
      <c r="AU571">
        <v>38734.733228839999</v>
      </c>
      <c r="AV571">
        <v>5</v>
      </c>
      <c r="AW571">
        <f t="shared" si="52"/>
        <v>0</v>
      </c>
      <c r="AX571">
        <v>21</v>
      </c>
      <c r="AY571">
        <f t="shared" si="53"/>
        <v>1</v>
      </c>
      <c r="AZ571" t="e">
        <v>#N/A</v>
      </c>
      <c r="BA571">
        <v>7</v>
      </c>
      <c r="BB571">
        <v>2019</v>
      </c>
      <c r="BC571">
        <v>7</v>
      </c>
      <c r="BD571">
        <v>2019</v>
      </c>
      <c r="BE571">
        <v>1</v>
      </c>
      <c r="BF571">
        <v>2019</v>
      </c>
    </row>
    <row r="572" spans="1:58" x14ac:dyDescent="0.2">
      <c r="A572" s="7">
        <v>9</v>
      </c>
      <c r="B572" s="7">
        <v>10</v>
      </c>
      <c r="C572" s="7">
        <v>0</v>
      </c>
      <c r="D572" s="7">
        <v>0</v>
      </c>
      <c r="E572" s="7">
        <f t="shared" si="48"/>
        <v>19</v>
      </c>
      <c r="F572" s="11" t="s">
        <v>39</v>
      </c>
      <c r="G572">
        <v>9</v>
      </c>
      <c r="H572">
        <v>10</v>
      </c>
      <c r="I572">
        <v>0</v>
      </c>
      <c r="J572">
        <v>0</v>
      </c>
      <c r="K572">
        <f t="shared" si="49"/>
        <v>19</v>
      </c>
      <c r="L572" t="s">
        <v>39</v>
      </c>
      <c r="M572">
        <v>30500.04996448</v>
      </c>
      <c r="N572" s="7">
        <v>10</v>
      </c>
      <c r="O572" s="7">
        <v>18</v>
      </c>
      <c r="P572" s="7">
        <v>0</v>
      </c>
      <c r="Q572" s="7">
        <v>5</v>
      </c>
      <c r="R572" s="7">
        <f t="shared" si="50"/>
        <v>33</v>
      </c>
      <c r="S572" t="s">
        <v>39</v>
      </c>
      <c r="T572" s="7">
        <v>20</v>
      </c>
      <c r="U572" s="7">
        <v>33</v>
      </c>
      <c r="V572" s="7">
        <v>9</v>
      </c>
      <c r="W572" s="7">
        <v>7</v>
      </c>
      <c r="X572" s="7">
        <f t="shared" si="51"/>
        <v>69</v>
      </c>
      <c r="Y572" t="s">
        <v>36</v>
      </c>
      <c r="Z572">
        <v>172586.71887176999</v>
      </c>
      <c r="AA572" t="s">
        <v>954</v>
      </c>
      <c r="AB572">
        <v>52</v>
      </c>
      <c r="AC572">
        <v>334</v>
      </c>
      <c r="AD572" t="s">
        <v>258</v>
      </c>
      <c r="AE572" t="s">
        <v>75</v>
      </c>
      <c r="AF572" t="e">
        <v>#N/A</v>
      </c>
      <c r="AG572" s="8">
        <v>6</v>
      </c>
      <c r="AH572">
        <v>36</v>
      </c>
      <c r="AI572">
        <v>50</v>
      </c>
      <c r="AJ572">
        <v>0</v>
      </c>
      <c r="AK572">
        <v>6</v>
      </c>
      <c r="AL572">
        <v>14.696938456699069</v>
      </c>
      <c r="AM572">
        <v>14</v>
      </c>
      <c r="AN572">
        <v>0</v>
      </c>
      <c r="AO572">
        <v>1.0909090909090908</v>
      </c>
      <c r="AP572">
        <v>1.8947368421052631</v>
      </c>
      <c r="AQ572">
        <v>0</v>
      </c>
      <c r="AR572">
        <v>0.47368421052631576</v>
      </c>
      <c r="AS572">
        <v>0.52631578947368418</v>
      </c>
      <c r="AT572">
        <v>0</v>
      </c>
      <c r="AU572">
        <v>203086.76883625</v>
      </c>
      <c r="AV572">
        <v>8</v>
      </c>
      <c r="AW572">
        <f t="shared" si="52"/>
        <v>0</v>
      </c>
      <c r="AX572">
        <v>334</v>
      </c>
      <c r="AY572">
        <f t="shared" si="53"/>
        <v>1</v>
      </c>
      <c r="AZ572" t="e">
        <v>#N/A</v>
      </c>
      <c r="BA572">
        <v>4</v>
      </c>
      <c r="BB572">
        <v>2019</v>
      </c>
      <c r="BC572">
        <v>4</v>
      </c>
      <c r="BD572">
        <v>2019</v>
      </c>
      <c r="BE572">
        <v>1</v>
      </c>
      <c r="BF572">
        <v>2019</v>
      </c>
    </row>
    <row r="573" spans="1:58" x14ac:dyDescent="0.2">
      <c r="A573" s="7">
        <v>0</v>
      </c>
      <c r="B573" s="7">
        <v>2</v>
      </c>
      <c r="C573" s="7">
        <v>0</v>
      </c>
      <c r="D573" s="7">
        <v>0</v>
      </c>
      <c r="E573" s="7">
        <f t="shared" si="48"/>
        <v>2</v>
      </c>
      <c r="F573" s="11" t="s">
        <v>55</v>
      </c>
      <c r="G573">
        <v>0</v>
      </c>
      <c r="H573">
        <v>2</v>
      </c>
      <c r="I573">
        <v>0</v>
      </c>
      <c r="J573">
        <v>0</v>
      </c>
      <c r="K573">
        <f t="shared" si="49"/>
        <v>2</v>
      </c>
      <c r="L573" t="s">
        <v>65</v>
      </c>
      <c r="M573">
        <v>138469.36012597999</v>
      </c>
      <c r="N573" s="7">
        <v>0</v>
      </c>
      <c r="O573" s="7">
        <v>0</v>
      </c>
      <c r="P573" s="7">
        <v>0</v>
      </c>
      <c r="Q573" s="7">
        <v>0</v>
      </c>
      <c r="R573" s="7">
        <f t="shared" si="50"/>
        <v>0</v>
      </c>
      <c r="S573" t="e">
        <v>#N/A</v>
      </c>
      <c r="T573" s="7">
        <v>0</v>
      </c>
      <c r="U573" s="7">
        <v>0</v>
      </c>
      <c r="V573" s="7">
        <v>0</v>
      </c>
      <c r="W573" s="7">
        <v>0</v>
      </c>
      <c r="X573" s="7">
        <f t="shared" si="51"/>
        <v>0</v>
      </c>
      <c r="Y573" t="e">
        <v>#N/A</v>
      </c>
      <c r="AA573" t="s">
        <v>955</v>
      </c>
      <c r="AB573">
        <v>82</v>
      </c>
      <c r="AC573">
        <v>1823</v>
      </c>
      <c r="AD573" t="s">
        <v>254</v>
      </c>
      <c r="AE573" t="s">
        <v>41</v>
      </c>
      <c r="AF573">
        <v>112</v>
      </c>
      <c r="AG573" s="8"/>
      <c r="AH573">
        <v>0</v>
      </c>
      <c r="AI573">
        <v>-2</v>
      </c>
      <c r="AJ573">
        <v>0</v>
      </c>
      <c r="AK573" t="e">
        <v>#N/A</v>
      </c>
      <c r="AL573" t="e">
        <v>#N/A</v>
      </c>
      <c r="AM573">
        <v>-2</v>
      </c>
      <c r="AN573">
        <v>1</v>
      </c>
      <c r="AO573" t="e">
        <v>#N/A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138469.36012597999</v>
      </c>
      <c r="AV573">
        <v>14</v>
      </c>
      <c r="AW573">
        <f t="shared" si="52"/>
        <v>1</v>
      </c>
      <c r="AX573">
        <v>1823</v>
      </c>
      <c r="AY573">
        <f t="shared" si="53"/>
        <v>1</v>
      </c>
      <c r="AZ573">
        <v>16.276785714285715</v>
      </c>
      <c r="BA573">
        <v>1</v>
      </c>
      <c r="BB573">
        <v>2019</v>
      </c>
      <c r="BC573">
        <v>4</v>
      </c>
      <c r="BD573">
        <v>2019</v>
      </c>
      <c r="BE573" t="e">
        <v>#N/A</v>
      </c>
      <c r="BF573" t="e">
        <v>#N/A</v>
      </c>
    </row>
    <row r="574" spans="1:58" x14ac:dyDescent="0.2">
      <c r="A574" s="7">
        <v>8</v>
      </c>
      <c r="B574" s="7">
        <v>15</v>
      </c>
      <c r="C574" s="7">
        <v>0</v>
      </c>
      <c r="D574" s="7">
        <v>0</v>
      </c>
      <c r="E574" s="7">
        <f t="shared" si="48"/>
        <v>23</v>
      </c>
      <c r="F574" s="11" t="s">
        <v>36</v>
      </c>
      <c r="G574">
        <v>8</v>
      </c>
      <c r="H574">
        <v>15</v>
      </c>
      <c r="I574">
        <v>0</v>
      </c>
      <c r="J574">
        <v>0</v>
      </c>
      <c r="K574">
        <f t="shared" si="49"/>
        <v>23</v>
      </c>
      <c r="L574" t="s">
        <v>36</v>
      </c>
      <c r="M574">
        <v>17267.868244540001</v>
      </c>
      <c r="N574" s="7">
        <v>8</v>
      </c>
      <c r="O574" s="7">
        <v>18</v>
      </c>
      <c r="P574" s="7">
        <v>1</v>
      </c>
      <c r="Q574" s="7">
        <v>6</v>
      </c>
      <c r="R574" s="7">
        <f t="shared" si="50"/>
        <v>33</v>
      </c>
      <c r="S574" t="s">
        <v>42</v>
      </c>
      <c r="T574" s="7">
        <v>12</v>
      </c>
      <c r="U574" s="7">
        <v>16</v>
      </c>
      <c r="V574" s="7">
        <v>3</v>
      </c>
      <c r="W574" s="7">
        <v>6</v>
      </c>
      <c r="X574" s="7">
        <f t="shared" si="51"/>
        <v>37</v>
      </c>
      <c r="Y574" t="s">
        <v>42</v>
      </c>
      <c r="Z574">
        <v>145502.49111815001</v>
      </c>
      <c r="AA574" t="s">
        <v>956</v>
      </c>
      <c r="AB574">
        <v>73</v>
      </c>
      <c r="AC574">
        <v>0</v>
      </c>
      <c r="AD574" t="s">
        <v>258</v>
      </c>
      <c r="AE574" t="s">
        <v>41</v>
      </c>
      <c r="AF574" t="e">
        <v>#N/A</v>
      </c>
      <c r="AG574" s="8">
        <v>186</v>
      </c>
      <c r="AH574">
        <v>4</v>
      </c>
      <c r="AI574">
        <v>14</v>
      </c>
      <c r="AJ574">
        <v>0</v>
      </c>
      <c r="AK574">
        <v>2.1505376344086023E-2</v>
      </c>
      <c r="AL574">
        <v>0.29329423004270661</v>
      </c>
      <c r="AM574">
        <v>10</v>
      </c>
      <c r="AN574">
        <v>0</v>
      </c>
      <c r="AO574">
        <v>0.12121212121212122</v>
      </c>
      <c r="AP574">
        <v>0.17391304347826086</v>
      </c>
      <c r="AQ574">
        <v>0</v>
      </c>
      <c r="AR574">
        <v>0.34782608695652173</v>
      </c>
      <c r="AS574">
        <v>0.65217391304347827</v>
      </c>
      <c r="AT574">
        <v>0</v>
      </c>
      <c r="AU574">
        <v>162770.35936269001</v>
      </c>
      <c r="AV574">
        <v>13</v>
      </c>
      <c r="AW574">
        <f t="shared" si="52"/>
        <v>1</v>
      </c>
      <c r="AX574">
        <v>0</v>
      </c>
      <c r="AY574">
        <f t="shared" si="53"/>
        <v>0</v>
      </c>
      <c r="AZ574" t="e">
        <v>#N/A</v>
      </c>
      <c r="BA574">
        <v>1</v>
      </c>
      <c r="BB574">
        <v>2019</v>
      </c>
      <c r="BC574">
        <v>1</v>
      </c>
      <c r="BD574">
        <v>2019</v>
      </c>
      <c r="BE574">
        <v>1</v>
      </c>
      <c r="BF574">
        <v>2019</v>
      </c>
    </row>
    <row r="575" spans="1:58" x14ac:dyDescent="0.2">
      <c r="A575" s="7">
        <v>13</v>
      </c>
      <c r="B575" s="7">
        <v>15</v>
      </c>
      <c r="C575" s="7">
        <v>2</v>
      </c>
      <c r="D575" s="7">
        <v>5</v>
      </c>
      <c r="E575" s="7">
        <f t="shared" si="48"/>
        <v>35</v>
      </c>
      <c r="F575" s="11" t="s">
        <v>36</v>
      </c>
      <c r="G575">
        <v>13</v>
      </c>
      <c r="H575">
        <v>15</v>
      </c>
      <c r="I575">
        <v>2</v>
      </c>
      <c r="J575">
        <v>5</v>
      </c>
      <c r="K575">
        <f t="shared" si="49"/>
        <v>35</v>
      </c>
      <c r="L575" t="s">
        <v>36</v>
      </c>
      <c r="M575">
        <v>11235.65793772</v>
      </c>
      <c r="N575" s="7">
        <v>13</v>
      </c>
      <c r="O575" s="7">
        <v>18</v>
      </c>
      <c r="P575" s="7">
        <v>3</v>
      </c>
      <c r="Q575" s="7">
        <v>5</v>
      </c>
      <c r="R575" s="7">
        <f t="shared" si="50"/>
        <v>39</v>
      </c>
      <c r="S575" t="s">
        <v>36</v>
      </c>
      <c r="T575" s="7">
        <v>20</v>
      </c>
      <c r="U575" s="7">
        <v>35</v>
      </c>
      <c r="V575" s="7">
        <v>9</v>
      </c>
      <c r="W575" s="7">
        <v>20</v>
      </c>
      <c r="X575" s="7">
        <f t="shared" si="51"/>
        <v>84</v>
      </c>
      <c r="Y575" t="e">
        <v>#N/A</v>
      </c>
      <c r="Z575">
        <v>81963.089636010001</v>
      </c>
      <c r="AA575" t="s">
        <v>957</v>
      </c>
      <c r="AB575">
        <v>68</v>
      </c>
      <c r="AC575">
        <v>0</v>
      </c>
      <c r="AD575" t="s">
        <v>284</v>
      </c>
      <c r="AE575" t="s">
        <v>75</v>
      </c>
      <c r="AF575" t="e">
        <v>#N/A</v>
      </c>
      <c r="AG575" s="8">
        <v>4</v>
      </c>
      <c r="AH575">
        <v>45</v>
      </c>
      <c r="AI575">
        <v>49</v>
      </c>
      <c r="AJ575">
        <v>0</v>
      </c>
      <c r="AK575">
        <v>11.25</v>
      </c>
      <c r="AL575">
        <v>22.5</v>
      </c>
      <c r="AM575">
        <v>4</v>
      </c>
      <c r="AN575">
        <v>0</v>
      </c>
      <c r="AO575">
        <v>1.1538461538461537</v>
      </c>
      <c r="AP575">
        <v>1.2857142857142858</v>
      </c>
      <c r="AQ575">
        <v>0.14285714285714285</v>
      </c>
      <c r="AR575">
        <v>0.37142857142857144</v>
      </c>
      <c r="AS575">
        <v>0.42857142857142855</v>
      </c>
      <c r="AT575">
        <v>5.7142857142857141E-2</v>
      </c>
      <c r="AU575">
        <v>93198.747573729997</v>
      </c>
      <c r="AV575">
        <v>6</v>
      </c>
      <c r="AW575">
        <f t="shared" si="52"/>
        <v>0</v>
      </c>
      <c r="AX575">
        <v>0</v>
      </c>
      <c r="AY575">
        <f t="shared" si="53"/>
        <v>0</v>
      </c>
      <c r="AZ575" t="e">
        <v>#N/A</v>
      </c>
      <c r="BA575">
        <v>7</v>
      </c>
      <c r="BB575">
        <v>2019</v>
      </c>
      <c r="BC575">
        <v>7</v>
      </c>
      <c r="BD575">
        <v>2019</v>
      </c>
      <c r="BE575">
        <v>1</v>
      </c>
      <c r="BF575">
        <v>2019</v>
      </c>
    </row>
    <row r="576" spans="1:58" x14ac:dyDescent="0.2">
      <c r="A576" s="7">
        <v>16</v>
      </c>
      <c r="B576" s="7">
        <v>32</v>
      </c>
      <c r="C576" s="7">
        <v>4</v>
      </c>
      <c r="D576" s="7">
        <v>5</v>
      </c>
      <c r="E576" s="7">
        <f t="shared" si="48"/>
        <v>57</v>
      </c>
      <c r="F576" s="11" t="s">
        <v>36</v>
      </c>
      <c r="G576">
        <v>15</v>
      </c>
      <c r="H576">
        <v>32</v>
      </c>
      <c r="I576">
        <v>2</v>
      </c>
      <c r="J576">
        <v>4</v>
      </c>
      <c r="K576">
        <f t="shared" si="49"/>
        <v>53</v>
      </c>
      <c r="L576" t="s">
        <v>36</v>
      </c>
      <c r="M576">
        <v>15117.787499350001</v>
      </c>
      <c r="N576" s="7">
        <v>20</v>
      </c>
      <c r="O576" s="7">
        <v>40</v>
      </c>
      <c r="P576" s="7">
        <v>9</v>
      </c>
      <c r="Q576" s="7">
        <v>7</v>
      </c>
      <c r="R576" s="7">
        <f t="shared" si="50"/>
        <v>76</v>
      </c>
      <c r="S576" t="s">
        <v>39</v>
      </c>
      <c r="T576" s="7">
        <v>19</v>
      </c>
      <c r="U576" s="7">
        <v>40</v>
      </c>
      <c r="V576" s="7">
        <v>9</v>
      </c>
      <c r="W576" s="7">
        <v>9</v>
      </c>
      <c r="X576" s="7">
        <f t="shared" si="51"/>
        <v>77</v>
      </c>
      <c r="Y576" t="s">
        <v>39</v>
      </c>
      <c r="Z576">
        <v>61847.467286600011</v>
      </c>
      <c r="AA576" t="s">
        <v>958</v>
      </c>
      <c r="AB576">
        <v>53</v>
      </c>
      <c r="AC576">
        <v>0</v>
      </c>
      <c r="AD576" t="s">
        <v>131</v>
      </c>
      <c r="AE576" t="s">
        <v>75</v>
      </c>
      <c r="AF576">
        <v>130</v>
      </c>
      <c r="AG576" s="8">
        <v>2</v>
      </c>
      <c r="AH576">
        <v>1</v>
      </c>
      <c r="AI576">
        <v>20</v>
      </c>
      <c r="AJ576">
        <v>-4</v>
      </c>
      <c r="AK576">
        <v>0.5</v>
      </c>
      <c r="AL576">
        <v>0.70710678118654746</v>
      </c>
      <c r="AM576">
        <v>23</v>
      </c>
      <c r="AN576">
        <v>0</v>
      </c>
      <c r="AO576">
        <v>1.3157894736842105E-2</v>
      </c>
      <c r="AP576">
        <v>1.7543859649122806E-2</v>
      </c>
      <c r="AQ576">
        <v>8.771929824561403E-2</v>
      </c>
      <c r="AR576">
        <v>0.2807017543859649</v>
      </c>
      <c r="AS576">
        <v>0.56140350877192979</v>
      </c>
      <c r="AT576">
        <v>7.0175438596491224E-2</v>
      </c>
      <c r="AU576">
        <v>76965.254785950005</v>
      </c>
      <c r="AV576">
        <v>9</v>
      </c>
      <c r="AW576">
        <f t="shared" si="52"/>
        <v>0</v>
      </c>
      <c r="AX576">
        <v>0</v>
      </c>
      <c r="AY576">
        <f t="shared" si="53"/>
        <v>0</v>
      </c>
      <c r="AZ576">
        <v>0</v>
      </c>
      <c r="BA576">
        <v>1</v>
      </c>
      <c r="BB576">
        <v>2019</v>
      </c>
      <c r="BC576">
        <v>5</v>
      </c>
      <c r="BD576">
        <v>2019</v>
      </c>
      <c r="BE576">
        <v>1</v>
      </c>
      <c r="BF576">
        <v>2019</v>
      </c>
    </row>
    <row r="577" spans="1:58" x14ac:dyDescent="0.2">
      <c r="A577" s="7">
        <v>1</v>
      </c>
      <c r="B577" s="7">
        <v>0</v>
      </c>
      <c r="C577" s="7">
        <v>0</v>
      </c>
      <c r="D577" s="7">
        <v>0</v>
      </c>
      <c r="E577" s="7">
        <f t="shared" si="48"/>
        <v>1</v>
      </c>
      <c r="F577" s="11" t="s">
        <v>59</v>
      </c>
      <c r="G577">
        <v>1</v>
      </c>
      <c r="H577">
        <v>0</v>
      </c>
      <c r="I577">
        <v>0</v>
      </c>
      <c r="J577">
        <v>0</v>
      </c>
      <c r="K577">
        <f t="shared" si="49"/>
        <v>1</v>
      </c>
      <c r="L577" t="s">
        <v>59</v>
      </c>
      <c r="M577">
        <v>71118.14059837001</v>
      </c>
      <c r="N577" s="7">
        <v>0</v>
      </c>
      <c r="O577" s="7">
        <v>0</v>
      </c>
      <c r="P577" s="7">
        <v>0</v>
      </c>
      <c r="Q577" s="7">
        <v>0</v>
      </c>
      <c r="R577" s="7">
        <f t="shared" si="50"/>
        <v>0</v>
      </c>
      <c r="S577" t="s">
        <v>51</v>
      </c>
      <c r="T577" s="7">
        <v>7</v>
      </c>
      <c r="U577" s="7">
        <v>25</v>
      </c>
      <c r="V577" s="7">
        <v>4</v>
      </c>
      <c r="W577" s="7">
        <v>3</v>
      </c>
      <c r="X577" s="7">
        <f t="shared" si="51"/>
        <v>39</v>
      </c>
      <c r="Y577" t="e">
        <v>#N/A</v>
      </c>
      <c r="Z577">
        <v>240532.93050036</v>
      </c>
      <c r="AA577" t="s">
        <v>959</v>
      </c>
      <c r="AB577">
        <v>77</v>
      </c>
      <c r="AC577">
        <v>912</v>
      </c>
      <c r="AD577" t="s">
        <v>46</v>
      </c>
      <c r="AE577" t="s">
        <v>41</v>
      </c>
      <c r="AF577" t="e">
        <v>#N/A</v>
      </c>
      <c r="AG577" s="8">
        <v>235</v>
      </c>
      <c r="AH577">
        <v>39</v>
      </c>
      <c r="AI577">
        <v>38</v>
      </c>
      <c r="AJ577">
        <v>0</v>
      </c>
      <c r="AK577">
        <v>0.16595744680851063</v>
      </c>
      <c r="AL577">
        <v>2.5440794849084245</v>
      </c>
      <c r="AM577">
        <v>-1</v>
      </c>
      <c r="AN577">
        <v>1</v>
      </c>
      <c r="AO577" t="e">
        <v>#N/A</v>
      </c>
      <c r="AP577">
        <v>39</v>
      </c>
      <c r="AQ577">
        <v>0</v>
      </c>
      <c r="AR577">
        <v>1</v>
      </c>
      <c r="AS577">
        <v>0</v>
      </c>
      <c r="AT577">
        <v>0</v>
      </c>
      <c r="AU577">
        <v>311651.07109873003</v>
      </c>
      <c r="AV577">
        <v>16</v>
      </c>
      <c r="AW577">
        <f t="shared" si="52"/>
        <v>1</v>
      </c>
      <c r="AX577">
        <v>912</v>
      </c>
      <c r="AY577">
        <f t="shared" si="53"/>
        <v>1</v>
      </c>
      <c r="AZ577" t="e">
        <v>#N/A</v>
      </c>
      <c r="BA577">
        <v>5</v>
      </c>
      <c r="BB577">
        <v>2019</v>
      </c>
      <c r="BC577">
        <v>5</v>
      </c>
      <c r="BD577">
        <v>2019</v>
      </c>
      <c r="BE577">
        <v>6</v>
      </c>
      <c r="BF577">
        <v>2019</v>
      </c>
    </row>
    <row r="578" spans="1:58" x14ac:dyDescent="0.2">
      <c r="A578" s="7">
        <v>20</v>
      </c>
      <c r="B578" s="7">
        <v>39</v>
      </c>
      <c r="C578" s="7">
        <v>9</v>
      </c>
      <c r="D578" s="7">
        <v>5</v>
      </c>
      <c r="E578" s="7">
        <f t="shared" ref="E578:E641" si="54">SUM(A578,B578,C578,D578)</f>
        <v>73</v>
      </c>
      <c r="F578" s="11" t="s">
        <v>36</v>
      </c>
      <c r="G578">
        <v>20</v>
      </c>
      <c r="H578">
        <v>39</v>
      </c>
      <c r="I578">
        <v>8</v>
      </c>
      <c r="J578">
        <v>4</v>
      </c>
      <c r="K578">
        <f t="shared" ref="K578:K641" si="55">SUM(G578,H578,I578,J578)</f>
        <v>71</v>
      </c>
      <c r="L578" t="s">
        <v>36</v>
      </c>
      <c r="M578">
        <v>9757.2771676799966</v>
      </c>
      <c r="N578" s="7">
        <v>20</v>
      </c>
      <c r="O578" s="7">
        <v>39</v>
      </c>
      <c r="P578" s="7">
        <v>9</v>
      </c>
      <c r="Q578" s="7">
        <v>7</v>
      </c>
      <c r="R578" s="7">
        <f t="shared" ref="R578:R641" si="56">SUM(N578,O578,P578,Q578)</f>
        <v>75</v>
      </c>
      <c r="S578" t="s">
        <v>36</v>
      </c>
      <c r="T578" s="7">
        <v>14</v>
      </c>
      <c r="U578" s="7">
        <v>39</v>
      </c>
      <c r="V578" s="7">
        <v>9</v>
      </c>
      <c r="W578" s="7">
        <v>9</v>
      </c>
      <c r="X578" s="7">
        <f t="shared" ref="X578:X641" si="57">SUM(T578,U578,V578,W578)</f>
        <v>71</v>
      </c>
      <c r="Y578" t="s">
        <v>36</v>
      </c>
      <c r="Z578">
        <v>32671.477234629991</v>
      </c>
      <c r="AA578" t="s">
        <v>960</v>
      </c>
      <c r="AB578">
        <v>45</v>
      </c>
      <c r="AC578">
        <v>0</v>
      </c>
      <c r="AD578" t="s">
        <v>131</v>
      </c>
      <c r="AE578" t="s">
        <v>41</v>
      </c>
      <c r="AF578">
        <v>135</v>
      </c>
      <c r="AG578" s="8">
        <v>1</v>
      </c>
      <c r="AH578">
        <v>-4</v>
      </c>
      <c r="AI578">
        <v>-2</v>
      </c>
      <c r="AJ578">
        <v>-2</v>
      </c>
      <c r="AK578">
        <v>-4</v>
      </c>
      <c r="AL578">
        <v>-4</v>
      </c>
      <c r="AM578">
        <v>4</v>
      </c>
      <c r="AN578">
        <v>0</v>
      </c>
      <c r="AO578">
        <v>-5.3333333333333337E-2</v>
      </c>
      <c r="AP578">
        <v>-5.4794520547945202E-2</v>
      </c>
      <c r="AQ578">
        <v>6.8493150684931503E-2</v>
      </c>
      <c r="AR578">
        <v>0.27397260273972601</v>
      </c>
      <c r="AS578">
        <v>0.53424657534246578</v>
      </c>
      <c r="AT578">
        <v>0.12328767123287671</v>
      </c>
      <c r="AU578">
        <v>42428.754402309991</v>
      </c>
      <c r="AV578">
        <v>11</v>
      </c>
      <c r="AW578">
        <f t="shared" si="52"/>
        <v>1</v>
      </c>
      <c r="AX578">
        <v>0</v>
      </c>
      <c r="AY578">
        <f t="shared" si="53"/>
        <v>0</v>
      </c>
      <c r="AZ578">
        <v>0</v>
      </c>
      <c r="BA578">
        <v>1</v>
      </c>
      <c r="BB578">
        <v>2019</v>
      </c>
      <c r="BC578">
        <v>5</v>
      </c>
      <c r="BD578">
        <v>2019</v>
      </c>
      <c r="BE578">
        <v>1</v>
      </c>
      <c r="BF578">
        <v>2019</v>
      </c>
    </row>
    <row r="579" spans="1:58" x14ac:dyDescent="0.2">
      <c r="A579" s="7">
        <v>17</v>
      </c>
      <c r="B579" s="7">
        <v>33</v>
      </c>
      <c r="C579" s="7">
        <v>10</v>
      </c>
      <c r="D579" s="7">
        <v>26</v>
      </c>
      <c r="E579" s="7">
        <f t="shared" si="54"/>
        <v>86</v>
      </c>
      <c r="F579" s="11" t="s">
        <v>36</v>
      </c>
      <c r="G579">
        <v>5</v>
      </c>
      <c r="H579">
        <v>10</v>
      </c>
      <c r="I579">
        <v>4</v>
      </c>
      <c r="J579">
        <v>21</v>
      </c>
      <c r="K579">
        <f t="shared" si="55"/>
        <v>40</v>
      </c>
      <c r="L579" t="s">
        <v>36</v>
      </c>
      <c r="M579">
        <v>46058.205459909987</v>
      </c>
      <c r="N579" s="7">
        <v>17</v>
      </c>
      <c r="O579" s="7">
        <v>33</v>
      </c>
      <c r="P579" s="7">
        <v>10</v>
      </c>
      <c r="Q579" s="7">
        <v>26</v>
      </c>
      <c r="R579" s="7">
        <f t="shared" si="56"/>
        <v>86</v>
      </c>
      <c r="S579" t="s">
        <v>36</v>
      </c>
      <c r="T579" s="7">
        <v>17</v>
      </c>
      <c r="U579" s="7">
        <v>35</v>
      </c>
      <c r="V579" s="7">
        <v>10</v>
      </c>
      <c r="W579" s="7">
        <v>26</v>
      </c>
      <c r="X579" s="7">
        <f t="shared" si="57"/>
        <v>88</v>
      </c>
      <c r="Y579" t="s">
        <v>36</v>
      </c>
      <c r="Z579">
        <v>4306.8072065400002</v>
      </c>
      <c r="AA579" t="s">
        <v>961</v>
      </c>
      <c r="AB579">
        <v>45</v>
      </c>
      <c r="AC579">
        <v>19</v>
      </c>
      <c r="AD579" t="s">
        <v>158</v>
      </c>
      <c r="AE579" t="s">
        <v>75</v>
      </c>
      <c r="AF579">
        <v>250</v>
      </c>
      <c r="AG579" s="8">
        <v>181</v>
      </c>
      <c r="AH579">
        <v>2</v>
      </c>
      <c r="AI579">
        <v>2</v>
      </c>
      <c r="AJ579">
        <v>-46</v>
      </c>
      <c r="AK579">
        <v>1.1049723756906077E-2</v>
      </c>
      <c r="AL579">
        <v>0.14865882924943327</v>
      </c>
      <c r="AM579">
        <v>46</v>
      </c>
      <c r="AN579">
        <v>0</v>
      </c>
      <c r="AO579">
        <v>2.3255813953488372E-2</v>
      </c>
      <c r="AP579">
        <v>2.3255813953488372E-2</v>
      </c>
      <c r="AQ579">
        <v>0.30232558139534882</v>
      </c>
      <c r="AR579">
        <v>0.19767441860465115</v>
      </c>
      <c r="AS579">
        <v>0.38372093023255816</v>
      </c>
      <c r="AT579">
        <v>0.11627906976744186</v>
      </c>
      <c r="AU579">
        <v>50365.012666449984</v>
      </c>
      <c r="AV579">
        <v>10</v>
      </c>
      <c r="AW579">
        <f t="shared" ref="AW579:AW642" si="58">IF(AV579="n/a","n/a",IF(AV579&gt;=10,1,0))</f>
        <v>1</v>
      </c>
      <c r="AX579">
        <v>19</v>
      </c>
      <c r="AY579">
        <f t="shared" ref="AY579:AY642" si="59">IF(
  ISBLANK(AX579),
  NA(),
  IF(AX579&gt;0, 1, 0)
)</f>
        <v>1</v>
      </c>
      <c r="AZ579">
        <v>7.5999999999999998E-2</v>
      </c>
      <c r="BA579">
        <v>1</v>
      </c>
      <c r="BB579">
        <v>2019</v>
      </c>
      <c r="BC579">
        <v>9</v>
      </c>
      <c r="BD579">
        <v>2019</v>
      </c>
      <c r="BE579">
        <v>1</v>
      </c>
      <c r="BF579">
        <v>2019</v>
      </c>
    </row>
    <row r="580" spans="1:58" x14ac:dyDescent="0.2">
      <c r="A580" s="7">
        <v>20</v>
      </c>
      <c r="B580" s="7">
        <v>20</v>
      </c>
      <c r="C580" s="7">
        <v>9</v>
      </c>
      <c r="D580" s="7">
        <v>21</v>
      </c>
      <c r="E580" s="7">
        <f t="shared" si="54"/>
        <v>70</v>
      </c>
      <c r="F580" s="11" t="s">
        <v>36</v>
      </c>
      <c r="G580">
        <v>20</v>
      </c>
      <c r="H580">
        <v>20</v>
      </c>
      <c r="I580">
        <v>9</v>
      </c>
      <c r="J580">
        <v>21</v>
      </c>
      <c r="K580">
        <f t="shared" si="55"/>
        <v>70</v>
      </c>
      <c r="L580" t="s">
        <v>36</v>
      </c>
      <c r="M580">
        <v>8111.4350274700009</v>
      </c>
      <c r="N580" s="7">
        <v>20</v>
      </c>
      <c r="O580" s="7">
        <v>20</v>
      </c>
      <c r="P580" s="7">
        <v>9</v>
      </c>
      <c r="Q580" s="7">
        <v>21</v>
      </c>
      <c r="R580" s="7">
        <f t="shared" si="56"/>
        <v>70</v>
      </c>
      <c r="S580" t="s">
        <v>36</v>
      </c>
      <c r="T580" s="7">
        <v>17</v>
      </c>
      <c r="U580" s="7">
        <v>25</v>
      </c>
      <c r="V580" s="7">
        <v>9</v>
      </c>
      <c r="W580" s="7">
        <v>26</v>
      </c>
      <c r="X580" s="7">
        <f t="shared" si="57"/>
        <v>77</v>
      </c>
      <c r="Y580" t="s">
        <v>39</v>
      </c>
      <c r="Z580">
        <v>73657.451577660002</v>
      </c>
      <c r="AA580" t="s">
        <v>962</v>
      </c>
      <c r="AB580">
        <v>18</v>
      </c>
      <c r="AC580">
        <v>0</v>
      </c>
      <c r="AD580" t="s">
        <v>285</v>
      </c>
      <c r="AE580" t="s">
        <v>41</v>
      </c>
      <c r="AF580" t="e">
        <v>#N/A</v>
      </c>
      <c r="AG580" s="8">
        <v>184</v>
      </c>
      <c r="AH580">
        <v>7</v>
      </c>
      <c r="AI580">
        <v>7</v>
      </c>
      <c r="AJ580">
        <v>0</v>
      </c>
      <c r="AK580">
        <v>3.8043478260869568E-2</v>
      </c>
      <c r="AL580">
        <v>0.51604684654213995</v>
      </c>
      <c r="AM580">
        <v>0</v>
      </c>
      <c r="AN580">
        <v>0</v>
      </c>
      <c r="AO580">
        <v>0.1</v>
      </c>
      <c r="AP580">
        <v>0.1</v>
      </c>
      <c r="AQ580">
        <v>0.3</v>
      </c>
      <c r="AR580">
        <v>0.2857142857142857</v>
      </c>
      <c r="AS580">
        <v>0.2857142857142857</v>
      </c>
      <c r="AT580">
        <v>0.12857142857142856</v>
      </c>
      <c r="AU580">
        <v>81768.886605129999</v>
      </c>
      <c r="AV580">
        <v>5</v>
      </c>
      <c r="AW580">
        <f t="shared" si="58"/>
        <v>0</v>
      </c>
      <c r="AX580">
        <v>0</v>
      </c>
      <c r="AY580">
        <f t="shared" si="59"/>
        <v>0</v>
      </c>
      <c r="AZ580" t="e">
        <v>#N/A</v>
      </c>
      <c r="BA580">
        <v>5</v>
      </c>
      <c r="BB580">
        <v>2019</v>
      </c>
      <c r="BC580">
        <v>5</v>
      </c>
      <c r="BD580">
        <v>2019</v>
      </c>
      <c r="BE580">
        <v>1</v>
      </c>
      <c r="BF580">
        <v>2019</v>
      </c>
    </row>
    <row r="581" spans="1:58" x14ac:dyDescent="0.2">
      <c r="A581" s="7">
        <v>3</v>
      </c>
      <c r="B581" s="7">
        <v>6</v>
      </c>
      <c r="C581" s="7">
        <v>0</v>
      </c>
      <c r="D581" s="7">
        <v>0</v>
      </c>
      <c r="E581" s="7">
        <f t="shared" si="54"/>
        <v>9</v>
      </c>
      <c r="F581" s="11" t="s">
        <v>51</v>
      </c>
      <c r="G581">
        <v>1</v>
      </c>
      <c r="H581">
        <v>6</v>
      </c>
      <c r="I581">
        <v>0</v>
      </c>
      <c r="J581">
        <v>0</v>
      </c>
      <c r="K581">
        <f t="shared" si="55"/>
        <v>7</v>
      </c>
      <c r="L581" t="s">
        <v>50</v>
      </c>
      <c r="M581">
        <v>30152.364432279999</v>
      </c>
      <c r="N581" s="7">
        <v>6</v>
      </c>
      <c r="O581" s="7">
        <v>10</v>
      </c>
      <c r="P581" s="7">
        <v>0</v>
      </c>
      <c r="Q581" s="7">
        <v>0</v>
      </c>
      <c r="R581" s="7">
        <f t="shared" si="56"/>
        <v>16</v>
      </c>
      <c r="S581" t="s">
        <v>60</v>
      </c>
      <c r="T581" s="7">
        <v>4</v>
      </c>
      <c r="U581" s="7">
        <v>6</v>
      </c>
      <c r="V581" s="7">
        <v>0</v>
      </c>
      <c r="W581" s="7">
        <v>0</v>
      </c>
      <c r="X581" s="7">
        <f t="shared" si="57"/>
        <v>10</v>
      </c>
      <c r="Y581" t="s">
        <v>55</v>
      </c>
      <c r="Z581">
        <v>53689.011707370002</v>
      </c>
      <c r="AA581" t="s">
        <v>963</v>
      </c>
      <c r="AB581">
        <v>69</v>
      </c>
      <c r="AC581">
        <v>0</v>
      </c>
      <c r="AD581" t="s">
        <v>265</v>
      </c>
      <c r="AE581" t="s">
        <v>41</v>
      </c>
      <c r="AF581">
        <v>161</v>
      </c>
      <c r="AG581" s="8">
        <v>274</v>
      </c>
      <c r="AH581">
        <v>-6</v>
      </c>
      <c r="AI581">
        <v>1</v>
      </c>
      <c r="AJ581">
        <v>-2</v>
      </c>
      <c r="AK581">
        <v>-2.1897810218978103E-2</v>
      </c>
      <c r="AL581">
        <v>-0.3624732559981062</v>
      </c>
      <c r="AM581">
        <v>9</v>
      </c>
      <c r="AN581">
        <v>0</v>
      </c>
      <c r="AO581">
        <v>-0.375</v>
      </c>
      <c r="AP581">
        <v>-0.66666666666666663</v>
      </c>
      <c r="AQ581">
        <v>0</v>
      </c>
      <c r="AR581">
        <v>0.33333333333333331</v>
      </c>
      <c r="AS581">
        <v>0.66666666666666663</v>
      </c>
      <c r="AT581">
        <v>0</v>
      </c>
      <c r="AU581">
        <v>83841.376139650005</v>
      </c>
      <c r="AV581">
        <v>31</v>
      </c>
      <c r="AW581">
        <f t="shared" si="58"/>
        <v>1</v>
      </c>
      <c r="AX581">
        <v>0</v>
      </c>
      <c r="AY581">
        <f t="shared" si="59"/>
        <v>0</v>
      </c>
      <c r="AZ581">
        <v>0</v>
      </c>
      <c r="BA581">
        <v>1</v>
      </c>
      <c r="BB581">
        <v>2019</v>
      </c>
      <c r="BC581">
        <v>6</v>
      </c>
      <c r="BD581">
        <v>2019</v>
      </c>
      <c r="BE581">
        <v>1</v>
      </c>
      <c r="BF581">
        <v>2019</v>
      </c>
    </row>
    <row r="582" spans="1:58" x14ac:dyDescent="0.2">
      <c r="A582" s="7">
        <v>3</v>
      </c>
      <c r="B582" s="7">
        <v>15</v>
      </c>
      <c r="C582" s="7">
        <v>0</v>
      </c>
      <c r="D582" s="7">
        <v>3</v>
      </c>
      <c r="E582" s="7">
        <f t="shared" si="54"/>
        <v>21</v>
      </c>
      <c r="F582" s="11" t="e">
        <v>#N/A</v>
      </c>
      <c r="G582">
        <v>7</v>
      </c>
      <c r="H582">
        <v>15</v>
      </c>
      <c r="I582">
        <v>6</v>
      </c>
      <c r="J582">
        <v>6</v>
      </c>
      <c r="K582">
        <f t="shared" si="55"/>
        <v>34</v>
      </c>
      <c r="L582" t="e">
        <v>#N/A</v>
      </c>
      <c r="M582">
        <v>19697.659360000001</v>
      </c>
      <c r="N582" s="7">
        <v>5</v>
      </c>
      <c r="O582" s="7">
        <v>15</v>
      </c>
      <c r="P582" s="7">
        <v>4</v>
      </c>
      <c r="Q582" s="7">
        <v>6</v>
      </c>
      <c r="R582" s="7">
        <f t="shared" si="56"/>
        <v>30</v>
      </c>
      <c r="S582" t="e">
        <v>#N/A</v>
      </c>
      <c r="T582" s="7">
        <v>6</v>
      </c>
      <c r="U582" s="7">
        <v>15</v>
      </c>
      <c r="V582" s="7">
        <v>4</v>
      </c>
      <c r="W582" s="7">
        <v>6</v>
      </c>
      <c r="X582" s="7">
        <f t="shared" si="57"/>
        <v>31</v>
      </c>
      <c r="Y582" t="e">
        <v>#N/A</v>
      </c>
      <c r="Z582">
        <v>27193.815111039999</v>
      </c>
      <c r="AA582" t="s">
        <v>286</v>
      </c>
      <c r="AB582">
        <v>48</v>
      </c>
      <c r="AC582">
        <v>0</v>
      </c>
      <c r="AD582" t="s">
        <v>99</v>
      </c>
      <c r="AE582" t="s">
        <v>75</v>
      </c>
      <c r="AF582">
        <v>221</v>
      </c>
      <c r="AG582" s="8">
        <v>18</v>
      </c>
      <c r="AH582">
        <v>1</v>
      </c>
      <c r="AI582">
        <v>10</v>
      </c>
      <c r="AJ582">
        <v>13</v>
      </c>
      <c r="AK582">
        <v>5.5555555555555552E-2</v>
      </c>
      <c r="AL582">
        <v>0.23570226039551587</v>
      </c>
      <c r="AM582">
        <v>-4</v>
      </c>
      <c r="AN582">
        <v>1</v>
      </c>
      <c r="AO582">
        <v>3.3333333333333333E-2</v>
      </c>
      <c r="AP582">
        <v>4.7619047619047616E-2</v>
      </c>
      <c r="AQ582">
        <v>0.14285714285714285</v>
      </c>
      <c r="AR582">
        <v>0.14285714285714285</v>
      </c>
      <c r="AS582">
        <v>0.7142857142857143</v>
      </c>
      <c r="AT582">
        <v>0</v>
      </c>
      <c r="AU582">
        <v>46891.474471039997</v>
      </c>
      <c r="AV582">
        <v>5</v>
      </c>
      <c r="AW582">
        <f t="shared" si="58"/>
        <v>0</v>
      </c>
      <c r="AX582">
        <v>0</v>
      </c>
      <c r="AY582">
        <f t="shared" si="59"/>
        <v>0</v>
      </c>
      <c r="AZ582">
        <v>0</v>
      </c>
      <c r="BA582">
        <v>1</v>
      </c>
      <c r="BB582">
        <v>2020</v>
      </c>
      <c r="BC582">
        <v>8</v>
      </c>
      <c r="BD582">
        <v>2020</v>
      </c>
      <c r="BE582">
        <v>9</v>
      </c>
      <c r="BF582">
        <v>2020</v>
      </c>
    </row>
    <row r="583" spans="1:58" x14ac:dyDescent="0.2">
      <c r="A583" s="7">
        <v>3</v>
      </c>
      <c r="B583" s="7">
        <v>8</v>
      </c>
      <c r="C583" s="7">
        <v>0</v>
      </c>
      <c r="D583" s="7">
        <v>0</v>
      </c>
      <c r="E583" s="7">
        <f t="shared" si="54"/>
        <v>11</v>
      </c>
      <c r="F583" s="11" t="s">
        <v>42</v>
      </c>
      <c r="G583">
        <v>9</v>
      </c>
      <c r="H583">
        <v>11</v>
      </c>
      <c r="I583">
        <v>0</v>
      </c>
      <c r="J583">
        <v>5</v>
      </c>
      <c r="K583">
        <f t="shared" si="55"/>
        <v>25</v>
      </c>
      <c r="L583" t="s">
        <v>36</v>
      </c>
      <c r="M583">
        <v>82842.668194219994</v>
      </c>
      <c r="N583" s="7">
        <v>11</v>
      </c>
      <c r="O583" s="7">
        <v>27</v>
      </c>
      <c r="P583" s="7">
        <v>6</v>
      </c>
      <c r="Q583" s="7">
        <v>5</v>
      </c>
      <c r="R583" s="7">
        <f t="shared" si="56"/>
        <v>49</v>
      </c>
      <c r="S583" t="s">
        <v>39</v>
      </c>
      <c r="T583" s="7">
        <v>18</v>
      </c>
      <c r="U583" s="7">
        <v>35</v>
      </c>
      <c r="V583" s="7">
        <v>9</v>
      </c>
      <c r="W583" s="7">
        <v>8</v>
      </c>
      <c r="X583" s="7">
        <f t="shared" si="57"/>
        <v>70</v>
      </c>
      <c r="Y583" t="s">
        <v>36</v>
      </c>
      <c r="Z583">
        <v>88155.33558685999</v>
      </c>
      <c r="AA583" t="s">
        <v>964</v>
      </c>
      <c r="AB583">
        <v>65</v>
      </c>
      <c r="AC583">
        <v>1173</v>
      </c>
      <c r="AD583" t="s">
        <v>258</v>
      </c>
      <c r="AE583" t="s">
        <v>75</v>
      </c>
      <c r="AF583">
        <v>106</v>
      </c>
      <c r="AG583" s="8">
        <v>307</v>
      </c>
      <c r="AH583">
        <v>21</v>
      </c>
      <c r="AI583">
        <v>59</v>
      </c>
      <c r="AJ583">
        <v>14</v>
      </c>
      <c r="AK583">
        <v>6.8403908794788276E-2</v>
      </c>
      <c r="AL583">
        <v>1.1985333056242342</v>
      </c>
      <c r="AM583">
        <v>24</v>
      </c>
      <c r="AN583">
        <v>0</v>
      </c>
      <c r="AO583">
        <v>0.42857142857142855</v>
      </c>
      <c r="AP583">
        <v>1.9090909090909092</v>
      </c>
      <c r="AQ583">
        <v>0</v>
      </c>
      <c r="AR583">
        <v>0.27272727272727271</v>
      </c>
      <c r="AS583">
        <v>0.72727272727272729</v>
      </c>
      <c r="AT583">
        <v>0</v>
      </c>
      <c r="AU583">
        <v>170998.00378107998</v>
      </c>
      <c r="AV583">
        <v>13</v>
      </c>
      <c r="AW583">
        <f t="shared" si="58"/>
        <v>1</v>
      </c>
      <c r="AX583">
        <v>1173</v>
      </c>
      <c r="AY583">
        <f t="shared" si="59"/>
        <v>1</v>
      </c>
      <c r="AZ583">
        <v>11.066037735849056</v>
      </c>
      <c r="BA583">
        <v>5</v>
      </c>
      <c r="BB583">
        <v>2019</v>
      </c>
      <c r="BC583">
        <v>9</v>
      </c>
      <c r="BD583">
        <v>2019</v>
      </c>
      <c r="BE583">
        <v>1</v>
      </c>
      <c r="BF583">
        <v>2019</v>
      </c>
    </row>
    <row r="584" spans="1:58" x14ac:dyDescent="0.2">
      <c r="A584" s="7">
        <v>7</v>
      </c>
      <c r="B584" s="7">
        <v>10</v>
      </c>
      <c r="C584" s="7">
        <v>0</v>
      </c>
      <c r="D584" s="7">
        <v>0</v>
      </c>
      <c r="E584" s="7">
        <f t="shared" si="54"/>
        <v>17</v>
      </c>
      <c r="F584" s="11" t="s">
        <v>42</v>
      </c>
      <c r="G584">
        <v>7</v>
      </c>
      <c r="H584">
        <v>10</v>
      </c>
      <c r="I584">
        <v>0</v>
      </c>
      <c r="J584">
        <v>0</v>
      </c>
      <c r="K584">
        <f t="shared" si="55"/>
        <v>17</v>
      </c>
      <c r="L584" t="s">
        <v>42</v>
      </c>
      <c r="M584">
        <v>16052.41565882</v>
      </c>
      <c r="N584" s="7">
        <v>7</v>
      </c>
      <c r="O584" s="7">
        <v>10</v>
      </c>
      <c r="P584" s="7">
        <v>1</v>
      </c>
      <c r="Q584" s="7">
        <v>5</v>
      </c>
      <c r="R584" s="7">
        <f t="shared" si="56"/>
        <v>23</v>
      </c>
      <c r="S584" t="s">
        <v>42</v>
      </c>
      <c r="T584" s="7">
        <v>18</v>
      </c>
      <c r="U584" s="7">
        <v>33</v>
      </c>
      <c r="V584" s="7">
        <v>9</v>
      </c>
      <c r="W584" s="7">
        <v>13</v>
      </c>
      <c r="X584" s="7">
        <f t="shared" si="57"/>
        <v>73</v>
      </c>
      <c r="Y584" t="s">
        <v>39</v>
      </c>
      <c r="Z584">
        <v>122843.61120452</v>
      </c>
      <c r="AA584" t="s">
        <v>965</v>
      </c>
      <c r="AB584">
        <v>79</v>
      </c>
      <c r="AC584">
        <v>0</v>
      </c>
      <c r="AD584" t="s">
        <v>131</v>
      </c>
      <c r="AE584" t="s">
        <v>75</v>
      </c>
      <c r="AF584" t="e">
        <v>#N/A</v>
      </c>
      <c r="AG584" s="8">
        <v>323</v>
      </c>
      <c r="AH584">
        <v>50</v>
      </c>
      <c r="AI584">
        <v>56</v>
      </c>
      <c r="AJ584">
        <v>0</v>
      </c>
      <c r="AK584">
        <v>0.15479876160990713</v>
      </c>
      <c r="AL584">
        <v>2.7820744203732861</v>
      </c>
      <c r="AM584">
        <v>6</v>
      </c>
      <c r="AN584">
        <v>0</v>
      </c>
      <c r="AO584">
        <v>2.1739130434782608</v>
      </c>
      <c r="AP584">
        <v>2.9411764705882355</v>
      </c>
      <c r="AQ584">
        <v>0</v>
      </c>
      <c r="AR584">
        <v>0.41176470588235292</v>
      </c>
      <c r="AS584">
        <v>0.58823529411764708</v>
      </c>
      <c r="AT584">
        <v>0</v>
      </c>
      <c r="AU584">
        <v>138896.02686334</v>
      </c>
      <c r="AV584">
        <v>8</v>
      </c>
      <c r="AW584">
        <f t="shared" si="58"/>
        <v>0</v>
      </c>
      <c r="AX584">
        <v>0</v>
      </c>
      <c r="AY584">
        <f t="shared" si="59"/>
        <v>0</v>
      </c>
      <c r="AZ584" t="e">
        <v>#N/A</v>
      </c>
      <c r="BA584">
        <v>5</v>
      </c>
      <c r="BB584">
        <v>2019</v>
      </c>
      <c r="BC584">
        <v>5</v>
      </c>
      <c r="BD584">
        <v>2019</v>
      </c>
      <c r="BE584">
        <v>1</v>
      </c>
      <c r="BF584">
        <v>2019</v>
      </c>
    </row>
    <row r="585" spans="1:58" x14ac:dyDescent="0.2">
      <c r="A585" s="7">
        <v>0</v>
      </c>
      <c r="B585" s="7">
        <v>6</v>
      </c>
      <c r="C585" s="7">
        <v>0</v>
      </c>
      <c r="D585" s="7">
        <v>0</v>
      </c>
      <c r="E585" s="7">
        <f t="shared" si="54"/>
        <v>6</v>
      </c>
      <c r="F585" s="11" t="s">
        <v>39</v>
      </c>
      <c r="G585">
        <v>0</v>
      </c>
      <c r="H585">
        <v>6</v>
      </c>
      <c r="I585">
        <v>0</v>
      </c>
      <c r="J585">
        <v>0</v>
      </c>
      <c r="K585">
        <f t="shared" si="55"/>
        <v>6</v>
      </c>
      <c r="L585" t="s">
        <v>39</v>
      </c>
      <c r="M585">
        <v>19179.357118309999</v>
      </c>
      <c r="N585" s="7">
        <v>0</v>
      </c>
      <c r="O585" s="7">
        <v>8</v>
      </c>
      <c r="P585" s="7">
        <v>0</v>
      </c>
      <c r="Q585" s="7">
        <v>0</v>
      </c>
      <c r="R585" s="7">
        <f t="shared" si="56"/>
        <v>8</v>
      </c>
      <c r="S585" t="s">
        <v>39</v>
      </c>
      <c r="T585" s="7">
        <v>0</v>
      </c>
      <c r="U585" s="7">
        <v>15</v>
      </c>
      <c r="V585" s="7">
        <v>0</v>
      </c>
      <c r="W585" s="7">
        <v>2</v>
      </c>
      <c r="X585" s="7">
        <f t="shared" si="57"/>
        <v>17</v>
      </c>
      <c r="Y585" t="s">
        <v>39</v>
      </c>
      <c r="Z585">
        <v>242291.32297574001</v>
      </c>
      <c r="AA585" t="s">
        <v>966</v>
      </c>
      <c r="AB585">
        <v>74</v>
      </c>
      <c r="AC585">
        <v>122</v>
      </c>
      <c r="AD585" t="s">
        <v>252</v>
      </c>
      <c r="AE585" t="s">
        <v>75</v>
      </c>
      <c r="AF585">
        <v>138</v>
      </c>
      <c r="AG585" s="8">
        <v>373</v>
      </c>
      <c r="AH585">
        <v>9</v>
      </c>
      <c r="AI585">
        <v>11</v>
      </c>
      <c r="AJ585">
        <v>0</v>
      </c>
      <c r="AK585">
        <v>2.4128686327077747E-2</v>
      </c>
      <c r="AL585">
        <v>0.46600233577064792</v>
      </c>
      <c r="AM585">
        <v>2</v>
      </c>
      <c r="AN585">
        <v>0</v>
      </c>
      <c r="AO585">
        <v>1.125</v>
      </c>
      <c r="AP585">
        <v>1.5</v>
      </c>
      <c r="AQ585">
        <v>0</v>
      </c>
      <c r="AR585">
        <v>0</v>
      </c>
      <c r="AS585">
        <v>1</v>
      </c>
      <c r="AT585">
        <v>0</v>
      </c>
      <c r="AU585">
        <v>261470.68009405001</v>
      </c>
      <c r="AV585">
        <v>9</v>
      </c>
      <c r="AW585">
        <f t="shared" si="58"/>
        <v>0</v>
      </c>
      <c r="AX585">
        <v>122</v>
      </c>
      <c r="AY585">
        <f t="shared" si="59"/>
        <v>1</v>
      </c>
      <c r="AZ585">
        <v>0.88405797101449279</v>
      </c>
      <c r="BA585">
        <v>1</v>
      </c>
      <c r="BB585">
        <v>2019</v>
      </c>
      <c r="BC585">
        <v>5</v>
      </c>
      <c r="BD585">
        <v>2019</v>
      </c>
      <c r="BE585">
        <v>1</v>
      </c>
      <c r="BF585">
        <v>2019</v>
      </c>
    </row>
    <row r="586" spans="1:58" x14ac:dyDescent="0.2">
      <c r="A586" s="7">
        <v>0</v>
      </c>
      <c r="B586" s="7">
        <v>0</v>
      </c>
      <c r="C586" s="7">
        <v>0</v>
      </c>
      <c r="D586" s="7">
        <v>0</v>
      </c>
      <c r="E586" s="7">
        <f t="shared" si="54"/>
        <v>0</v>
      </c>
      <c r="F586" s="11" t="e">
        <v>#N/A</v>
      </c>
      <c r="G586">
        <v>0</v>
      </c>
      <c r="H586">
        <v>0</v>
      </c>
      <c r="I586">
        <v>0</v>
      </c>
      <c r="J586">
        <v>0</v>
      </c>
      <c r="K586">
        <f t="shared" si="55"/>
        <v>0</v>
      </c>
      <c r="L586" t="e">
        <v>#N/A</v>
      </c>
      <c r="N586" s="7">
        <v>9</v>
      </c>
      <c r="O586" s="7">
        <v>10</v>
      </c>
      <c r="P586" s="7">
        <v>0</v>
      </c>
      <c r="Q586" s="7">
        <v>0</v>
      </c>
      <c r="R586" s="7">
        <f t="shared" si="56"/>
        <v>19</v>
      </c>
      <c r="S586" t="s">
        <v>36</v>
      </c>
      <c r="T586" s="7">
        <v>8</v>
      </c>
      <c r="U586" s="7">
        <v>15</v>
      </c>
      <c r="V586" s="7">
        <v>2</v>
      </c>
      <c r="W586" s="7">
        <v>0</v>
      </c>
      <c r="X586" s="7">
        <f t="shared" si="57"/>
        <v>25</v>
      </c>
      <c r="Y586" t="s">
        <v>36</v>
      </c>
      <c r="Z586">
        <v>90771.566928780012</v>
      </c>
      <c r="AA586" t="s">
        <v>967</v>
      </c>
      <c r="AB586">
        <v>74</v>
      </c>
      <c r="AC586">
        <v>0</v>
      </c>
      <c r="AD586" t="s">
        <v>90</v>
      </c>
      <c r="AE586" t="s">
        <v>75</v>
      </c>
      <c r="AF586" t="e">
        <v>#N/A</v>
      </c>
      <c r="AG586" s="8">
        <v>203</v>
      </c>
      <c r="AH586">
        <v>6</v>
      </c>
      <c r="AI586">
        <v>25</v>
      </c>
      <c r="AJ586">
        <v>0</v>
      </c>
      <c r="AK586">
        <v>2.9556650246305417E-2</v>
      </c>
      <c r="AL586">
        <v>0.42111744380615784</v>
      </c>
      <c r="AM586">
        <v>19</v>
      </c>
      <c r="AN586">
        <v>0</v>
      </c>
      <c r="AO586">
        <v>0.31578947368421051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>
        <v>90771.566928780012</v>
      </c>
      <c r="AV586">
        <v>6</v>
      </c>
      <c r="AW586">
        <f t="shared" si="58"/>
        <v>0</v>
      </c>
      <c r="AX586">
        <v>0</v>
      </c>
      <c r="AY586">
        <f t="shared" si="59"/>
        <v>0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>
        <v>3</v>
      </c>
      <c r="BF586">
        <v>2019</v>
      </c>
    </row>
    <row r="587" spans="1:58" x14ac:dyDescent="0.2">
      <c r="A587" s="7">
        <v>20</v>
      </c>
      <c r="B587" s="7">
        <v>40</v>
      </c>
      <c r="C587" s="7">
        <v>6</v>
      </c>
      <c r="D587" s="7">
        <v>6</v>
      </c>
      <c r="E587" s="7">
        <f t="shared" si="54"/>
        <v>72</v>
      </c>
      <c r="F587" s="11" t="s">
        <v>68</v>
      </c>
      <c r="G587">
        <v>20</v>
      </c>
      <c r="H587">
        <v>40</v>
      </c>
      <c r="I587">
        <v>6</v>
      </c>
      <c r="J587">
        <v>6</v>
      </c>
      <c r="K587">
        <f t="shared" si="55"/>
        <v>72</v>
      </c>
      <c r="L587" t="s">
        <v>68</v>
      </c>
      <c r="M587">
        <v>7749.4284906900002</v>
      </c>
      <c r="N587" s="7">
        <v>20</v>
      </c>
      <c r="O587" s="7">
        <v>38</v>
      </c>
      <c r="P587" s="7">
        <v>9</v>
      </c>
      <c r="Q587" s="7">
        <v>16</v>
      </c>
      <c r="R587" s="7">
        <f t="shared" si="56"/>
        <v>83</v>
      </c>
      <c r="S587" t="s">
        <v>83</v>
      </c>
      <c r="T587" s="7">
        <v>20</v>
      </c>
      <c r="U587" s="7">
        <v>40</v>
      </c>
      <c r="V587" s="7">
        <v>10</v>
      </c>
      <c r="W587" s="7">
        <v>30</v>
      </c>
      <c r="X587" s="7">
        <f t="shared" si="57"/>
        <v>100</v>
      </c>
      <c r="Y587" t="s">
        <v>36</v>
      </c>
      <c r="Z587">
        <v>66884.879755250004</v>
      </c>
      <c r="AA587" t="s">
        <v>968</v>
      </c>
      <c r="AB587">
        <v>54</v>
      </c>
      <c r="AC587">
        <v>0</v>
      </c>
      <c r="AD587" t="s">
        <v>241</v>
      </c>
      <c r="AE587" t="s">
        <v>41</v>
      </c>
      <c r="AF587" t="e">
        <v>#N/A</v>
      </c>
      <c r="AG587" s="8">
        <v>281</v>
      </c>
      <c r="AH587">
        <v>17</v>
      </c>
      <c r="AI587">
        <v>28</v>
      </c>
      <c r="AJ587">
        <v>0</v>
      </c>
      <c r="AK587">
        <v>6.0498220640569395E-2</v>
      </c>
      <c r="AL587">
        <v>1.014134976662219</v>
      </c>
      <c r="AM587">
        <v>11</v>
      </c>
      <c r="AN587">
        <v>0</v>
      </c>
      <c r="AO587">
        <v>0.20481927710843373</v>
      </c>
      <c r="AP587">
        <v>0.2361111111111111</v>
      </c>
      <c r="AQ587">
        <v>8.3333333333333329E-2</v>
      </c>
      <c r="AR587">
        <v>0.27777777777777779</v>
      </c>
      <c r="AS587">
        <v>0.55555555555555558</v>
      </c>
      <c r="AT587">
        <v>8.3333333333333329E-2</v>
      </c>
      <c r="AU587">
        <v>74634.308245940003</v>
      </c>
      <c r="AV587">
        <v>4</v>
      </c>
      <c r="AW587">
        <f t="shared" si="58"/>
        <v>0</v>
      </c>
      <c r="AX587">
        <v>0</v>
      </c>
      <c r="AY587">
        <f t="shared" si="59"/>
        <v>0</v>
      </c>
      <c r="AZ587" t="e">
        <v>#N/A</v>
      </c>
      <c r="BA587">
        <v>8</v>
      </c>
      <c r="BB587">
        <v>2019</v>
      </c>
      <c r="BC587">
        <v>8</v>
      </c>
      <c r="BD587">
        <v>2019</v>
      </c>
      <c r="BE587">
        <v>1</v>
      </c>
      <c r="BF587">
        <v>2019</v>
      </c>
    </row>
    <row r="588" spans="1:58" x14ac:dyDescent="0.2">
      <c r="A588" s="7">
        <v>1</v>
      </c>
      <c r="B588" s="7">
        <v>13</v>
      </c>
      <c r="C588" s="7">
        <v>0</v>
      </c>
      <c r="D588" s="7">
        <v>0</v>
      </c>
      <c r="E588" s="7">
        <f t="shared" si="54"/>
        <v>14</v>
      </c>
      <c r="F588" s="11" t="s">
        <v>36</v>
      </c>
      <c r="G588">
        <v>1</v>
      </c>
      <c r="H588">
        <v>13</v>
      </c>
      <c r="I588">
        <v>0</v>
      </c>
      <c r="J588">
        <v>0</v>
      </c>
      <c r="K588">
        <f t="shared" si="55"/>
        <v>14</v>
      </c>
      <c r="L588" t="s">
        <v>36</v>
      </c>
      <c r="M588">
        <v>20412.797542010001</v>
      </c>
      <c r="N588" s="7">
        <v>7</v>
      </c>
      <c r="O588" s="7">
        <v>11</v>
      </c>
      <c r="P588" s="7">
        <v>0</v>
      </c>
      <c r="Q588" s="7">
        <v>5</v>
      </c>
      <c r="R588" s="7">
        <f t="shared" si="56"/>
        <v>23</v>
      </c>
      <c r="S588" t="s">
        <v>36</v>
      </c>
      <c r="T588" s="7">
        <v>13</v>
      </c>
      <c r="U588" s="7">
        <v>33</v>
      </c>
      <c r="V588" s="7">
        <v>4</v>
      </c>
      <c r="W588" s="7">
        <v>6</v>
      </c>
      <c r="X588" s="7">
        <f t="shared" si="57"/>
        <v>56</v>
      </c>
      <c r="Y588" t="e">
        <v>#N/A</v>
      </c>
      <c r="Z588">
        <v>139791.98317172</v>
      </c>
      <c r="AA588" t="s">
        <v>969</v>
      </c>
      <c r="AB588">
        <v>70</v>
      </c>
      <c r="AC588">
        <v>120</v>
      </c>
      <c r="AD588" t="s">
        <v>287</v>
      </c>
      <c r="AE588" t="s">
        <v>41</v>
      </c>
      <c r="AF588" t="e">
        <v>#N/A</v>
      </c>
      <c r="AG588" s="8">
        <v>343</v>
      </c>
      <c r="AH588">
        <v>33</v>
      </c>
      <c r="AI588">
        <v>42</v>
      </c>
      <c r="AJ588">
        <v>0</v>
      </c>
      <c r="AK588">
        <v>9.6209912536443148E-2</v>
      </c>
      <c r="AL588">
        <v>1.7818325156149282</v>
      </c>
      <c r="AM588">
        <v>9</v>
      </c>
      <c r="AN588">
        <v>0</v>
      </c>
      <c r="AO588">
        <v>1.4347826086956521</v>
      </c>
      <c r="AP588">
        <v>2.3571428571428572</v>
      </c>
      <c r="AQ588">
        <v>0</v>
      </c>
      <c r="AR588">
        <v>7.1428571428571425E-2</v>
      </c>
      <c r="AS588">
        <v>0.9285714285714286</v>
      </c>
      <c r="AT588">
        <v>0</v>
      </c>
      <c r="AU588">
        <v>160204.78071373</v>
      </c>
      <c r="AV588">
        <v>5</v>
      </c>
      <c r="AW588">
        <f t="shared" si="58"/>
        <v>0</v>
      </c>
      <c r="AX588">
        <v>120</v>
      </c>
      <c r="AY588">
        <f t="shared" si="59"/>
        <v>1</v>
      </c>
      <c r="AZ588" t="e">
        <v>#N/A</v>
      </c>
      <c r="BA588">
        <v>5</v>
      </c>
      <c r="BB588">
        <v>2019</v>
      </c>
      <c r="BC588">
        <v>5</v>
      </c>
      <c r="BD588">
        <v>2019</v>
      </c>
      <c r="BE588">
        <v>1</v>
      </c>
      <c r="BF588">
        <v>2019</v>
      </c>
    </row>
    <row r="589" spans="1:58" x14ac:dyDescent="0.2">
      <c r="A589" s="7">
        <v>0</v>
      </c>
      <c r="B589" s="7">
        <v>0</v>
      </c>
      <c r="C589" s="7">
        <v>0</v>
      </c>
      <c r="D589" s="7">
        <v>0</v>
      </c>
      <c r="E589" s="7">
        <f t="shared" si="54"/>
        <v>0</v>
      </c>
      <c r="F589" s="11" t="e">
        <v>#N/A</v>
      </c>
      <c r="G589">
        <v>0</v>
      </c>
      <c r="H589">
        <v>0</v>
      </c>
      <c r="I589">
        <v>0</v>
      </c>
      <c r="J589">
        <v>0</v>
      </c>
      <c r="K589">
        <f t="shared" si="55"/>
        <v>0</v>
      </c>
      <c r="L589" t="e">
        <v>#N/A</v>
      </c>
      <c r="N589" s="7">
        <v>17</v>
      </c>
      <c r="O589" s="7">
        <v>30</v>
      </c>
      <c r="P589" s="7">
        <v>6</v>
      </c>
      <c r="Q589" s="7">
        <v>7</v>
      </c>
      <c r="R589" s="7">
        <f t="shared" si="56"/>
        <v>60</v>
      </c>
      <c r="S589" t="s">
        <v>36</v>
      </c>
      <c r="T589" s="7">
        <v>10</v>
      </c>
      <c r="U589" s="7">
        <v>13</v>
      </c>
      <c r="V589" s="7">
        <v>0</v>
      </c>
      <c r="W589" s="7">
        <v>3</v>
      </c>
      <c r="X589" s="7">
        <f t="shared" si="57"/>
        <v>26</v>
      </c>
      <c r="Y589" t="s">
        <v>36</v>
      </c>
      <c r="Z589">
        <v>107612.86408424001</v>
      </c>
      <c r="AA589" t="s">
        <v>970</v>
      </c>
      <c r="AB589">
        <v>57</v>
      </c>
      <c r="AC589">
        <v>0</v>
      </c>
      <c r="AD589" t="s">
        <v>288</v>
      </c>
      <c r="AE589" t="s">
        <v>41</v>
      </c>
      <c r="AF589" t="e">
        <v>#N/A</v>
      </c>
      <c r="AG589" s="8">
        <v>2</v>
      </c>
      <c r="AH589">
        <v>-34</v>
      </c>
      <c r="AI589">
        <v>26</v>
      </c>
      <c r="AJ589">
        <v>0</v>
      </c>
      <c r="AK589">
        <v>-17</v>
      </c>
      <c r="AL589">
        <v>-24.041630560342615</v>
      </c>
      <c r="AM589">
        <v>60</v>
      </c>
      <c r="AN589">
        <v>0</v>
      </c>
      <c r="AO589">
        <v>-0.56666666666666665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>
        <v>107612.86408424001</v>
      </c>
      <c r="AV589">
        <v>4</v>
      </c>
      <c r="AW589">
        <f t="shared" si="58"/>
        <v>0</v>
      </c>
      <c r="AX589">
        <v>0</v>
      </c>
      <c r="AY589">
        <f t="shared" si="59"/>
        <v>0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>
        <v>6</v>
      </c>
      <c r="BF589">
        <v>2019</v>
      </c>
    </row>
    <row r="590" spans="1:58" x14ac:dyDescent="0.2">
      <c r="A590" s="7">
        <v>0</v>
      </c>
      <c r="B590" s="7">
        <v>0</v>
      </c>
      <c r="C590" s="7">
        <v>0</v>
      </c>
      <c r="D590" s="7">
        <v>0</v>
      </c>
      <c r="E590" s="7">
        <f t="shared" si="54"/>
        <v>0</v>
      </c>
      <c r="F590" s="11" t="s">
        <v>83</v>
      </c>
      <c r="G590">
        <v>0</v>
      </c>
      <c r="H590">
        <v>0</v>
      </c>
      <c r="I590">
        <v>0</v>
      </c>
      <c r="J590">
        <v>0</v>
      </c>
      <c r="K590">
        <f t="shared" si="55"/>
        <v>0</v>
      </c>
      <c r="L590" t="s">
        <v>37</v>
      </c>
      <c r="M590">
        <v>212816.50943604999</v>
      </c>
      <c r="N590" s="7">
        <v>0</v>
      </c>
      <c r="O590" s="7">
        <v>3</v>
      </c>
      <c r="P590" s="7">
        <v>0</v>
      </c>
      <c r="Q590" s="7">
        <v>0</v>
      </c>
      <c r="R590" s="7">
        <f t="shared" si="56"/>
        <v>3</v>
      </c>
      <c r="S590" t="s">
        <v>83</v>
      </c>
      <c r="T590" s="7">
        <v>0</v>
      </c>
      <c r="U590" s="7">
        <v>3</v>
      </c>
      <c r="V590" s="7">
        <v>2</v>
      </c>
      <c r="W590" s="7">
        <v>3</v>
      </c>
      <c r="X590" s="7">
        <f t="shared" si="57"/>
        <v>8</v>
      </c>
      <c r="Y590" t="e">
        <v>#N/A</v>
      </c>
      <c r="Z590">
        <v>188573.73281791</v>
      </c>
      <c r="AA590" t="s">
        <v>971</v>
      </c>
      <c r="AB590">
        <v>71</v>
      </c>
      <c r="AC590">
        <v>3116</v>
      </c>
      <c r="AD590" t="s">
        <v>46</v>
      </c>
      <c r="AE590" t="s">
        <v>41</v>
      </c>
      <c r="AF590">
        <v>300</v>
      </c>
      <c r="AG590" s="8">
        <v>571</v>
      </c>
      <c r="AH590">
        <v>5</v>
      </c>
      <c r="AI590">
        <v>8</v>
      </c>
      <c r="AJ590">
        <v>0</v>
      </c>
      <c r="AK590">
        <v>8.7565674255691769E-3</v>
      </c>
      <c r="AL590">
        <v>0.20924348765934361</v>
      </c>
      <c r="AM590">
        <v>3</v>
      </c>
      <c r="AN590">
        <v>0</v>
      </c>
      <c r="AO590">
        <v>1.6666666666666667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>
        <v>401390.24225395999</v>
      </c>
      <c r="AV590">
        <v>17</v>
      </c>
      <c r="AW590">
        <f t="shared" si="58"/>
        <v>1</v>
      </c>
      <c r="AX590">
        <v>3116</v>
      </c>
      <c r="AY590">
        <f t="shared" si="59"/>
        <v>1</v>
      </c>
      <c r="AZ590">
        <v>10.386666666666667</v>
      </c>
      <c r="BA590">
        <v>1</v>
      </c>
      <c r="BB590">
        <v>2019</v>
      </c>
      <c r="BC590">
        <v>11</v>
      </c>
      <c r="BD590">
        <v>2019</v>
      </c>
      <c r="BE590">
        <v>1</v>
      </c>
      <c r="BF590">
        <v>2019</v>
      </c>
    </row>
    <row r="591" spans="1:58" x14ac:dyDescent="0.2">
      <c r="A591" s="7">
        <v>4</v>
      </c>
      <c r="B591" s="7">
        <v>15</v>
      </c>
      <c r="C591" s="7">
        <v>0</v>
      </c>
      <c r="D591" s="7">
        <v>0</v>
      </c>
      <c r="E591" s="7">
        <f t="shared" si="54"/>
        <v>19</v>
      </c>
      <c r="F591" s="11" t="s">
        <v>51</v>
      </c>
      <c r="G591">
        <v>4</v>
      </c>
      <c r="H591">
        <v>15</v>
      </c>
      <c r="I591">
        <v>0</v>
      </c>
      <c r="J591">
        <v>0</v>
      </c>
      <c r="K591">
        <f t="shared" si="55"/>
        <v>19</v>
      </c>
      <c r="L591" t="s">
        <v>51</v>
      </c>
      <c r="M591">
        <v>27211.184047710001</v>
      </c>
      <c r="N591" s="7">
        <v>6</v>
      </c>
      <c r="O591" s="7">
        <v>15</v>
      </c>
      <c r="P591" s="7">
        <v>0</v>
      </c>
      <c r="Q591" s="7">
        <v>0</v>
      </c>
      <c r="R591" s="7">
        <f t="shared" si="56"/>
        <v>21</v>
      </c>
      <c r="S591" t="s">
        <v>51</v>
      </c>
      <c r="T591" s="7">
        <v>6</v>
      </c>
      <c r="U591" s="7">
        <v>15</v>
      </c>
      <c r="V591" s="7">
        <v>0</v>
      </c>
      <c r="W591" s="7">
        <v>0</v>
      </c>
      <c r="X591" s="7">
        <f t="shared" si="57"/>
        <v>21</v>
      </c>
      <c r="Y591" t="s">
        <v>51</v>
      </c>
      <c r="Z591">
        <v>6438.8422049700002</v>
      </c>
      <c r="AA591" t="s">
        <v>972</v>
      </c>
      <c r="AB591">
        <v>50</v>
      </c>
      <c r="AC591">
        <v>238</v>
      </c>
      <c r="AD591" t="s">
        <v>258</v>
      </c>
      <c r="AE591" t="s">
        <v>41</v>
      </c>
      <c r="AF591" t="e">
        <v>#N/A</v>
      </c>
      <c r="AG591" s="8">
        <v>0</v>
      </c>
      <c r="AH591">
        <v>0</v>
      </c>
      <c r="AI591">
        <v>2</v>
      </c>
      <c r="AJ591">
        <v>0</v>
      </c>
      <c r="AK591" t="e">
        <v>#N/A</v>
      </c>
      <c r="AL591" t="e">
        <v>#N/A</v>
      </c>
      <c r="AM591">
        <v>2</v>
      </c>
      <c r="AN591">
        <v>0</v>
      </c>
      <c r="AO591">
        <v>0</v>
      </c>
      <c r="AP591">
        <v>0</v>
      </c>
      <c r="AQ591">
        <v>0</v>
      </c>
      <c r="AR591">
        <v>0.21052631578947367</v>
      </c>
      <c r="AS591">
        <v>0.78947368421052633</v>
      </c>
      <c r="AT591">
        <v>0</v>
      </c>
      <c r="AU591">
        <v>33650.02625268</v>
      </c>
      <c r="AV591">
        <v>6</v>
      </c>
      <c r="AW591">
        <f t="shared" si="58"/>
        <v>0</v>
      </c>
      <c r="AX591">
        <v>238</v>
      </c>
      <c r="AY591">
        <f t="shared" si="59"/>
        <v>1</v>
      </c>
      <c r="AZ591" t="e">
        <v>#N/A</v>
      </c>
      <c r="BA591">
        <v>11</v>
      </c>
      <c r="BB591">
        <v>2019</v>
      </c>
      <c r="BC591">
        <v>11</v>
      </c>
      <c r="BD591">
        <v>2019</v>
      </c>
      <c r="BE591">
        <v>6</v>
      </c>
      <c r="BF591">
        <v>2019</v>
      </c>
    </row>
    <row r="592" spans="1:58" x14ac:dyDescent="0.2">
      <c r="A592" s="7">
        <v>0</v>
      </c>
      <c r="B592" s="7">
        <v>0</v>
      </c>
      <c r="C592" s="7">
        <v>0</v>
      </c>
      <c r="D592" s="7">
        <v>0</v>
      </c>
      <c r="E592" s="7">
        <f t="shared" si="54"/>
        <v>0</v>
      </c>
      <c r="F592" s="11" t="s">
        <v>36</v>
      </c>
      <c r="G592">
        <v>0</v>
      </c>
      <c r="H592">
        <v>0</v>
      </c>
      <c r="I592">
        <v>0</v>
      </c>
      <c r="J592">
        <v>0</v>
      </c>
      <c r="K592">
        <f t="shared" si="55"/>
        <v>0</v>
      </c>
      <c r="L592" t="s">
        <v>36</v>
      </c>
      <c r="M592">
        <v>21067.445282770001</v>
      </c>
      <c r="N592" s="7">
        <v>10</v>
      </c>
      <c r="O592" s="7">
        <v>18</v>
      </c>
      <c r="P592" s="7">
        <v>5</v>
      </c>
      <c r="Q592" s="7">
        <v>0</v>
      </c>
      <c r="R592" s="7">
        <f t="shared" si="56"/>
        <v>33</v>
      </c>
      <c r="S592" t="s">
        <v>36</v>
      </c>
      <c r="T592" s="7">
        <v>17</v>
      </c>
      <c r="U592" s="7">
        <v>33</v>
      </c>
      <c r="V592" s="7">
        <v>7</v>
      </c>
      <c r="W592" s="7">
        <v>21</v>
      </c>
      <c r="X592" s="7">
        <f t="shared" si="57"/>
        <v>78</v>
      </c>
      <c r="Y592" t="s">
        <v>36</v>
      </c>
      <c r="Z592">
        <v>80297.527433860014</v>
      </c>
      <c r="AA592" t="s">
        <v>973</v>
      </c>
      <c r="AB592">
        <v>23</v>
      </c>
      <c r="AC592">
        <v>262</v>
      </c>
      <c r="AD592" t="s">
        <v>249</v>
      </c>
      <c r="AE592" t="s">
        <v>75</v>
      </c>
      <c r="AF592">
        <v>50</v>
      </c>
      <c r="AG592" s="8">
        <v>124</v>
      </c>
      <c r="AH592">
        <v>45</v>
      </c>
      <c r="AI592">
        <v>78</v>
      </c>
      <c r="AJ592">
        <v>0</v>
      </c>
      <c r="AK592">
        <v>0.36290322580645162</v>
      </c>
      <c r="AL592">
        <v>4.041119295602436</v>
      </c>
      <c r="AM592">
        <v>33</v>
      </c>
      <c r="AN592">
        <v>0</v>
      </c>
      <c r="AO592">
        <v>1.3636363636363635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>
        <v>101364.97271663001</v>
      </c>
      <c r="AV592">
        <v>5</v>
      </c>
      <c r="AW592">
        <f t="shared" si="58"/>
        <v>0</v>
      </c>
      <c r="AX592">
        <v>262</v>
      </c>
      <c r="AY592">
        <f t="shared" si="59"/>
        <v>1</v>
      </c>
      <c r="AZ592">
        <v>5.24</v>
      </c>
      <c r="BA592">
        <v>6</v>
      </c>
      <c r="BB592">
        <v>2019</v>
      </c>
      <c r="BC592">
        <v>8</v>
      </c>
      <c r="BD592">
        <v>2019</v>
      </c>
      <c r="BE592">
        <v>1</v>
      </c>
      <c r="BF592">
        <v>2019</v>
      </c>
    </row>
    <row r="593" spans="1:58" x14ac:dyDescent="0.2">
      <c r="A593" s="7">
        <v>0</v>
      </c>
      <c r="B593" s="7">
        <v>6</v>
      </c>
      <c r="C593" s="7">
        <v>0</v>
      </c>
      <c r="D593" s="7">
        <v>0</v>
      </c>
      <c r="E593" s="7">
        <f t="shared" si="54"/>
        <v>6</v>
      </c>
      <c r="F593" s="11" t="s">
        <v>65</v>
      </c>
      <c r="G593">
        <v>5</v>
      </c>
      <c r="H593">
        <v>10</v>
      </c>
      <c r="I593">
        <v>0</v>
      </c>
      <c r="J593">
        <v>2</v>
      </c>
      <c r="K593">
        <f t="shared" si="55"/>
        <v>17</v>
      </c>
      <c r="L593" t="s">
        <v>36</v>
      </c>
      <c r="M593">
        <v>61795.205569930004</v>
      </c>
      <c r="N593" s="7">
        <v>5</v>
      </c>
      <c r="O593" s="7">
        <v>10</v>
      </c>
      <c r="P593" s="7">
        <v>0</v>
      </c>
      <c r="Q593" s="7">
        <v>2</v>
      </c>
      <c r="R593" s="7">
        <f t="shared" si="56"/>
        <v>17</v>
      </c>
      <c r="S593" t="s">
        <v>36</v>
      </c>
      <c r="T593" s="7">
        <v>8</v>
      </c>
      <c r="U593" s="7">
        <v>15</v>
      </c>
      <c r="V593" s="7">
        <v>5</v>
      </c>
      <c r="W593" s="7">
        <v>3</v>
      </c>
      <c r="X593" s="7">
        <f t="shared" si="57"/>
        <v>31</v>
      </c>
      <c r="Y593" t="s">
        <v>39</v>
      </c>
      <c r="Z593">
        <v>118767.39234691999</v>
      </c>
      <c r="AA593" t="s">
        <v>974</v>
      </c>
      <c r="AB593">
        <v>80</v>
      </c>
      <c r="AC593">
        <v>887</v>
      </c>
      <c r="AD593" t="s">
        <v>119</v>
      </c>
      <c r="AE593" t="s">
        <v>75</v>
      </c>
      <c r="AF593">
        <v>36</v>
      </c>
      <c r="AG593" s="8">
        <v>4</v>
      </c>
      <c r="AH593">
        <v>14</v>
      </c>
      <c r="AI593">
        <v>25</v>
      </c>
      <c r="AJ593">
        <v>11</v>
      </c>
      <c r="AK593">
        <v>3.5</v>
      </c>
      <c r="AL593">
        <v>7</v>
      </c>
      <c r="AM593">
        <v>0</v>
      </c>
      <c r="AN593">
        <v>0</v>
      </c>
      <c r="AO593">
        <v>0.82352941176470584</v>
      </c>
      <c r="AP593">
        <v>2.3333333333333335</v>
      </c>
      <c r="AQ593">
        <v>0</v>
      </c>
      <c r="AR593">
        <v>0</v>
      </c>
      <c r="AS593">
        <v>1</v>
      </c>
      <c r="AT593">
        <v>0</v>
      </c>
      <c r="AU593">
        <v>180562.59791685001</v>
      </c>
      <c r="AV593">
        <v>15</v>
      </c>
      <c r="AW593">
        <f t="shared" si="58"/>
        <v>1</v>
      </c>
      <c r="AX593">
        <v>887</v>
      </c>
      <c r="AY593">
        <f t="shared" si="59"/>
        <v>1</v>
      </c>
      <c r="AZ593">
        <v>24.638888888888889</v>
      </c>
      <c r="BA593">
        <v>6</v>
      </c>
      <c r="BB593">
        <v>2019</v>
      </c>
      <c r="BC593">
        <v>7</v>
      </c>
      <c r="BD593">
        <v>2019</v>
      </c>
      <c r="BE593">
        <v>1</v>
      </c>
      <c r="BF593">
        <v>2019</v>
      </c>
    </row>
    <row r="594" spans="1:58" x14ac:dyDescent="0.2">
      <c r="A594" s="7">
        <v>0</v>
      </c>
      <c r="B594" s="7">
        <v>10</v>
      </c>
      <c r="C594" s="7">
        <v>0</v>
      </c>
      <c r="D594" s="7">
        <v>0</v>
      </c>
      <c r="E594" s="7">
        <f t="shared" si="54"/>
        <v>10</v>
      </c>
      <c r="F594" s="11" t="s">
        <v>36</v>
      </c>
      <c r="G594">
        <v>0</v>
      </c>
      <c r="H594">
        <v>8</v>
      </c>
      <c r="I594">
        <v>0</v>
      </c>
      <c r="J594">
        <v>0</v>
      </c>
      <c r="K594">
        <f t="shared" si="55"/>
        <v>8</v>
      </c>
      <c r="L594" t="s">
        <v>36</v>
      </c>
      <c r="M594">
        <v>72560.355448449991</v>
      </c>
      <c r="N594" s="7">
        <v>3</v>
      </c>
      <c r="O594" s="7">
        <v>10</v>
      </c>
      <c r="P594" s="7">
        <v>0</v>
      </c>
      <c r="Q594" s="7">
        <v>0</v>
      </c>
      <c r="R594" s="7">
        <f t="shared" si="56"/>
        <v>13</v>
      </c>
      <c r="S594" t="s">
        <v>36</v>
      </c>
      <c r="T594" s="7">
        <v>6</v>
      </c>
      <c r="U594" s="7">
        <v>22</v>
      </c>
      <c r="V594" s="7">
        <v>2</v>
      </c>
      <c r="W594" s="7">
        <v>3</v>
      </c>
      <c r="X594" s="7">
        <f t="shared" si="57"/>
        <v>33</v>
      </c>
      <c r="Y594" t="e">
        <v>#N/A</v>
      </c>
      <c r="Z594">
        <v>202934.22871286</v>
      </c>
      <c r="AA594" t="s">
        <v>975</v>
      </c>
      <c r="AB594">
        <v>54</v>
      </c>
      <c r="AC594">
        <v>918</v>
      </c>
      <c r="AD594" t="s">
        <v>254</v>
      </c>
      <c r="AE594" t="s">
        <v>41</v>
      </c>
      <c r="AF594">
        <v>162</v>
      </c>
      <c r="AG594" s="8">
        <v>360</v>
      </c>
      <c r="AH594">
        <v>20</v>
      </c>
      <c r="AI594">
        <v>23</v>
      </c>
      <c r="AJ594">
        <v>-2</v>
      </c>
      <c r="AK594">
        <v>5.5555555555555552E-2</v>
      </c>
      <c r="AL594">
        <v>1.0540925533894598</v>
      </c>
      <c r="AM594">
        <v>5</v>
      </c>
      <c r="AN594">
        <v>0</v>
      </c>
      <c r="AO594">
        <v>1.5384615384615385</v>
      </c>
      <c r="AP594">
        <v>2</v>
      </c>
      <c r="AQ594">
        <v>0</v>
      </c>
      <c r="AR594">
        <v>0</v>
      </c>
      <c r="AS594">
        <v>1</v>
      </c>
      <c r="AT594">
        <v>0</v>
      </c>
      <c r="AU594">
        <v>275494.58416130999</v>
      </c>
      <c r="AV594">
        <v>22</v>
      </c>
      <c r="AW594">
        <f t="shared" si="58"/>
        <v>1</v>
      </c>
      <c r="AX594">
        <v>918</v>
      </c>
      <c r="AY594">
        <f t="shared" si="59"/>
        <v>1</v>
      </c>
      <c r="AZ594">
        <v>5.666666666666667</v>
      </c>
      <c r="BA594">
        <v>1</v>
      </c>
      <c r="BB594">
        <v>2019</v>
      </c>
      <c r="BC594">
        <v>6</v>
      </c>
      <c r="BD594">
        <v>2019</v>
      </c>
      <c r="BE594">
        <v>1</v>
      </c>
      <c r="BF594">
        <v>2019</v>
      </c>
    </row>
    <row r="595" spans="1:58" x14ac:dyDescent="0.2">
      <c r="A595" s="7">
        <v>12</v>
      </c>
      <c r="B595" s="7">
        <v>27</v>
      </c>
      <c r="C595" s="7">
        <v>7</v>
      </c>
      <c r="D595" s="7">
        <v>8</v>
      </c>
      <c r="E595" s="7">
        <f t="shared" si="54"/>
        <v>54</v>
      </c>
      <c r="F595" s="11" t="s">
        <v>36</v>
      </c>
      <c r="G595">
        <v>0</v>
      </c>
      <c r="H595">
        <v>8</v>
      </c>
      <c r="I595">
        <v>2</v>
      </c>
      <c r="J595">
        <v>0</v>
      </c>
      <c r="K595">
        <f t="shared" si="55"/>
        <v>10</v>
      </c>
      <c r="L595" t="s">
        <v>36</v>
      </c>
      <c r="M595">
        <v>72671.542044620015</v>
      </c>
      <c r="N595" s="7">
        <v>12</v>
      </c>
      <c r="O595" s="7">
        <v>27</v>
      </c>
      <c r="P595" s="7">
        <v>9</v>
      </c>
      <c r="Q595" s="7">
        <v>10</v>
      </c>
      <c r="R595" s="7">
        <f t="shared" si="56"/>
        <v>58</v>
      </c>
      <c r="S595" t="s">
        <v>36</v>
      </c>
      <c r="T595" s="7">
        <v>12</v>
      </c>
      <c r="U595" s="7">
        <v>27</v>
      </c>
      <c r="V595" s="7">
        <v>9</v>
      </c>
      <c r="W595" s="7">
        <v>29</v>
      </c>
      <c r="X595" s="7">
        <f t="shared" si="57"/>
        <v>77</v>
      </c>
      <c r="Y595" t="e">
        <v>#N/A</v>
      </c>
      <c r="Z595">
        <v>92471.046849120015</v>
      </c>
      <c r="AA595" t="s">
        <v>976</v>
      </c>
      <c r="AB595">
        <v>72</v>
      </c>
      <c r="AC595">
        <v>1128</v>
      </c>
      <c r="AD595" t="s">
        <v>254</v>
      </c>
      <c r="AE595" t="s">
        <v>41</v>
      </c>
      <c r="AF595">
        <v>167</v>
      </c>
      <c r="AG595" s="8">
        <v>343</v>
      </c>
      <c r="AH595">
        <v>19</v>
      </c>
      <c r="AI595">
        <v>23</v>
      </c>
      <c r="AJ595">
        <v>-44</v>
      </c>
      <c r="AK595">
        <v>5.5393586005830907E-2</v>
      </c>
      <c r="AL595">
        <v>1.0259035695964738</v>
      </c>
      <c r="AM595">
        <v>48</v>
      </c>
      <c r="AN595">
        <v>0</v>
      </c>
      <c r="AO595">
        <v>0.32758620689655171</v>
      </c>
      <c r="AP595">
        <v>0.35185185185185186</v>
      </c>
      <c r="AQ595">
        <v>0.14814814814814814</v>
      </c>
      <c r="AR595">
        <v>0.22222222222222221</v>
      </c>
      <c r="AS595">
        <v>0.5</v>
      </c>
      <c r="AT595">
        <v>0.12962962962962962</v>
      </c>
      <c r="AU595">
        <v>165142.58889374003</v>
      </c>
      <c r="AV595">
        <v>17</v>
      </c>
      <c r="AW595">
        <f t="shared" si="58"/>
        <v>1</v>
      </c>
      <c r="AX595">
        <v>1128</v>
      </c>
      <c r="AY595">
        <f t="shared" si="59"/>
        <v>1</v>
      </c>
      <c r="AZ595">
        <v>6.7544910179640718</v>
      </c>
      <c r="BA595">
        <v>1</v>
      </c>
      <c r="BB595">
        <v>2019</v>
      </c>
      <c r="BC595">
        <v>6</v>
      </c>
      <c r="BD595">
        <v>2019</v>
      </c>
      <c r="BE595">
        <v>1</v>
      </c>
      <c r="BF595">
        <v>2019</v>
      </c>
    </row>
    <row r="596" spans="1:58" x14ac:dyDescent="0.2">
      <c r="A596" s="7">
        <v>2</v>
      </c>
      <c r="B596" s="7">
        <v>30</v>
      </c>
      <c r="C596" s="7">
        <v>7</v>
      </c>
      <c r="D596" s="7">
        <v>26</v>
      </c>
      <c r="E596" s="7">
        <f t="shared" si="54"/>
        <v>65</v>
      </c>
      <c r="F596" s="11" t="s">
        <v>39</v>
      </c>
      <c r="G596">
        <v>2</v>
      </c>
      <c r="H596">
        <v>30</v>
      </c>
      <c r="I596">
        <v>7</v>
      </c>
      <c r="J596">
        <v>24</v>
      </c>
      <c r="K596">
        <f t="shared" si="55"/>
        <v>63</v>
      </c>
      <c r="L596" t="s">
        <v>54</v>
      </c>
      <c r="M596">
        <v>11559.26712051</v>
      </c>
      <c r="N596" s="7">
        <v>2</v>
      </c>
      <c r="O596" s="7">
        <v>31</v>
      </c>
      <c r="P596" s="7">
        <v>7</v>
      </c>
      <c r="Q596" s="7">
        <v>30</v>
      </c>
      <c r="R596" s="7">
        <f t="shared" si="56"/>
        <v>70</v>
      </c>
      <c r="S596" t="s">
        <v>36</v>
      </c>
      <c r="T596" s="7">
        <v>8</v>
      </c>
      <c r="U596" s="7">
        <v>39</v>
      </c>
      <c r="V596" s="7">
        <v>9</v>
      </c>
      <c r="W596" s="7">
        <v>30</v>
      </c>
      <c r="X596" s="7">
        <f t="shared" si="57"/>
        <v>86</v>
      </c>
      <c r="Y596" t="s">
        <v>39</v>
      </c>
      <c r="Z596">
        <v>126622.54632744</v>
      </c>
      <c r="AA596" t="s">
        <v>977</v>
      </c>
      <c r="AB596">
        <v>63</v>
      </c>
      <c r="AC596">
        <v>0</v>
      </c>
      <c r="AD596" t="s">
        <v>244</v>
      </c>
      <c r="AE596" t="s">
        <v>41</v>
      </c>
      <c r="AF596">
        <v>170</v>
      </c>
      <c r="AG596" s="8">
        <v>342</v>
      </c>
      <c r="AH596">
        <v>16</v>
      </c>
      <c r="AI596">
        <v>21</v>
      </c>
      <c r="AJ596">
        <v>-2</v>
      </c>
      <c r="AK596">
        <v>4.6783625730994149E-2</v>
      </c>
      <c r="AL596">
        <v>0.86518091269740027</v>
      </c>
      <c r="AM596">
        <v>7</v>
      </c>
      <c r="AN596">
        <v>0</v>
      </c>
      <c r="AO596">
        <v>0.22857142857142856</v>
      </c>
      <c r="AP596">
        <v>0.24615384615384617</v>
      </c>
      <c r="AQ596">
        <v>0.4</v>
      </c>
      <c r="AR596">
        <v>3.0769230769230771E-2</v>
      </c>
      <c r="AS596">
        <v>0.46153846153846156</v>
      </c>
      <c r="AT596">
        <v>0.1076923076923077</v>
      </c>
      <c r="AU596">
        <v>138181.81344795</v>
      </c>
      <c r="AV596">
        <v>2</v>
      </c>
      <c r="AW596">
        <f t="shared" si="58"/>
        <v>0</v>
      </c>
      <c r="AX596">
        <v>0</v>
      </c>
      <c r="AY596">
        <f t="shared" si="59"/>
        <v>0</v>
      </c>
      <c r="AZ596">
        <v>0</v>
      </c>
      <c r="BA596">
        <v>1</v>
      </c>
      <c r="BB596">
        <v>2019</v>
      </c>
      <c r="BC596">
        <v>6</v>
      </c>
      <c r="BD596">
        <v>2019</v>
      </c>
      <c r="BE596">
        <v>1</v>
      </c>
      <c r="BF596">
        <v>2019</v>
      </c>
    </row>
    <row r="597" spans="1:58" x14ac:dyDescent="0.2">
      <c r="A597" s="7">
        <v>9</v>
      </c>
      <c r="B597" s="7">
        <v>23</v>
      </c>
      <c r="C597" s="7">
        <v>3</v>
      </c>
      <c r="D597" s="7">
        <v>5</v>
      </c>
      <c r="E597" s="7">
        <f t="shared" si="54"/>
        <v>40</v>
      </c>
      <c r="F597" s="11" t="s">
        <v>36</v>
      </c>
      <c r="G597">
        <v>6</v>
      </c>
      <c r="H597">
        <v>10</v>
      </c>
      <c r="I597">
        <v>0</v>
      </c>
      <c r="J597">
        <v>0</v>
      </c>
      <c r="K597">
        <f t="shared" si="55"/>
        <v>16</v>
      </c>
      <c r="L597" t="s">
        <v>36</v>
      </c>
      <c r="M597">
        <v>16663.597196350001</v>
      </c>
      <c r="N597" s="7">
        <v>17</v>
      </c>
      <c r="O597" s="7">
        <v>40</v>
      </c>
      <c r="P597" s="7">
        <v>7</v>
      </c>
      <c r="Q597" s="7">
        <v>14</v>
      </c>
      <c r="R597" s="7">
        <f t="shared" si="56"/>
        <v>78</v>
      </c>
      <c r="S597" t="s">
        <v>36</v>
      </c>
      <c r="T597" s="7">
        <v>20</v>
      </c>
      <c r="U597" s="7">
        <v>40</v>
      </c>
      <c r="V597" s="7">
        <v>9</v>
      </c>
      <c r="W597" s="7">
        <v>30</v>
      </c>
      <c r="X597" s="7">
        <f t="shared" si="57"/>
        <v>99</v>
      </c>
      <c r="Y597" t="s">
        <v>36</v>
      </c>
      <c r="Z597">
        <v>67034.111631210006</v>
      </c>
      <c r="AA597" t="s">
        <v>978</v>
      </c>
      <c r="AB597">
        <v>45</v>
      </c>
      <c r="AC597">
        <v>214</v>
      </c>
      <c r="AD597" t="s">
        <v>244</v>
      </c>
      <c r="AE597" t="s">
        <v>75</v>
      </c>
      <c r="AF597">
        <v>163</v>
      </c>
      <c r="AG597" s="8">
        <v>296</v>
      </c>
      <c r="AH597">
        <v>21</v>
      </c>
      <c r="AI597">
        <v>59</v>
      </c>
      <c r="AJ597">
        <v>-24</v>
      </c>
      <c r="AK597">
        <v>7.0945945945945943E-2</v>
      </c>
      <c r="AL597">
        <v>1.2206002068101025</v>
      </c>
      <c r="AM597">
        <v>62</v>
      </c>
      <c r="AN597">
        <v>0</v>
      </c>
      <c r="AO597">
        <v>0.26923076923076922</v>
      </c>
      <c r="AP597">
        <v>0.52500000000000002</v>
      </c>
      <c r="AQ597">
        <v>0.125</v>
      </c>
      <c r="AR597">
        <v>0.22500000000000001</v>
      </c>
      <c r="AS597">
        <v>0.57499999999999996</v>
      </c>
      <c r="AT597">
        <v>7.4999999999999997E-2</v>
      </c>
      <c r="AU597">
        <v>83697.708827560011</v>
      </c>
      <c r="AV597">
        <v>6</v>
      </c>
      <c r="AW597">
        <f t="shared" si="58"/>
        <v>0</v>
      </c>
      <c r="AX597">
        <v>214</v>
      </c>
      <c r="AY597">
        <f t="shared" si="59"/>
        <v>1</v>
      </c>
      <c r="AZ597">
        <v>1.3128834355828221</v>
      </c>
      <c r="BA597">
        <v>1</v>
      </c>
      <c r="BB597">
        <v>2019</v>
      </c>
      <c r="BC597">
        <v>6</v>
      </c>
      <c r="BD597">
        <v>2019</v>
      </c>
      <c r="BE597">
        <v>1</v>
      </c>
      <c r="BF597">
        <v>2019</v>
      </c>
    </row>
    <row r="598" spans="1:58" x14ac:dyDescent="0.2">
      <c r="A598" s="7">
        <v>19</v>
      </c>
      <c r="B598" s="7">
        <v>35</v>
      </c>
      <c r="C598" s="7">
        <v>9</v>
      </c>
      <c r="D598" s="7">
        <v>27</v>
      </c>
      <c r="E598" s="7">
        <f t="shared" si="54"/>
        <v>90</v>
      </c>
      <c r="F598" s="11" t="s">
        <v>39</v>
      </c>
      <c r="G598">
        <v>19</v>
      </c>
      <c r="H598">
        <v>35</v>
      </c>
      <c r="I598">
        <v>9</v>
      </c>
      <c r="J598">
        <v>27</v>
      </c>
      <c r="K598">
        <f t="shared" si="55"/>
        <v>90</v>
      </c>
      <c r="L598" t="s">
        <v>39</v>
      </c>
      <c r="M598">
        <v>6906.4783231400006</v>
      </c>
      <c r="N598" s="7">
        <v>20</v>
      </c>
      <c r="O598" s="7">
        <v>35</v>
      </c>
      <c r="P598" s="7">
        <v>9</v>
      </c>
      <c r="Q598" s="7">
        <v>8</v>
      </c>
      <c r="R598" s="7">
        <f t="shared" si="56"/>
        <v>72</v>
      </c>
      <c r="S598" t="s">
        <v>36</v>
      </c>
      <c r="T598" s="7">
        <v>20</v>
      </c>
      <c r="U598" s="7">
        <v>35</v>
      </c>
      <c r="V598" s="7">
        <v>9</v>
      </c>
      <c r="W598" s="7">
        <v>30</v>
      </c>
      <c r="X598" s="7">
        <f t="shared" si="57"/>
        <v>94</v>
      </c>
      <c r="Y598" t="s">
        <v>36</v>
      </c>
      <c r="Z598">
        <v>50904.421139680002</v>
      </c>
      <c r="AA598" t="s">
        <v>979</v>
      </c>
      <c r="AB598">
        <v>51</v>
      </c>
      <c r="AC598">
        <v>0</v>
      </c>
      <c r="AD598" t="s">
        <v>131</v>
      </c>
      <c r="AE598" t="s">
        <v>41</v>
      </c>
      <c r="AF598" t="e">
        <v>#N/A</v>
      </c>
      <c r="AG598" s="8">
        <v>289</v>
      </c>
      <c r="AH598">
        <v>22</v>
      </c>
      <c r="AI598">
        <v>4</v>
      </c>
      <c r="AJ598">
        <v>0</v>
      </c>
      <c r="AK598">
        <v>7.6124567474048443E-2</v>
      </c>
      <c r="AL598">
        <v>1.2941176470588236</v>
      </c>
      <c r="AM598">
        <v>-18</v>
      </c>
      <c r="AN598">
        <v>1</v>
      </c>
      <c r="AO598">
        <v>0.30555555555555558</v>
      </c>
      <c r="AP598">
        <v>0.24444444444444444</v>
      </c>
      <c r="AQ598">
        <v>0.3</v>
      </c>
      <c r="AR598">
        <v>0.21111111111111111</v>
      </c>
      <c r="AS598">
        <v>0.3888888888888889</v>
      </c>
      <c r="AT598">
        <v>0.1</v>
      </c>
      <c r="AU598">
        <v>57810.899462820002</v>
      </c>
      <c r="AV598">
        <v>9</v>
      </c>
      <c r="AW598">
        <f t="shared" si="58"/>
        <v>0</v>
      </c>
      <c r="AX598">
        <v>0</v>
      </c>
      <c r="AY598">
        <f t="shared" si="59"/>
        <v>0</v>
      </c>
      <c r="AZ598" t="e">
        <v>#N/A</v>
      </c>
      <c r="BA598">
        <v>7</v>
      </c>
      <c r="BB598">
        <v>2019</v>
      </c>
      <c r="BC598">
        <v>7</v>
      </c>
      <c r="BD598">
        <v>2019</v>
      </c>
      <c r="BE598">
        <v>1</v>
      </c>
      <c r="BF598">
        <v>2019</v>
      </c>
    </row>
    <row r="599" spans="1:58" x14ac:dyDescent="0.2">
      <c r="A599" s="7">
        <v>7</v>
      </c>
      <c r="B599" s="7">
        <v>4</v>
      </c>
      <c r="C599" s="7">
        <v>0</v>
      </c>
      <c r="D599" s="7">
        <v>0</v>
      </c>
      <c r="E599" s="7">
        <f t="shared" si="54"/>
        <v>11</v>
      </c>
      <c r="F599" s="11" t="s">
        <v>36</v>
      </c>
      <c r="G599">
        <v>7</v>
      </c>
      <c r="H599">
        <v>4</v>
      </c>
      <c r="I599">
        <v>0</v>
      </c>
      <c r="J599">
        <v>0</v>
      </c>
      <c r="K599">
        <f t="shared" si="55"/>
        <v>11</v>
      </c>
      <c r="L599" t="s">
        <v>36</v>
      </c>
      <c r="M599">
        <v>29598.221897210002</v>
      </c>
      <c r="N599" s="7">
        <v>12</v>
      </c>
      <c r="O599" s="7">
        <v>14</v>
      </c>
      <c r="P599" s="7">
        <v>0</v>
      </c>
      <c r="Q599" s="7">
        <v>6</v>
      </c>
      <c r="R599" s="7">
        <f t="shared" si="56"/>
        <v>32</v>
      </c>
      <c r="S599" t="s">
        <v>36</v>
      </c>
      <c r="T599" s="7">
        <v>19</v>
      </c>
      <c r="U599" s="7">
        <v>33</v>
      </c>
      <c r="V599" s="7">
        <v>6</v>
      </c>
      <c r="W599" s="7">
        <v>7</v>
      </c>
      <c r="X599" s="7">
        <f t="shared" si="57"/>
        <v>65</v>
      </c>
      <c r="Y599" t="s">
        <v>36</v>
      </c>
      <c r="Z599">
        <v>128961.52677785</v>
      </c>
      <c r="AA599" t="s">
        <v>980</v>
      </c>
      <c r="AB599">
        <v>67</v>
      </c>
      <c r="AC599">
        <v>409</v>
      </c>
      <c r="AD599" t="s">
        <v>258</v>
      </c>
      <c r="AE599" t="s">
        <v>41</v>
      </c>
      <c r="AF599" t="e">
        <v>#N/A</v>
      </c>
      <c r="AG599" s="8">
        <v>344</v>
      </c>
      <c r="AH599">
        <v>33</v>
      </c>
      <c r="AI599">
        <v>54</v>
      </c>
      <c r="AJ599">
        <v>0</v>
      </c>
      <c r="AK599">
        <v>9.5930232558139539E-2</v>
      </c>
      <c r="AL599">
        <v>1.7792407578567337</v>
      </c>
      <c r="AM599">
        <v>21</v>
      </c>
      <c r="AN599">
        <v>0</v>
      </c>
      <c r="AO599">
        <v>1.03125</v>
      </c>
      <c r="AP599">
        <v>3</v>
      </c>
      <c r="AQ599">
        <v>0</v>
      </c>
      <c r="AR599">
        <v>0.63636363636363635</v>
      </c>
      <c r="AS599">
        <v>0.36363636363636365</v>
      </c>
      <c r="AT599">
        <v>0</v>
      </c>
      <c r="AU599">
        <v>158559.74867505999</v>
      </c>
      <c r="AV599">
        <v>14</v>
      </c>
      <c r="AW599">
        <f t="shared" si="58"/>
        <v>1</v>
      </c>
      <c r="AX599">
        <v>409</v>
      </c>
      <c r="AY599">
        <f t="shared" si="59"/>
        <v>1</v>
      </c>
      <c r="AZ599" t="e">
        <v>#N/A</v>
      </c>
      <c r="BA599">
        <v>1</v>
      </c>
      <c r="BB599">
        <v>2019</v>
      </c>
      <c r="BC599">
        <v>1</v>
      </c>
      <c r="BD599">
        <v>2019</v>
      </c>
      <c r="BE599">
        <v>1</v>
      </c>
      <c r="BF599">
        <v>2019</v>
      </c>
    </row>
    <row r="600" spans="1:58" x14ac:dyDescent="0.2">
      <c r="A600" s="7">
        <v>8</v>
      </c>
      <c r="B600" s="7">
        <v>25</v>
      </c>
      <c r="C600" s="7">
        <v>0</v>
      </c>
      <c r="D600" s="7">
        <v>4</v>
      </c>
      <c r="E600" s="7">
        <f t="shared" si="54"/>
        <v>37</v>
      </c>
      <c r="F600" s="11" t="s">
        <v>36</v>
      </c>
      <c r="G600">
        <v>8</v>
      </c>
      <c r="H600">
        <v>25</v>
      </c>
      <c r="I600">
        <v>0</v>
      </c>
      <c r="J600">
        <v>4</v>
      </c>
      <c r="K600">
        <f t="shared" si="55"/>
        <v>37</v>
      </c>
      <c r="L600" t="s">
        <v>36</v>
      </c>
      <c r="M600">
        <v>10387.72985596</v>
      </c>
      <c r="N600" s="7">
        <v>8</v>
      </c>
      <c r="O600" s="7">
        <v>25</v>
      </c>
      <c r="P600" s="7">
        <v>0</v>
      </c>
      <c r="Q600" s="7">
        <v>4</v>
      </c>
      <c r="R600" s="7">
        <f t="shared" si="56"/>
        <v>37</v>
      </c>
      <c r="S600" t="s">
        <v>39</v>
      </c>
      <c r="T600" s="7">
        <v>8</v>
      </c>
      <c r="U600" s="7">
        <v>25</v>
      </c>
      <c r="V600" s="7">
        <v>0</v>
      </c>
      <c r="W600" s="7">
        <v>4</v>
      </c>
      <c r="X600" s="7">
        <f t="shared" si="57"/>
        <v>37</v>
      </c>
      <c r="Y600" t="s">
        <v>53</v>
      </c>
      <c r="Z600">
        <v>98289.33214494001</v>
      </c>
      <c r="AA600" t="s">
        <v>981</v>
      </c>
      <c r="AB600">
        <v>74</v>
      </c>
      <c r="AC600">
        <v>0</v>
      </c>
      <c r="AD600" t="s">
        <v>131</v>
      </c>
      <c r="AE600" t="s">
        <v>41</v>
      </c>
      <c r="AF600" t="e">
        <v>#N/A</v>
      </c>
      <c r="AG600" s="8">
        <v>153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0.10810810810810811</v>
      </c>
      <c r="AR600">
        <v>0.21621621621621623</v>
      </c>
      <c r="AS600">
        <v>0.67567567567567566</v>
      </c>
      <c r="AT600">
        <v>0</v>
      </c>
      <c r="AU600">
        <v>108677.06200090001</v>
      </c>
      <c r="AV600">
        <v>9</v>
      </c>
      <c r="AW600">
        <f t="shared" si="58"/>
        <v>0</v>
      </c>
      <c r="AX600">
        <v>0</v>
      </c>
      <c r="AY600">
        <f t="shared" si="59"/>
        <v>0</v>
      </c>
      <c r="AZ600" t="e">
        <v>#N/A</v>
      </c>
      <c r="BA600">
        <v>8</v>
      </c>
      <c r="BB600">
        <v>2019</v>
      </c>
      <c r="BC600">
        <v>8</v>
      </c>
      <c r="BD600">
        <v>2019</v>
      </c>
      <c r="BE600">
        <v>1</v>
      </c>
      <c r="BF600">
        <v>2019</v>
      </c>
    </row>
    <row r="601" spans="1:58" x14ac:dyDescent="0.2">
      <c r="A601" s="7">
        <v>9</v>
      </c>
      <c r="B601" s="7">
        <v>10</v>
      </c>
      <c r="C601" s="7">
        <v>0</v>
      </c>
      <c r="D601" s="7">
        <v>0</v>
      </c>
      <c r="E601" s="7">
        <f t="shared" si="54"/>
        <v>19</v>
      </c>
      <c r="F601" s="11" t="s">
        <v>39</v>
      </c>
      <c r="G601">
        <v>6</v>
      </c>
      <c r="H601">
        <v>10</v>
      </c>
      <c r="I601">
        <v>0</v>
      </c>
      <c r="J601">
        <v>0</v>
      </c>
      <c r="K601">
        <f t="shared" si="55"/>
        <v>16</v>
      </c>
      <c r="L601" t="s">
        <v>39</v>
      </c>
      <c r="M601">
        <v>34903.943843770001</v>
      </c>
      <c r="N601" s="7">
        <v>9</v>
      </c>
      <c r="O601" s="7">
        <v>10</v>
      </c>
      <c r="P601" s="7">
        <v>0</v>
      </c>
      <c r="Q601" s="7">
        <v>0</v>
      </c>
      <c r="R601" s="7">
        <f t="shared" si="56"/>
        <v>19</v>
      </c>
      <c r="S601" t="s">
        <v>36</v>
      </c>
      <c r="T601" s="7">
        <v>7</v>
      </c>
      <c r="U601" s="7">
        <v>10</v>
      </c>
      <c r="V601" s="7">
        <v>0</v>
      </c>
      <c r="W601" s="7">
        <v>0</v>
      </c>
      <c r="X601" s="7">
        <f t="shared" si="57"/>
        <v>17</v>
      </c>
      <c r="Y601" t="s">
        <v>39</v>
      </c>
      <c r="Z601">
        <v>62061.830032060003</v>
      </c>
      <c r="AA601" t="s">
        <v>982</v>
      </c>
      <c r="AB601">
        <v>75</v>
      </c>
      <c r="AC601">
        <v>0</v>
      </c>
      <c r="AD601" t="s">
        <v>289</v>
      </c>
      <c r="AE601" t="s">
        <v>41</v>
      </c>
      <c r="AF601">
        <v>303</v>
      </c>
      <c r="AG601" s="8">
        <v>286</v>
      </c>
      <c r="AH601">
        <v>-2</v>
      </c>
      <c r="AI601">
        <v>-2</v>
      </c>
      <c r="AJ601">
        <v>-3</v>
      </c>
      <c r="AK601">
        <v>-6.993006993006993E-3</v>
      </c>
      <c r="AL601">
        <v>-0.11826247919781652</v>
      </c>
      <c r="AM601">
        <v>3</v>
      </c>
      <c r="AN601">
        <v>0</v>
      </c>
      <c r="AO601">
        <v>-0.10526315789473684</v>
      </c>
      <c r="AP601">
        <v>-0.10526315789473684</v>
      </c>
      <c r="AQ601">
        <v>0</v>
      </c>
      <c r="AR601">
        <v>0.47368421052631576</v>
      </c>
      <c r="AS601">
        <v>0.52631578947368418</v>
      </c>
      <c r="AT601">
        <v>0</v>
      </c>
      <c r="AU601">
        <v>96965.773875829997</v>
      </c>
      <c r="AV601">
        <v>8</v>
      </c>
      <c r="AW601">
        <f t="shared" si="58"/>
        <v>0</v>
      </c>
      <c r="AX601">
        <v>0</v>
      </c>
      <c r="AY601">
        <f t="shared" si="59"/>
        <v>0</v>
      </c>
      <c r="AZ601">
        <v>0</v>
      </c>
      <c r="BA601">
        <v>1</v>
      </c>
      <c r="BB601">
        <v>2019</v>
      </c>
      <c r="BC601">
        <v>11</v>
      </c>
      <c r="BD601">
        <v>2019</v>
      </c>
      <c r="BE601">
        <v>1</v>
      </c>
      <c r="BF601">
        <v>2019</v>
      </c>
    </row>
    <row r="602" spans="1:58" x14ac:dyDescent="0.2">
      <c r="A602" s="7">
        <v>4</v>
      </c>
      <c r="B602" s="7">
        <v>10</v>
      </c>
      <c r="C602" s="7">
        <v>0</v>
      </c>
      <c r="D602" s="7">
        <v>3</v>
      </c>
      <c r="E602" s="7">
        <f t="shared" si="54"/>
        <v>17</v>
      </c>
      <c r="F602" s="11" t="s">
        <v>36</v>
      </c>
      <c r="G602">
        <v>4</v>
      </c>
      <c r="H602">
        <v>10</v>
      </c>
      <c r="I602">
        <v>0</v>
      </c>
      <c r="J602">
        <v>3</v>
      </c>
      <c r="K602">
        <f t="shared" si="55"/>
        <v>17</v>
      </c>
      <c r="L602" t="s">
        <v>36</v>
      </c>
      <c r="M602">
        <v>12814.328873369999</v>
      </c>
      <c r="N602" s="7">
        <v>16</v>
      </c>
      <c r="O602" s="7">
        <v>28</v>
      </c>
      <c r="P602" s="7">
        <v>8</v>
      </c>
      <c r="Q602" s="7">
        <v>10</v>
      </c>
      <c r="R602" s="7">
        <f t="shared" si="56"/>
        <v>62</v>
      </c>
      <c r="S602" t="s">
        <v>36</v>
      </c>
      <c r="T602" s="7">
        <v>20</v>
      </c>
      <c r="U602" s="7">
        <v>40</v>
      </c>
      <c r="V602" s="7">
        <v>9</v>
      </c>
      <c r="W602" s="7">
        <v>30</v>
      </c>
      <c r="X602" s="7">
        <f t="shared" si="57"/>
        <v>99</v>
      </c>
      <c r="Y602" t="s">
        <v>36</v>
      </c>
      <c r="Z602">
        <v>51351.174841100001</v>
      </c>
      <c r="AA602" t="s">
        <v>983</v>
      </c>
      <c r="AB602">
        <v>59</v>
      </c>
      <c r="AC602">
        <v>0</v>
      </c>
      <c r="AD602" t="s">
        <v>254</v>
      </c>
      <c r="AE602" t="s">
        <v>41</v>
      </c>
      <c r="AF602" t="e">
        <v>#N/A</v>
      </c>
      <c r="AG602" s="8">
        <v>293</v>
      </c>
      <c r="AH602">
        <v>37</v>
      </c>
      <c r="AI602">
        <v>82</v>
      </c>
      <c r="AJ602">
        <v>0</v>
      </c>
      <c r="AK602">
        <v>0.12627986348122866</v>
      </c>
      <c r="AL602">
        <v>2.1615630799968479</v>
      </c>
      <c r="AM602">
        <v>45</v>
      </c>
      <c r="AN602">
        <v>0</v>
      </c>
      <c r="AO602">
        <v>0.59677419354838712</v>
      </c>
      <c r="AP602">
        <v>2.1764705882352939</v>
      </c>
      <c r="AQ602">
        <v>0.17647058823529413</v>
      </c>
      <c r="AR602">
        <v>0.23529411764705882</v>
      </c>
      <c r="AS602">
        <v>0.58823529411764708</v>
      </c>
      <c r="AT602">
        <v>0</v>
      </c>
      <c r="AU602">
        <v>64165.503714470004</v>
      </c>
      <c r="AV602">
        <v>4</v>
      </c>
      <c r="AW602">
        <f t="shared" si="58"/>
        <v>0</v>
      </c>
      <c r="AX602">
        <v>0</v>
      </c>
      <c r="AY602">
        <f t="shared" si="59"/>
        <v>0</v>
      </c>
      <c r="AZ602" t="e">
        <v>#N/A</v>
      </c>
      <c r="BA602">
        <v>9</v>
      </c>
      <c r="BB602">
        <v>2019</v>
      </c>
      <c r="BC602">
        <v>9</v>
      </c>
      <c r="BD602">
        <v>2019</v>
      </c>
      <c r="BE602">
        <v>1</v>
      </c>
      <c r="BF602">
        <v>2019</v>
      </c>
    </row>
    <row r="603" spans="1:58" x14ac:dyDescent="0.2">
      <c r="A603" s="7">
        <v>10</v>
      </c>
      <c r="B603" s="7">
        <v>9</v>
      </c>
      <c r="C603" s="7">
        <v>2</v>
      </c>
      <c r="D603" s="7">
        <v>0</v>
      </c>
      <c r="E603" s="7">
        <f t="shared" si="54"/>
        <v>21</v>
      </c>
      <c r="F603" s="11" t="s">
        <v>36</v>
      </c>
      <c r="G603">
        <v>0</v>
      </c>
      <c r="H603">
        <v>6</v>
      </c>
      <c r="I603">
        <v>0</v>
      </c>
      <c r="J603">
        <v>0</v>
      </c>
      <c r="K603">
        <f t="shared" si="55"/>
        <v>6</v>
      </c>
      <c r="L603" t="s">
        <v>36</v>
      </c>
      <c r="M603">
        <v>29193.544128059999</v>
      </c>
      <c r="N603" s="7">
        <v>10</v>
      </c>
      <c r="O603" s="7">
        <v>13</v>
      </c>
      <c r="P603" s="7">
        <v>2</v>
      </c>
      <c r="Q603" s="7">
        <v>2</v>
      </c>
      <c r="R603" s="7">
        <f t="shared" si="56"/>
        <v>27</v>
      </c>
      <c r="S603" t="s">
        <v>36</v>
      </c>
      <c r="T603" s="7">
        <v>18</v>
      </c>
      <c r="U603" s="7">
        <v>33</v>
      </c>
      <c r="V603" s="7">
        <v>6</v>
      </c>
      <c r="W603" s="7">
        <v>6</v>
      </c>
      <c r="X603" s="7">
        <f t="shared" si="57"/>
        <v>63</v>
      </c>
      <c r="Y603" t="e">
        <v>#N/A</v>
      </c>
      <c r="Z603">
        <v>131823.16393710999</v>
      </c>
      <c r="AA603" t="s">
        <v>984</v>
      </c>
      <c r="AB603">
        <v>45</v>
      </c>
      <c r="AC603">
        <v>383</v>
      </c>
      <c r="AD603" t="s">
        <v>258</v>
      </c>
      <c r="AE603" t="s">
        <v>75</v>
      </c>
      <c r="AF603">
        <v>43</v>
      </c>
      <c r="AG603" s="8">
        <v>389</v>
      </c>
      <c r="AH603">
        <v>36</v>
      </c>
      <c r="AI603">
        <v>42</v>
      </c>
      <c r="AJ603">
        <v>-15</v>
      </c>
      <c r="AK603">
        <v>9.2544987146529561E-2</v>
      </c>
      <c r="AL603">
        <v>1.8252724556282176</v>
      </c>
      <c r="AM603">
        <v>21</v>
      </c>
      <c r="AN603">
        <v>0</v>
      </c>
      <c r="AO603">
        <v>1.3333333333333333</v>
      </c>
      <c r="AP603">
        <v>1.7142857142857142</v>
      </c>
      <c r="AQ603">
        <v>0</v>
      </c>
      <c r="AR603">
        <v>0.47619047619047616</v>
      </c>
      <c r="AS603">
        <v>0.42857142857142855</v>
      </c>
      <c r="AT603">
        <v>9.5238095238095233E-2</v>
      </c>
      <c r="AU603">
        <v>161016.70806516998</v>
      </c>
      <c r="AV603">
        <v>18</v>
      </c>
      <c r="AW603">
        <f t="shared" si="58"/>
        <v>1</v>
      </c>
      <c r="AX603">
        <v>383</v>
      </c>
      <c r="AY603">
        <f t="shared" si="59"/>
        <v>1</v>
      </c>
      <c r="AZ603">
        <v>8.9069767441860463</v>
      </c>
      <c r="BA603">
        <v>7</v>
      </c>
      <c r="BB603">
        <v>2019</v>
      </c>
      <c r="BC603">
        <v>9</v>
      </c>
      <c r="BD603">
        <v>2019</v>
      </c>
      <c r="BE603">
        <v>1</v>
      </c>
      <c r="BF603">
        <v>2019</v>
      </c>
    </row>
    <row r="604" spans="1:58" x14ac:dyDescent="0.2">
      <c r="A604" s="7">
        <v>0</v>
      </c>
      <c r="B604" s="7">
        <v>30</v>
      </c>
      <c r="C604" s="7">
        <v>0</v>
      </c>
      <c r="D604" s="7">
        <v>3</v>
      </c>
      <c r="E604" s="7">
        <f t="shared" si="54"/>
        <v>33</v>
      </c>
      <c r="F604" s="11" t="s">
        <v>36</v>
      </c>
      <c r="G604">
        <v>0</v>
      </c>
      <c r="H604">
        <v>30</v>
      </c>
      <c r="I604">
        <v>0</v>
      </c>
      <c r="J604">
        <v>3</v>
      </c>
      <c r="K604">
        <f t="shared" si="55"/>
        <v>33</v>
      </c>
      <c r="L604" t="s">
        <v>36</v>
      </c>
      <c r="M604">
        <v>11471.987802559999</v>
      </c>
      <c r="N604" s="7">
        <v>0</v>
      </c>
      <c r="O604" s="7">
        <v>30</v>
      </c>
      <c r="P604" s="7">
        <v>1</v>
      </c>
      <c r="Q604" s="7">
        <v>3</v>
      </c>
      <c r="R604" s="7">
        <f t="shared" si="56"/>
        <v>34</v>
      </c>
      <c r="S604" t="s">
        <v>36</v>
      </c>
      <c r="T604" s="7">
        <v>0</v>
      </c>
      <c r="U604" s="7">
        <v>30</v>
      </c>
      <c r="V604" s="7">
        <v>1</v>
      </c>
      <c r="W604" s="7">
        <v>3</v>
      </c>
      <c r="X604" s="7">
        <f t="shared" si="57"/>
        <v>34</v>
      </c>
      <c r="Y604" t="s">
        <v>36</v>
      </c>
      <c r="Z604">
        <v>13203.09703615</v>
      </c>
      <c r="AA604" t="s">
        <v>985</v>
      </c>
      <c r="AB604">
        <v>70</v>
      </c>
      <c r="AC604">
        <v>0</v>
      </c>
      <c r="AD604" t="s">
        <v>244</v>
      </c>
      <c r="AE604" t="s">
        <v>75</v>
      </c>
      <c r="AF604" t="e">
        <v>#N/A</v>
      </c>
      <c r="AG604" s="8">
        <v>0</v>
      </c>
      <c r="AH604">
        <v>0</v>
      </c>
      <c r="AI604">
        <v>1</v>
      </c>
      <c r="AJ604">
        <v>0</v>
      </c>
      <c r="AK604" t="e">
        <v>#N/A</v>
      </c>
      <c r="AL604" t="e">
        <v>#N/A</v>
      </c>
      <c r="AM604">
        <v>1</v>
      </c>
      <c r="AN604">
        <v>0</v>
      </c>
      <c r="AO604">
        <v>0</v>
      </c>
      <c r="AP604">
        <v>0</v>
      </c>
      <c r="AQ604">
        <v>9.0909090909090912E-2</v>
      </c>
      <c r="AR604">
        <v>0</v>
      </c>
      <c r="AS604">
        <v>0.90909090909090906</v>
      </c>
      <c r="AT604">
        <v>0</v>
      </c>
      <c r="AU604">
        <v>24675.084838709998</v>
      </c>
      <c r="AV604">
        <v>4</v>
      </c>
      <c r="AW604">
        <f t="shared" si="58"/>
        <v>0</v>
      </c>
      <c r="AX604">
        <v>0</v>
      </c>
      <c r="AY604">
        <f t="shared" si="59"/>
        <v>0</v>
      </c>
      <c r="AZ604" t="e">
        <v>#N/A</v>
      </c>
      <c r="BA604">
        <v>5</v>
      </c>
      <c r="BB604">
        <v>2019</v>
      </c>
      <c r="BC604">
        <v>5</v>
      </c>
      <c r="BD604">
        <v>2019</v>
      </c>
      <c r="BE604">
        <v>8</v>
      </c>
      <c r="BF604">
        <v>2019</v>
      </c>
    </row>
    <row r="605" spans="1:58" x14ac:dyDescent="0.2">
      <c r="A605" s="7">
        <v>0</v>
      </c>
      <c r="B605" s="7">
        <v>0</v>
      </c>
      <c r="C605" s="7">
        <v>0</v>
      </c>
      <c r="D605" s="7">
        <v>0</v>
      </c>
      <c r="E605" s="7">
        <f t="shared" si="54"/>
        <v>0</v>
      </c>
      <c r="F605" s="11" t="e">
        <v>#N/A</v>
      </c>
      <c r="G605">
        <v>0</v>
      </c>
      <c r="H605">
        <v>0</v>
      </c>
      <c r="I605">
        <v>0</v>
      </c>
      <c r="J605">
        <v>0</v>
      </c>
      <c r="K605">
        <f t="shared" si="55"/>
        <v>0</v>
      </c>
      <c r="L605" t="e">
        <v>#N/A</v>
      </c>
      <c r="N605" s="7">
        <v>0</v>
      </c>
      <c r="O605" s="7">
        <v>18</v>
      </c>
      <c r="P605" s="7">
        <v>0</v>
      </c>
      <c r="Q605" s="7">
        <v>4</v>
      </c>
      <c r="R605" s="7">
        <f t="shared" si="56"/>
        <v>22</v>
      </c>
      <c r="S605" t="s">
        <v>36</v>
      </c>
      <c r="T605" s="7">
        <v>2</v>
      </c>
      <c r="U605" s="7">
        <v>18</v>
      </c>
      <c r="V605" s="7">
        <v>0</v>
      </c>
      <c r="W605" s="7">
        <v>4</v>
      </c>
      <c r="X605" s="7">
        <f t="shared" si="57"/>
        <v>24</v>
      </c>
      <c r="Y605" t="e">
        <v>#N/A</v>
      </c>
      <c r="Z605">
        <v>23923.93790764</v>
      </c>
      <c r="AA605" t="s">
        <v>290</v>
      </c>
      <c r="AB605">
        <v>40</v>
      </c>
      <c r="AC605">
        <v>0</v>
      </c>
      <c r="AD605" t="s">
        <v>99</v>
      </c>
      <c r="AE605" t="s">
        <v>41</v>
      </c>
      <c r="AF605" t="e">
        <v>#N/A</v>
      </c>
      <c r="AG605" s="8">
        <v>35</v>
      </c>
      <c r="AH605">
        <v>2</v>
      </c>
      <c r="AI605">
        <v>24</v>
      </c>
      <c r="AJ605">
        <v>0</v>
      </c>
      <c r="AK605">
        <v>5.7142857142857141E-2</v>
      </c>
      <c r="AL605">
        <v>0.33806170189140661</v>
      </c>
      <c r="AM605">
        <v>22</v>
      </c>
      <c r="AN605">
        <v>0</v>
      </c>
      <c r="AO605">
        <v>9.0909090909090912E-2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>
        <v>23923.93790764</v>
      </c>
      <c r="AV605">
        <v>4</v>
      </c>
      <c r="AW605">
        <f t="shared" si="58"/>
        <v>0</v>
      </c>
      <c r="AX605">
        <v>0</v>
      </c>
      <c r="AY605">
        <f t="shared" si="59"/>
        <v>0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>
        <v>1</v>
      </c>
      <c r="BF605">
        <v>2020</v>
      </c>
    </row>
    <row r="606" spans="1:58" x14ac:dyDescent="0.2">
      <c r="A606" s="7">
        <v>2</v>
      </c>
      <c r="B606" s="7">
        <v>6</v>
      </c>
      <c r="C606" s="7">
        <v>0</v>
      </c>
      <c r="D606" s="7">
        <v>0</v>
      </c>
      <c r="E606" s="7">
        <f t="shared" si="54"/>
        <v>8</v>
      </c>
      <c r="F606" s="11" t="s">
        <v>36</v>
      </c>
      <c r="G606">
        <v>3</v>
      </c>
      <c r="H606">
        <v>6</v>
      </c>
      <c r="I606">
        <v>0</v>
      </c>
      <c r="J606">
        <v>0</v>
      </c>
      <c r="K606">
        <f t="shared" si="55"/>
        <v>9</v>
      </c>
      <c r="L606" t="s">
        <v>36</v>
      </c>
      <c r="M606">
        <v>47961.506700099999</v>
      </c>
      <c r="N606" s="7">
        <v>9</v>
      </c>
      <c r="O606" s="7">
        <v>22</v>
      </c>
      <c r="P606" s="7">
        <v>4</v>
      </c>
      <c r="Q606" s="7">
        <v>5</v>
      </c>
      <c r="R606" s="7">
        <f t="shared" si="56"/>
        <v>40</v>
      </c>
      <c r="S606" t="s">
        <v>36</v>
      </c>
      <c r="T606" s="7">
        <v>16</v>
      </c>
      <c r="U606" s="7">
        <v>35</v>
      </c>
      <c r="V606" s="7">
        <v>8</v>
      </c>
      <c r="W606" s="7">
        <v>6</v>
      </c>
      <c r="X606" s="7">
        <f t="shared" si="57"/>
        <v>65</v>
      </c>
      <c r="Y606" t="e">
        <v>#N/A</v>
      </c>
      <c r="Z606">
        <v>173226.08995395</v>
      </c>
      <c r="AA606" t="s">
        <v>986</v>
      </c>
      <c r="AB606">
        <v>62</v>
      </c>
      <c r="AC606">
        <v>549</v>
      </c>
      <c r="AD606" t="s">
        <v>119</v>
      </c>
      <c r="AE606" t="s">
        <v>41</v>
      </c>
      <c r="AF606">
        <v>191</v>
      </c>
      <c r="AG606" s="8">
        <v>694</v>
      </c>
      <c r="AH606">
        <v>25</v>
      </c>
      <c r="AI606">
        <v>57</v>
      </c>
      <c r="AJ606">
        <v>1</v>
      </c>
      <c r="AK606">
        <v>3.6023054755043228E-2</v>
      </c>
      <c r="AL606">
        <v>0.94898702250140421</v>
      </c>
      <c r="AM606">
        <v>31</v>
      </c>
      <c r="AN606">
        <v>0</v>
      </c>
      <c r="AO606">
        <v>0.625</v>
      </c>
      <c r="AP606">
        <v>3.125</v>
      </c>
      <c r="AQ606">
        <v>0</v>
      </c>
      <c r="AR606">
        <v>0.25</v>
      </c>
      <c r="AS606">
        <v>0.75</v>
      </c>
      <c r="AT606">
        <v>0</v>
      </c>
      <c r="AU606">
        <v>221187.59665404999</v>
      </c>
      <c r="AV606">
        <v>26</v>
      </c>
      <c r="AW606">
        <f t="shared" si="58"/>
        <v>1</v>
      </c>
      <c r="AX606">
        <v>549</v>
      </c>
      <c r="AY606">
        <f t="shared" si="59"/>
        <v>1</v>
      </c>
      <c r="AZ606">
        <v>2.8743455497382198</v>
      </c>
      <c r="BA606">
        <v>1</v>
      </c>
      <c r="BB606">
        <v>2019</v>
      </c>
      <c r="BC606">
        <v>7</v>
      </c>
      <c r="BD606">
        <v>2019</v>
      </c>
      <c r="BE606">
        <v>1</v>
      </c>
      <c r="BF606">
        <v>2019</v>
      </c>
    </row>
    <row r="607" spans="1:58" x14ac:dyDescent="0.2">
      <c r="A607" s="7">
        <v>1</v>
      </c>
      <c r="B607" s="7">
        <v>10</v>
      </c>
      <c r="C607" s="7">
        <v>0</v>
      </c>
      <c r="D607" s="7">
        <v>0</v>
      </c>
      <c r="E607" s="7">
        <f t="shared" si="54"/>
        <v>11</v>
      </c>
      <c r="F607" s="11" t="s">
        <v>39</v>
      </c>
      <c r="G607">
        <v>3</v>
      </c>
      <c r="H607">
        <v>13</v>
      </c>
      <c r="I607">
        <v>0</v>
      </c>
      <c r="J607">
        <v>0</v>
      </c>
      <c r="K607">
        <f t="shared" si="55"/>
        <v>16</v>
      </c>
      <c r="L607" t="s">
        <v>39</v>
      </c>
      <c r="M607">
        <v>34781.135454160001</v>
      </c>
      <c r="N607" s="7">
        <v>3</v>
      </c>
      <c r="O607" s="7">
        <v>16</v>
      </c>
      <c r="P607" s="7">
        <v>0</v>
      </c>
      <c r="Q607" s="7">
        <v>0</v>
      </c>
      <c r="R607" s="7">
        <f t="shared" si="56"/>
        <v>19</v>
      </c>
      <c r="S607" t="s">
        <v>36</v>
      </c>
      <c r="T607" s="7">
        <v>5</v>
      </c>
      <c r="U607" s="7">
        <v>18</v>
      </c>
      <c r="V607" s="7">
        <v>5</v>
      </c>
      <c r="W607" s="7">
        <v>5</v>
      </c>
      <c r="X607" s="7">
        <f t="shared" si="57"/>
        <v>33</v>
      </c>
      <c r="Y607" t="e">
        <v>#N/A</v>
      </c>
      <c r="Z607">
        <v>204925.54918584999</v>
      </c>
      <c r="AA607" t="s">
        <v>987</v>
      </c>
      <c r="AB607">
        <v>33</v>
      </c>
      <c r="AC607">
        <v>524</v>
      </c>
      <c r="AD607" t="s">
        <v>248</v>
      </c>
      <c r="AE607" t="s">
        <v>41</v>
      </c>
      <c r="AF607">
        <v>22</v>
      </c>
      <c r="AG607" s="8">
        <v>463</v>
      </c>
      <c r="AH607">
        <v>14</v>
      </c>
      <c r="AI607">
        <v>22</v>
      </c>
      <c r="AJ607">
        <v>5</v>
      </c>
      <c r="AK607">
        <v>3.0237580993520519E-2</v>
      </c>
      <c r="AL607">
        <v>0.65063517727624232</v>
      </c>
      <c r="AM607">
        <v>3</v>
      </c>
      <c r="AN607">
        <v>0</v>
      </c>
      <c r="AO607">
        <v>0.73684210526315785</v>
      </c>
      <c r="AP607">
        <v>1.2727272727272727</v>
      </c>
      <c r="AQ607">
        <v>0</v>
      </c>
      <c r="AR607">
        <v>9.0909090909090912E-2</v>
      </c>
      <c r="AS607">
        <v>0.90909090909090906</v>
      </c>
      <c r="AT607">
        <v>0</v>
      </c>
      <c r="AU607">
        <v>239706.68464001</v>
      </c>
      <c r="AV607">
        <v>15</v>
      </c>
      <c r="AW607">
        <f t="shared" si="58"/>
        <v>1</v>
      </c>
      <c r="AX607">
        <v>524</v>
      </c>
      <c r="AY607">
        <f t="shared" si="59"/>
        <v>1</v>
      </c>
      <c r="AZ607">
        <v>23.818181818181817</v>
      </c>
      <c r="BA607">
        <v>7</v>
      </c>
      <c r="BB607">
        <v>2019</v>
      </c>
      <c r="BC607">
        <v>8</v>
      </c>
      <c r="BD607">
        <v>2019</v>
      </c>
      <c r="BE607">
        <v>1</v>
      </c>
      <c r="BF607">
        <v>2019</v>
      </c>
    </row>
    <row r="608" spans="1:58" x14ac:dyDescent="0.2">
      <c r="A608" s="7">
        <v>8</v>
      </c>
      <c r="B608" s="7">
        <v>10</v>
      </c>
      <c r="C608" s="7">
        <v>4</v>
      </c>
      <c r="D608" s="7">
        <v>6</v>
      </c>
      <c r="E608" s="7">
        <f t="shared" si="54"/>
        <v>28</v>
      </c>
      <c r="F608" s="11" t="s">
        <v>36</v>
      </c>
      <c r="G608">
        <v>8</v>
      </c>
      <c r="H608">
        <v>10</v>
      </c>
      <c r="I608">
        <v>0</v>
      </c>
      <c r="J608">
        <v>6</v>
      </c>
      <c r="K608">
        <f t="shared" si="55"/>
        <v>24</v>
      </c>
      <c r="L608" t="s">
        <v>36</v>
      </c>
      <c r="M608">
        <v>16616.77807606</v>
      </c>
      <c r="N608" s="7">
        <v>11</v>
      </c>
      <c r="O608" s="7">
        <v>10</v>
      </c>
      <c r="P608" s="7">
        <v>6</v>
      </c>
      <c r="Q608" s="7">
        <v>3</v>
      </c>
      <c r="R608" s="7">
        <f t="shared" si="56"/>
        <v>30</v>
      </c>
      <c r="S608" t="s">
        <v>36</v>
      </c>
      <c r="T608" s="7">
        <v>17</v>
      </c>
      <c r="U608" s="7">
        <v>35</v>
      </c>
      <c r="V608" s="7">
        <v>9</v>
      </c>
      <c r="W608" s="7">
        <v>16</v>
      </c>
      <c r="X608" s="7">
        <f t="shared" si="57"/>
        <v>77</v>
      </c>
      <c r="Y608" t="s">
        <v>39</v>
      </c>
      <c r="Z608">
        <v>95658.970240020004</v>
      </c>
      <c r="AA608" t="s">
        <v>988</v>
      </c>
      <c r="AB608">
        <v>74</v>
      </c>
      <c r="AC608">
        <v>0</v>
      </c>
      <c r="AD608" t="s">
        <v>174</v>
      </c>
      <c r="AE608" t="s">
        <v>41</v>
      </c>
      <c r="AF608">
        <v>200</v>
      </c>
      <c r="AG608" s="8">
        <v>342</v>
      </c>
      <c r="AH608">
        <v>47</v>
      </c>
      <c r="AI608">
        <v>49</v>
      </c>
      <c r="AJ608">
        <v>-4</v>
      </c>
      <c r="AK608">
        <v>0.13742690058479531</v>
      </c>
      <c r="AL608">
        <v>2.5414689310486129</v>
      </c>
      <c r="AM608">
        <v>6</v>
      </c>
      <c r="AN608">
        <v>0</v>
      </c>
      <c r="AO608">
        <v>1.5666666666666667</v>
      </c>
      <c r="AP608">
        <v>1.6785714285714286</v>
      </c>
      <c r="AQ608">
        <v>0.21428571428571427</v>
      </c>
      <c r="AR608">
        <v>0.2857142857142857</v>
      </c>
      <c r="AS608">
        <v>0.35714285714285715</v>
      </c>
      <c r="AT608">
        <v>0.14285714285714285</v>
      </c>
      <c r="AU608">
        <v>112275.74831608</v>
      </c>
      <c r="AV608">
        <v>4</v>
      </c>
      <c r="AW608">
        <f t="shared" si="58"/>
        <v>0</v>
      </c>
      <c r="AX608">
        <v>0</v>
      </c>
      <c r="AY608">
        <f t="shared" si="59"/>
        <v>0</v>
      </c>
      <c r="AZ608">
        <v>0</v>
      </c>
      <c r="BA608">
        <v>1</v>
      </c>
      <c r="BB608">
        <v>2019</v>
      </c>
      <c r="BC608">
        <v>7</v>
      </c>
      <c r="BD608">
        <v>2019</v>
      </c>
      <c r="BE608">
        <v>1</v>
      </c>
      <c r="BF608">
        <v>2019</v>
      </c>
    </row>
    <row r="609" spans="1:58" x14ac:dyDescent="0.2">
      <c r="A609" s="7">
        <v>9</v>
      </c>
      <c r="B609" s="7">
        <v>15</v>
      </c>
      <c r="C609" s="7">
        <v>0</v>
      </c>
      <c r="D609" s="7">
        <v>0</v>
      </c>
      <c r="E609" s="7">
        <f t="shared" si="54"/>
        <v>24</v>
      </c>
      <c r="F609" s="11" t="s">
        <v>36</v>
      </c>
      <c r="G609">
        <v>9</v>
      </c>
      <c r="H609">
        <v>15</v>
      </c>
      <c r="I609">
        <v>0</v>
      </c>
      <c r="J609">
        <v>0</v>
      </c>
      <c r="K609">
        <f t="shared" si="55"/>
        <v>24</v>
      </c>
      <c r="L609" t="s">
        <v>36</v>
      </c>
      <c r="M609">
        <v>27445.087531509998</v>
      </c>
      <c r="N609" s="7">
        <v>7</v>
      </c>
      <c r="O609" s="7">
        <v>15</v>
      </c>
      <c r="P609" s="7">
        <v>0</v>
      </c>
      <c r="Q609" s="7">
        <v>2</v>
      </c>
      <c r="R609" s="7">
        <f t="shared" si="56"/>
        <v>24</v>
      </c>
      <c r="S609" t="s">
        <v>42</v>
      </c>
      <c r="T609" s="7">
        <v>10</v>
      </c>
      <c r="U609" s="7">
        <v>10</v>
      </c>
      <c r="V609" s="7">
        <v>2</v>
      </c>
      <c r="W609" s="7">
        <v>2</v>
      </c>
      <c r="X609" s="7">
        <f t="shared" si="57"/>
        <v>24</v>
      </c>
      <c r="Y609" t="e">
        <v>#N/A</v>
      </c>
      <c r="Z609">
        <v>127879.52878199</v>
      </c>
      <c r="AA609" t="s">
        <v>989</v>
      </c>
      <c r="AB609">
        <v>55</v>
      </c>
      <c r="AC609">
        <v>0</v>
      </c>
      <c r="AD609" t="s">
        <v>131</v>
      </c>
      <c r="AE609" t="s">
        <v>41</v>
      </c>
      <c r="AF609" t="e">
        <v>#N/A</v>
      </c>
      <c r="AG609" s="8">
        <v>444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0.375</v>
      </c>
      <c r="AS609">
        <v>0.625</v>
      </c>
      <c r="AT609">
        <v>0</v>
      </c>
      <c r="AU609">
        <v>155324.61631349998</v>
      </c>
      <c r="AV609">
        <v>15</v>
      </c>
      <c r="AW609">
        <f t="shared" si="58"/>
        <v>1</v>
      </c>
      <c r="AX609">
        <v>0</v>
      </c>
      <c r="AY609">
        <f t="shared" si="59"/>
        <v>0</v>
      </c>
      <c r="AZ609" t="e">
        <v>#N/A</v>
      </c>
      <c r="BA609">
        <v>4</v>
      </c>
      <c r="BB609">
        <v>2019</v>
      </c>
      <c r="BC609">
        <v>4</v>
      </c>
      <c r="BD609">
        <v>2019</v>
      </c>
      <c r="BE609">
        <v>1</v>
      </c>
      <c r="BF609">
        <v>2019</v>
      </c>
    </row>
    <row r="610" spans="1:58" x14ac:dyDescent="0.2">
      <c r="A610" s="7">
        <v>0</v>
      </c>
      <c r="B610" s="7">
        <v>0</v>
      </c>
      <c r="C610" s="7">
        <v>0</v>
      </c>
      <c r="D610" s="7">
        <v>0</v>
      </c>
      <c r="E610" s="7">
        <f t="shared" si="54"/>
        <v>0</v>
      </c>
      <c r="F610" s="11" t="s">
        <v>62</v>
      </c>
      <c r="G610">
        <v>0</v>
      </c>
      <c r="H610">
        <v>0</v>
      </c>
      <c r="I610">
        <v>0</v>
      </c>
      <c r="J610">
        <v>0</v>
      </c>
      <c r="K610">
        <f t="shared" si="55"/>
        <v>0</v>
      </c>
      <c r="L610" t="s">
        <v>52</v>
      </c>
      <c r="M610">
        <v>107462.07398563001</v>
      </c>
      <c r="N610" s="7">
        <v>0</v>
      </c>
      <c r="O610" s="7">
        <v>0</v>
      </c>
      <c r="P610" s="7">
        <v>0</v>
      </c>
      <c r="Q610" s="7">
        <v>2</v>
      </c>
      <c r="R610" s="7">
        <f t="shared" si="56"/>
        <v>2</v>
      </c>
      <c r="S610" t="s">
        <v>102</v>
      </c>
      <c r="T610" s="7">
        <v>0</v>
      </c>
      <c r="U610" s="7">
        <v>0</v>
      </c>
      <c r="V610" s="7">
        <v>0</v>
      </c>
      <c r="W610" s="7">
        <v>0</v>
      </c>
      <c r="X610" s="7">
        <f t="shared" si="57"/>
        <v>0</v>
      </c>
      <c r="Y610" t="e">
        <v>#N/A</v>
      </c>
      <c r="Z610">
        <v>251429.17730297</v>
      </c>
      <c r="AA610" t="s">
        <v>990</v>
      </c>
      <c r="AB610">
        <v>75</v>
      </c>
      <c r="AC610">
        <v>1343</v>
      </c>
      <c r="AD610" t="s">
        <v>248</v>
      </c>
      <c r="AE610" t="s">
        <v>41</v>
      </c>
      <c r="AF610">
        <v>164</v>
      </c>
      <c r="AG610" s="8">
        <v>572</v>
      </c>
      <c r="AH610">
        <v>-2</v>
      </c>
      <c r="AI610">
        <v>0</v>
      </c>
      <c r="AJ610">
        <v>0</v>
      </c>
      <c r="AK610">
        <v>-3.4965034965034965E-3</v>
      </c>
      <c r="AL610">
        <v>-8.3624201000709081E-2</v>
      </c>
      <c r="AM610">
        <v>2</v>
      </c>
      <c r="AN610">
        <v>0</v>
      </c>
      <c r="AO610">
        <v>-1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>
        <v>358891.25128860003</v>
      </c>
      <c r="AV610">
        <v>24</v>
      </c>
      <c r="AW610">
        <f t="shared" si="58"/>
        <v>1</v>
      </c>
      <c r="AX610">
        <v>1343</v>
      </c>
      <c r="AY610">
        <f t="shared" si="59"/>
        <v>1</v>
      </c>
      <c r="AZ610">
        <v>8.1890243902439028</v>
      </c>
      <c r="BA610">
        <v>2</v>
      </c>
      <c r="BB610">
        <v>2019</v>
      </c>
      <c r="BC610">
        <v>7</v>
      </c>
      <c r="BD610">
        <v>2019</v>
      </c>
      <c r="BE610">
        <v>1</v>
      </c>
      <c r="BF610">
        <v>2019</v>
      </c>
    </row>
    <row r="611" spans="1:58" x14ac:dyDescent="0.2">
      <c r="A611" s="7">
        <v>0</v>
      </c>
      <c r="B611" s="7">
        <v>2</v>
      </c>
      <c r="C611" s="7">
        <v>0</v>
      </c>
      <c r="D611" s="7">
        <v>0</v>
      </c>
      <c r="E611" s="7">
        <f t="shared" si="54"/>
        <v>2</v>
      </c>
      <c r="F611" s="11" t="s">
        <v>65</v>
      </c>
      <c r="G611">
        <v>0</v>
      </c>
      <c r="H611">
        <v>2</v>
      </c>
      <c r="I611">
        <v>0</v>
      </c>
      <c r="J611">
        <v>0</v>
      </c>
      <c r="K611">
        <f t="shared" si="55"/>
        <v>2</v>
      </c>
      <c r="L611" t="s">
        <v>65</v>
      </c>
      <c r="M611">
        <v>20513.008124380001</v>
      </c>
      <c r="N611" s="7">
        <v>0</v>
      </c>
      <c r="O611" s="7">
        <v>0</v>
      </c>
      <c r="P611" s="7">
        <v>0</v>
      </c>
      <c r="Q611" s="7">
        <v>0</v>
      </c>
      <c r="R611" s="7">
        <f t="shared" si="56"/>
        <v>0</v>
      </c>
      <c r="S611" t="s">
        <v>65</v>
      </c>
      <c r="T611" s="7">
        <v>0</v>
      </c>
      <c r="U611" s="7">
        <v>0</v>
      </c>
      <c r="V611" s="7">
        <v>0</v>
      </c>
      <c r="W611" s="7">
        <v>0</v>
      </c>
      <c r="X611" s="7">
        <f t="shared" si="57"/>
        <v>0</v>
      </c>
      <c r="Y611" t="s">
        <v>65</v>
      </c>
      <c r="Z611">
        <v>100519.34370432</v>
      </c>
      <c r="AA611" t="s">
        <v>991</v>
      </c>
      <c r="AB611">
        <v>70</v>
      </c>
      <c r="AC611">
        <v>0</v>
      </c>
      <c r="AD611" t="s">
        <v>265</v>
      </c>
      <c r="AE611" t="s">
        <v>75</v>
      </c>
      <c r="AF611" t="e">
        <v>#N/A</v>
      </c>
      <c r="AG611" s="8">
        <v>1</v>
      </c>
      <c r="AH611">
        <v>0</v>
      </c>
      <c r="AI611">
        <v>-2</v>
      </c>
      <c r="AJ611">
        <v>0</v>
      </c>
      <c r="AK611">
        <v>0</v>
      </c>
      <c r="AL611">
        <v>0</v>
      </c>
      <c r="AM611">
        <v>-2</v>
      </c>
      <c r="AN611">
        <v>1</v>
      </c>
      <c r="AO611" t="e">
        <v>#N/A</v>
      </c>
      <c r="AP611">
        <v>0</v>
      </c>
      <c r="AQ611">
        <v>0</v>
      </c>
      <c r="AR611">
        <v>0</v>
      </c>
      <c r="AS611">
        <v>1</v>
      </c>
      <c r="AT611">
        <v>0</v>
      </c>
      <c r="AU611">
        <v>121032.35182869999</v>
      </c>
      <c r="AV611">
        <v>9</v>
      </c>
      <c r="AW611">
        <f t="shared" si="58"/>
        <v>0</v>
      </c>
      <c r="AX611">
        <v>0</v>
      </c>
      <c r="AY611">
        <f t="shared" si="59"/>
        <v>0</v>
      </c>
      <c r="AZ611" t="e">
        <v>#N/A</v>
      </c>
      <c r="BA611">
        <v>7</v>
      </c>
      <c r="BB611">
        <v>2019</v>
      </c>
      <c r="BC611">
        <v>7</v>
      </c>
      <c r="BD611">
        <v>2019</v>
      </c>
      <c r="BE611">
        <v>1</v>
      </c>
      <c r="BF611">
        <v>2019</v>
      </c>
    </row>
    <row r="612" spans="1:58" x14ac:dyDescent="0.2">
      <c r="A612" s="7">
        <v>3</v>
      </c>
      <c r="B612" s="7">
        <v>15</v>
      </c>
      <c r="C612" s="7">
        <v>0</v>
      </c>
      <c r="D612" s="7">
        <v>3</v>
      </c>
      <c r="E612" s="7">
        <f t="shared" si="54"/>
        <v>21</v>
      </c>
      <c r="F612" s="11" t="e">
        <v>#N/A</v>
      </c>
      <c r="G612">
        <v>0</v>
      </c>
      <c r="H612">
        <v>15</v>
      </c>
      <c r="I612">
        <v>0</v>
      </c>
      <c r="J612">
        <v>3</v>
      </c>
      <c r="K612">
        <f t="shared" si="55"/>
        <v>18</v>
      </c>
      <c r="L612" t="e">
        <v>#N/A</v>
      </c>
      <c r="M612">
        <v>33541.465395519997</v>
      </c>
      <c r="N612" s="7">
        <v>3</v>
      </c>
      <c r="O612" s="7">
        <v>15</v>
      </c>
      <c r="P612" s="7">
        <v>0</v>
      </c>
      <c r="Q612" s="7">
        <v>3</v>
      </c>
      <c r="R612" s="7">
        <f t="shared" si="56"/>
        <v>21</v>
      </c>
      <c r="S612" t="e">
        <v>#N/A</v>
      </c>
      <c r="T612" s="7">
        <v>3</v>
      </c>
      <c r="U612" s="7">
        <v>15</v>
      </c>
      <c r="V612" s="7">
        <v>0</v>
      </c>
      <c r="W612" s="7">
        <v>3</v>
      </c>
      <c r="X612" s="7">
        <f t="shared" si="57"/>
        <v>21</v>
      </c>
      <c r="Y612" t="e">
        <v>#N/A</v>
      </c>
      <c r="Z612">
        <v>9411.5662355200002</v>
      </c>
      <c r="AA612" t="s">
        <v>291</v>
      </c>
      <c r="AB612">
        <v>56</v>
      </c>
      <c r="AC612">
        <v>0</v>
      </c>
      <c r="AD612" t="s">
        <v>237</v>
      </c>
      <c r="AE612" t="s">
        <v>41</v>
      </c>
      <c r="AF612">
        <v>212</v>
      </c>
      <c r="AG612" s="8">
        <v>0</v>
      </c>
      <c r="AH612">
        <v>0</v>
      </c>
      <c r="AI612">
        <v>0</v>
      </c>
      <c r="AJ612">
        <v>-3</v>
      </c>
      <c r="AK612" t="e">
        <v>#N/A</v>
      </c>
      <c r="AL612" t="e">
        <v>#N/A</v>
      </c>
      <c r="AM612">
        <v>3</v>
      </c>
      <c r="AN612">
        <v>0</v>
      </c>
      <c r="AO612">
        <v>0</v>
      </c>
      <c r="AP612">
        <v>0</v>
      </c>
      <c r="AQ612">
        <v>0.14285714285714285</v>
      </c>
      <c r="AR612">
        <v>0.14285714285714285</v>
      </c>
      <c r="AS612">
        <v>0.7142857142857143</v>
      </c>
      <c r="AT612">
        <v>0</v>
      </c>
      <c r="AU612">
        <v>42953.031631039994</v>
      </c>
      <c r="AV612">
        <v>10</v>
      </c>
      <c r="AW612">
        <f t="shared" si="58"/>
        <v>1</v>
      </c>
      <c r="AX612">
        <v>0</v>
      </c>
      <c r="AY612">
        <f t="shared" si="59"/>
        <v>0</v>
      </c>
      <c r="AZ612">
        <v>0</v>
      </c>
      <c r="BA612">
        <v>1</v>
      </c>
      <c r="BB612">
        <v>2020</v>
      </c>
      <c r="BC612">
        <v>8</v>
      </c>
      <c r="BD612">
        <v>2020</v>
      </c>
      <c r="BE612">
        <v>7</v>
      </c>
      <c r="BF612">
        <v>2020</v>
      </c>
    </row>
    <row r="613" spans="1:58" x14ac:dyDescent="0.2">
      <c r="A613" s="7">
        <v>20</v>
      </c>
      <c r="B613" s="7">
        <v>28</v>
      </c>
      <c r="C613" s="7">
        <v>9</v>
      </c>
      <c r="D613" s="7">
        <v>18</v>
      </c>
      <c r="E613" s="7">
        <f t="shared" si="54"/>
        <v>75</v>
      </c>
      <c r="F613" s="11" t="s">
        <v>36</v>
      </c>
      <c r="G613">
        <v>20</v>
      </c>
      <c r="H613">
        <v>28</v>
      </c>
      <c r="I613">
        <v>9</v>
      </c>
      <c r="J613">
        <v>18</v>
      </c>
      <c r="K613">
        <f t="shared" si="55"/>
        <v>75</v>
      </c>
      <c r="L613" t="s">
        <v>36</v>
      </c>
      <c r="M613">
        <v>10220.23721648</v>
      </c>
      <c r="N613" s="7">
        <v>20</v>
      </c>
      <c r="O613" s="7">
        <v>28</v>
      </c>
      <c r="P613" s="7">
        <v>10</v>
      </c>
      <c r="Q613" s="7">
        <v>29</v>
      </c>
      <c r="R613" s="7">
        <f t="shared" si="56"/>
        <v>87</v>
      </c>
      <c r="S613" t="s">
        <v>36</v>
      </c>
      <c r="T613" s="7">
        <v>20</v>
      </c>
      <c r="U613" s="7">
        <v>28</v>
      </c>
      <c r="V613" s="7">
        <v>10</v>
      </c>
      <c r="W613" s="7">
        <v>29</v>
      </c>
      <c r="X613" s="7">
        <f t="shared" si="57"/>
        <v>87</v>
      </c>
      <c r="Y613" t="s">
        <v>36</v>
      </c>
      <c r="Z613">
        <v>19193.45476597</v>
      </c>
      <c r="AA613" t="s">
        <v>992</v>
      </c>
      <c r="AB613">
        <v>26</v>
      </c>
      <c r="AC613">
        <v>0</v>
      </c>
      <c r="AD613" t="s">
        <v>131</v>
      </c>
      <c r="AE613" t="s">
        <v>41</v>
      </c>
      <c r="AF613">
        <v>109</v>
      </c>
      <c r="AG613" s="8">
        <v>0</v>
      </c>
      <c r="AH613">
        <v>0</v>
      </c>
      <c r="AI613">
        <v>12</v>
      </c>
      <c r="AJ613">
        <v>0</v>
      </c>
      <c r="AK613" t="e">
        <v>#N/A</v>
      </c>
      <c r="AL613" t="e">
        <v>#N/A</v>
      </c>
      <c r="AM613">
        <v>12</v>
      </c>
      <c r="AN613">
        <v>0</v>
      </c>
      <c r="AO613">
        <v>0</v>
      </c>
      <c r="AP613">
        <v>0</v>
      </c>
      <c r="AQ613">
        <v>0.24</v>
      </c>
      <c r="AR613">
        <v>0.26666666666666666</v>
      </c>
      <c r="AS613">
        <v>0.37333333333333335</v>
      </c>
      <c r="AT613">
        <v>0.12</v>
      </c>
      <c r="AU613">
        <v>29413.69198245</v>
      </c>
      <c r="AV613">
        <v>8</v>
      </c>
      <c r="AW613">
        <f t="shared" si="58"/>
        <v>0</v>
      </c>
      <c r="AX613">
        <v>0</v>
      </c>
      <c r="AY613">
        <f t="shared" si="59"/>
        <v>0</v>
      </c>
      <c r="AZ613">
        <v>0</v>
      </c>
      <c r="BA613">
        <v>8</v>
      </c>
      <c r="BB613">
        <v>2019</v>
      </c>
      <c r="BC613">
        <v>12</v>
      </c>
      <c r="BD613">
        <v>2019</v>
      </c>
      <c r="BE613">
        <v>2</v>
      </c>
      <c r="BF613">
        <v>2019</v>
      </c>
    </row>
    <row r="614" spans="1:58" x14ac:dyDescent="0.2">
      <c r="A614" s="7">
        <v>10</v>
      </c>
      <c r="B614" s="7">
        <v>10</v>
      </c>
      <c r="C614" s="7">
        <v>0</v>
      </c>
      <c r="D614" s="7">
        <v>4</v>
      </c>
      <c r="E614" s="7">
        <f t="shared" si="54"/>
        <v>24</v>
      </c>
      <c r="F614" s="11" t="s">
        <v>36</v>
      </c>
      <c r="G614">
        <v>10</v>
      </c>
      <c r="H614">
        <v>10</v>
      </c>
      <c r="I614">
        <v>0</v>
      </c>
      <c r="J614">
        <v>4</v>
      </c>
      <c r="K614">
        <f t="shared" si="55"/>
        <v>24</v>
      </c>
      <c r="L614" t="s">
        <v>36</v>
      </c>
      <c r="M614">
        <v>16122.566251</v>
      </c>
      <c r="N614" s="7">
        <v>14</v>
      </c>
      <c r="O614" s="7">
        <v>19</v>
      </c>
      <c r="P614" s="7">
        <v>3</v>
      </c>
      <c r="Q614" s="7">
        <v>6</v>
      </c>
      <c r="R614" s="7">
        <f t="shared" si="56"/>
        <v>42</v>
      </c>
      <c r="S614" t="s">
        <v>36</v>
      </c>
      <c r="T614" s="7">
        <v>19</v>
      </c>
      <c r="U614" s="7">
        <v>33</v>
      </c>
      <c r="V614" s="7">
        <v>10</v>
      </c>
      <c r="W614" s="7">
        <v>9</v>
      </c>
      <c r="X614" s="7">
        <f t="shared" si="57"/>
        <v>71</v>
      </c>
      <c r="Y614" t="s">
        <v>36</v>
      </c>
      <c r="Z614">
        <v>50995.099044160008</v>
      </c>
      <c r="AA614" t="s">
        <v>993</v>
      </c>
      <c r="AB614">
        <v>25</v>
      </c>
      <c r="AC614">
        <v>0</v>
      </c>
      <c r="AD614" t="s">
        <v>174</v>
      </c>
      <c r="AE614" t="s">
        <v>41</v>
      </c>
      <c r="AF614" t="e">
        <v>#N/A</v>
      </c>
      <c r="AG614" s="8">
        <v>320</v>
      </c>
      <c r="AH614">
        <v>29</v>
      </c>
      <c r="AI614">
        <v>47</v>
      </c>
      <c r="AJ614">
        <v>0</v>
      </c>
      <c r="AK614">
        <v>9.0624999999999997E-2</v>
      </c>
      <c r="AL614">
        <v>1.6211492836873473</v>
      </c>
      <c r="AM614">
        <v>18</v>
      </c>
      <c r="AN614">
        <v>0</v>
      </c>
      <c r="AO614">
        <v>0.69047619047619047</v>
      </c>
      <c r="AP614">
        <v>1.2083333333333333</v>
      </c>
      <c r="AQ614">
        <v>0.16666666666666666</v>
      </c>
      <c r="AR614">
        <v>0.41666666666666669</v>
      </c>
      <c r="AS614">
        <v>0.41666666666666669</v>
      </c>
      <c r="AT614">
        <v>0</v>
      </c>
      <c r="AU614">
        <v>67117.665295160012</v>
      </c>
      <c r="AV614">
        <v>7</v>
      </c>
      <c r="AW614">
        <f t="shared" si="58"/>
        <v>0</v>
      </c>
      <c r="AX614">
        <v>0</v>
      </c>
      <c r="AY614">
        <f t="shared" si="59"/>
        <v>0</v>
      </c>
      <c r="AZ614" t="e">
        <v>#N/A</v>
      </c>
      <c r="BA614">
        <v>8</v>
      </c>
      <c r="BB614">
        <v>2019</v>
      </c>
      <c r="BC614">
        <v>8</v>
      </c>
      <c r="BD614">
        <v>2019</v>
      </c>
      <c r="BE614">
        <v>1</v>
      </c>
      <c r="BF614">
        <v>2019</v>
      </c>
    </row>
    <row r="615" spans="1:58" x14ac:dyDescent="0.2">
      <c r="A615" s="7">
        <v>20</v>
      </c>
      <c r="B615" s="7">
        <v>40</v>
      </c>
      <c r="C615" s="7">
        <v>9</v>
      </c>
      <c r="D615" s="7">
        <v>26</v>
      </c>
      <c r="E615" s="7">
        <f t="shared" si="54"/>
        <v>95</v>
      </c>
      <c r="F615" s="11" t="s">
        <v>36</v>
      </c>
      <c r="G615">
        <v>20</v>
      </c>
      <c r="H615">
        <v>40</v>
      </c>
      <c r="I615">
        <v>9</v>
      </c>
      <c r="J615">
        <v>26</v>
      </c>
      <c r="K615">
        <f t="shared" si="55"/>
        <v>95</v>
      </c>
      <c r="L615" t="s">
        <v>36</v>
      </c>
      <c r="M615">
        <v>6764.5174227199986</v>
      </c>
      <c r="N615" s="7">
        <v>20</v>
      </c>
      <c r="O615" s="7">
        <v>40</v>
      </c>
      <c r="P615" s="7">
        <v>10</v>
      </c>
      <c r="Q615" s="7">
        <v>29</v>
      </c>
      <c r="R615" s="7">
        <f t="shared" si="56"/>
        <v>99</v>
      </c>
      <c r="S615" t="s">
        <v>36</v>
      </c>
      <c r="T615" s="7">
        <v>20</v>
      </c>
      <c r="U615" s="7">
        <v>40</v>
      </c>
      <c r="V615" s="7">
        <v>10</v>
      </c>
      <c r="W615" s="7">
        <v>29</v>
      </c>
      <c r="X615" s="7">
        <f t="shared" si="57"/>
        <v>99</v>
      </c>
      <c r="Y615" t="s">
        <v>36</v>
      </c>
      <c r="Z615">
        <v>21877.91608264</v>
      </c>
      <c r="AA615" t="s">
        <v>994</v>
      </c>
      <c r="AB615">
        <v>60</v>
      </c>
      <c r="AC615">
        <v>0</v>
      </c>
      <c r="AD615" t="s">
        <v>123</v>
      </c>
      <c r="AE615" t="s">
        <v>41</v>
      </c>
      <c r="AF615" t="e">
        <v>#N/A</v>
      </c>
      <c r="AG615" s="8">
        <v>27</v>
      </c>
      <c r="AH615">
        <v>0</v>
      </c>
      <c r="AI615">
        <v>4</v>
      </c>
      <c r="AJ615">
        <v>0</v>
      </c>
      <c r="AK615">
        <v>0</v>
      </c>
      <c r="AL615">
        <v>0</v>
      </c>
      <c r="AM615">
        <v>4</v>
      </c>
      <c r="AN615">
        <v>0</v>
      </c>
      <c r="AO615">
        <v>0</v>
      </c>
      <c r="AP615">
        <v>0</v>
      </c>
      <c r="AQ615">
        <v>0.27368421052631581</v>
      </c>
      <c r="AR615">
        <v>0.21052631578947367</v>
      </c>
      <c r="AS615">
        <v>0.42105263157894735</v>
      </c>
      <c r="AT615">
        <v>9.4736842105263161E-2</v>
      </c>
      <c r="AU615">
        <v>28642.433505360001</v>
      </c>
      <c r="AV615">
        <v>3</v>
      </c>
      <c r="AW615">
        <f t="shared" si="58"/>
        <v>0</v>
      </c>
      <c r="AX615">
        <v>0</v>
      </c>
      <c r="AY615">
        <f t="shared" si="59"/>
        <v>0</v>
      </c>
      <c r="AZ615" t="e">
        <v>#N/A</v>
      </c>
      <c r="BA615">
        <v>6</v>
      </c>
      <c r="BB615">
        <v>2019</v>
      </c>
      <c r="BC615">
        <v>6</v>
      </c>
      <c r="BD615">
        <v>2019</v>
      </c>
      <c r="BE615">
        <v>1</v>
      </c>
      <c r="BF615">
        <v>2020</v>
      </c>
    </row>
    <row r="616" spans="1:58" x14ac:dyDescent="0.2">
      <c r="A616" s="7">
        <v>20</v>
      </c>
      <c r="B616" s="7">
        <v>34</v>
      </c>
      <c r="C616" s="7">
        <v>9</v>
      </c>
      <c r="D616" s="7">
        <v>19</v>
      </c>
      <c r="E616" s="7">
        <f t="shared" si="54"/>
        <v>82</v>
      </c>
      <c r="F616" s="11" t="s">
        <v>36</v>
      </c>
      <c r="G616">
        <v>20</v>
      </c>
      <c r="H616">
        <v>34</v>
      </c>
      <c r="I616">
        <v>9</v>
      </c>
      <c r="J616">
        <v>19</v>
      </c>
      <c r="K616">
        <f t="shared" si="55"/>
        <v>82</v>
      </c>
      <c r="L616" t="s">
        <v>36</v>
      </c>
      <c r="M616">
        <v>9772.2491204299986</v>
      </c>
      <c r="N616" s="7">
        <v>20</v>
      </c>
      <c r="O616" s="7">
        <v>36</v>
      </c>
      <c r="P616" s="7">
        <v>9</v>
      </c>
      <c r="Q616" s="7">
        <v>30</v>
      </c>
      <c r="R616" s="7">
        <f t="shared" si="56"/>
        <v>95</v>
      </c>
      <c r="S616" t="s">
        <v>36</v>
      </c>
      <c r="T616" s="7">
        <v>20</v>
      </c>
      <c r="U616" s="7">
        <v>36</v>
      </c>
      <c r="V616" s="7">
        <v>9</v>
      </c>
      <c r="W616" s="7">
        <v>30</v>
      </c>
      <c r="X616" s="7">
        <f t="shared" si="57"/>
        <v>95</v>
      </c>
      <c r="Y616" t="s">
        <v>36</v>
      </c>
      <c r="Z616">
        <v>3711.48216</v>
      </c>
      <c r="AA616" t="s">
        <v>995</v>
      </c>
      <c r="AB616">
        <v>43</v>
      </c>
      <c r="AC616">
        <v>0</v>
      </c>
      <c r="AD616" t="s">
        <v>292</v>
      </c>
      <c r="AE616" t="s">
        <v>41</v>
      </c>
      <c r="AF616" t="e">
        <v>#N/A</v>
      </c>
      <c r="AG616" s="8">
        <v>230</v>
      </c>
      <c r="AH616">
        <v>0</v>
      </c>
      <c r="AI616">
        <v>13</v>
      </c>
      <c r="AJ616">
        <v>0</v>
      </c>
      <c r="AK616">
        <v>0</v>
      </c>
      <c r="AL616">
        <v>0</v>
      </c>
      <c r="AM616">
        <v>13</v>
      </c>
      <c r="AN616">
        <v>0</v>
      </c>
      <c r="AO616">
        <v>0</v>
      </c>
      <c r="AP616">
        <v>0</v>
      </c>
      <c r="AQ616">
        <v>0.23170731707317074</v>
      </c>
      <c r="AR616">
        <v>0.24390243902439024</v>
      </c>
      <c r="AS616">
        <v>0.41463414634146339</v>
      </c>
      <c r="AT616">
        <v>0.10975609756097561</v>
      </c>
      <c r="AU616">
        <v>13483.731280429998</v>
      </c>
      <c r="AV616">
        <v>9</v>
      </c>
      <c r="AW616">
        <f t="shared" si="58"/>
        <v>0</v>
      </c>
      <c r="AX616">
        <v>0</v>
      </c>
      <c r="AY616">
        <f t="shared" si="59"/>
        <v>0</v>
      </c>
      <c r="AZ616" t="e">
        <v>#N/A</v>
      </c>
      <c r="BA616">
        <v>8</v>
      </c>
      <c r="BB616">
        <v>2019</v>
      </c>
      <c r="BC616">
        <v>8</v>
      </c>
      <c r="BD616">
        <v>2019</v>
      </c>
      <c r="BE616">
        <v>1</v>
      </c>
      <c r="BF616">
        <v>2019</v>
      </c>
    </row>
    <row r="617" spans="1:58" x14ac:dyDescent="0.2">
      <c r="A617" s="7">
        <v>10</v>
      </c>
      <c r="B617" s="7">
        <v>40</v>
      </c>
      <c r="C617" s="7">
        <v>9</v>
      </c>
      <c r="D617" s="7">
        <v>11</v>
      </c>
      <c r="E617" s="7">
        <f t="shared" si="54"/>
        <v>70</v>
      </c>
      <c r="F617" s="11" t="s">
        <v>36</v>
      </c>
      <c r="G617">
        <v>10</v>
      </c>
      <c r="H617">
        <v>40</v>
      </c>
      <c r="I617">
        <v>9</v>
      </c>
      <c r="J617">
        <v>11</v>
      </c>
      <c r="K617">
        <f t="shared" si="55"/>
        <v>70</v>
      </c>
      <c r="L617" t="s">
        <v>36</v>
      </c>
      <c r="M617">
        <v>12035.918419789999</v>
      </c>
      <c r="N617" s="7">
        <v>9</v>
      </c>
      <c r="O617" s="7">
        <v>40</v>
      </c>
      <c r="P617" s="7">
        <v>9</v>
      </c>
      <c r="Q617" s="7">
        <v>24</v>
      </c>
      <c r="R617" s="7">
        <f t="shared" si="56"/>
        <v>82</v>
      </c>
      <c r="S617" t="s">
        <v>36</v>
      </c>
      <c r="T617" s="7">
        <v>20</v>
      </c>
      <c r="U617" s="7">
        <v>40</v>
      </c>
      <c r="V617" s="7">
        <v>10</v>
      </c>
      <c r="W617" s="7">
        <v>30</v>
      </c>
      <c r="X617" s="7">
        <f t="shared" si="57"/>
        <v>100</v>
      </c>
      <c r="Y617" t="s">
        <v>36</v>
      </c>
      <c r="Z617">
        <v>40884.833218979998</v>
      </c>
      <c r="AA617" t="s">
        <v>996</v>
      </c>
      <c r="AB617">
        <v>15</v>
      </c>
      <c r="AC617">
        <v>0</v>
      </c>
      <c r="AD617" t="s">
        <v>293</v>
      </c>
      <c r="AE617" t="s">
        <v>41</v>
      </c>
      <c r="AF617" t="e">
        <v>#N/A</v>
      </c>
      <c r="AG617" s="8">
        <v>183</v>
      </c>
      <c r="AH617">
        <v>18</v>
      </c>
      <c r="AI617">
        <v>30</v>
      </c>
      <c r="AJ617">
        <v>0</v>
      </c>
      <c r="AK617">
        <v>9.8360655737704916E-2</v>
      </c>
      <c r="AL617">
        <v>1.3305982877182312</v>
      </c>
      <c r="AM617">
        <v>12</v>
      </c>
      <c r="AN617">
        <v>0</v>
      </c>
      <c r="AO617">
        <v>0.21951219512195122</v>
      </c>
      <c r="AP617">
        <v>0.25714285714285712</v>
      </c>
      <c r="AQ617">
        <v>0.15714285714285714</v>
      </c>
      <c r="AR617">
        <v>0.14285714285714285</v>
      </c>
      <c r="AS617">
        <v>0.5714285714285714</v>
      </c>
      <c r="AT617">
        <v>0.12857142857142856</v>
      </c>
      <c r="AU617">
        <v>52920.751638770002</v>
      </c>
      <c r="AV617">
        <v>7</v>
      </c>
      <c r="AW617">
        <f t="shared" si="58"/>
        <v>0</v>
      </c>
      <c r="AX617">
        <v>0</v>
      </c>
      <c r="AY617">
        <f t="shared" si="59"/>
        <v>0</v>
      </c>
      <c r="AZ617" t="e">
        <v>#N/A</v>
      </c>
      <c r="BA617">
        <v>8</v>
      </c>
      <c r="BB617">
        <v>2019</v>
      </c>
      <c r="BC617">
        <v>8</v>
      </c>
      <c r="BD617">
        <v>2019</v>
      </c>
      <c r="BE617">
        <v>1</v>
      </c>
      <c r="BF617">
        <v>2019</v>
      </c>
    </row>
    <row r="618" spans="1:58" x14ac:dyDescent="0.2">
      <c r="A618" s="7">
        <v>0</v>
      </c>
      <c r="B618" s="7">
        <v>0</v>
      </c>
      <c r="C618" s="7">
        <v>0</v>
      </c>
      <c r="D618" s="7">
        <v>0</v>
      </c>
      <c r="E618" s="7">
        <f t="shared" si="54"/>
        <v>0</v>
      </c>
      <c r="F618" s="11" t="e">
        <v>#N/A</v>
      </c>
      <c r="G618">
        <v>0</v>
      </c>
      <c r="H618">
        <v>0</v>
      </c>
      <c r="I618">
        <v>0</v>
      </c>
      <c r="J618">
        <v>0</v>
      </c>
      <c r="K618">
        <f t="shared" si="55"/>
        <v>0</v>
      </c>
      <c r="L618" t="e">
        <v>#N/A</v>
      </c>
      <c r="N618" s="7">
        <v>13</v>
      </c>
      <c r="O618" s="7">
        <v>37</v>
      </c>
      <c r="P618" s="7">
        <v>6</v>
      </c>
      <c r="Q618" s="7">
        <v>0</v>
      </c>
      <c r="R618" s="7">
        <f t="shared" si="56"/>
        <v>56</v>
      </c>
      <c r="S618" t="e">
        <v>#N/A</v>
      </c>
      <c r="T618" s="7">
        <v>13</v>
      </c>
      <c r="U618" s="7">
        <v>37</v>
      </c>
      <c r="V618" s="7">
        <v>6</v>
      </c>
      <c r="W618" s="7">
        <v>0</v>
      </c>
      <c r="X618" s="7">
        <f t="shared" si="57"/>
        <v>56</v>
      </c>
      <c r="Y618" t="e">
        <v>#N/A</v>
      </c>
      <c r="Z618">
        <v>1578.9686400000001</v>
      </c>
      <c r="AA618" t="s">
        <v>996</v>
      </c>
      <c r="AB618">
        <v>15</v>
      </c>
      <c r="AC618">
        <v>0</v>
      </c>
      <c r="AD618" t="s">
        <v>244</v>
      </c>
      <c r="AE618" t="s">
        <v>41</v>
      </c>
      <c r="AF618" t="e">
        <v>#N/A</v>
      </c>
      <c r="AG618" s="8">
        <v>0</v>
      </c>
      <c r="AH618">
        <v>0</v>
      </c>
      <c r="AI618">
        <v>56</v>
      </c>
      <c r="AJ618">
        <v>0</v>
      </c>
      <c r="AK618" t="e">
        <v>#N/A</v>
      </c>
      <c r="AL618" t="e">
        <v>#N/A</v>
      </c>
      <c r="AM618">
        <v>56</v>
      </c>
      <c r="AN618">
        <v>0</v>
      </c>
      <c r="AO618">
        <v>0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>
        <v>1578.9686400000001</v>
      </c>
      <c r="AV618">
        <v>6</v>
      </c>
      <c r="AW618">
        <f t="shared" si="58"/>
        <v>0</v>
      </c>
      <c r="AX618">
        <v>0</v>
      </c>
      <c r="AY618">
        <f t="shared" si="59"/>
        <v>0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>
        <v>12</v>
      </c>
      <c r="BF618">
        <v>2019</v>
      </c>
    </row>
    <row r="619" spans="1:58" x14ac:dyDescent="0.2">
      <c r="A619" s="7">
        <v>2</v>
      </c>
      <c r="B619" s="7">
        <v>15</v>
      </c>
      <c r="C619" s="7">
        <v>0</v>
      </c>
      <c r="D619" s="7">
        <v>0</v>
      </c>
      <c r="E619" s="7">
        <f t="shared" si="54"/>
        <v>17</v>
      </c>
      <c r="F619" s="11" t="s">
        <v>50</v>
      </c>
      <c r="G619">
        <v>2</v>
      </c>
      <c r="H619">
        <v>15</v>
      </c>
      <c r="I619">
        <v>0</v>
      </c>
      <c r="J619">
        <v>0</v>
      </c>
      <c r="K619">
        <f t="shared" si="55"/>
        <v>17</v>
      </c>
      <c r="L619" t="s">
        <v>50</v>
      </c>
      <c r="M619">
        <v>16196.325047120001</v>
      </c>
      <c r="N619" s="7">
        <v>1</v>
      </c>
      <c r="O619" s="7">
        <v>15</v>
      </c>
      <c r="P619" s="7">
        <v>0</v>
      </c>
      <c r="Q619" s="7">
        <v>0</v>
      </c>
      <c r="R619" s="7">
        <f t="shared" si="56"/>
        <v>16</v>
      </c>
      <c r="S619" t="s">
        <v>50</v>
      </c>
      <c r="T619" s="7">
        <v>0</v>
      </c>
      <c r="U619" s="7">
        <v>8</v>
      </c>
      <c r="V619" s="7">
        <v>0</v>
      </c>
      <c r="W619" s="7">
        <v>0</v>
      </c>
      <c r="X619" s="7">
        <f t="shared" si="57"/>
        <v>8</v>
      </c>
      <c r="Y619" t="s">
        <v>62</v>
      </c>
      <c r="Z619">
        <v>50360.500926159999</v>
      </c>
      <c r="AA619" t="s">
        <v>997</v>
      </c>
      <c r="AB619">
        <v>73</v>
      </c>
      <c r="AC619">
        <v>0</v>
      </c>
      <c r="AD619" t="s">
        <v>254</v>
      </c>
      <c r="AE619" t="s">
        <v>75</v>
      </c>
      <c r="AF619" t="e">
        <v>#N/A</v>
      </c>
      <c r="AG619" s="8">
        <v>286</v>
      </c>
      <c r="AH619">
        <v>-8</v>
      </c>
      <c r="AI619">
        <v>-9</v>
      </c>
      <c r="AJ619">
        <v>0</v>
      </c>
      <c r="AK619">
        <v>-2.7972027972027972E-2</v>
      </c>
      <c r="AL619">
        <v>-0.47304991679126607</v>
      </c>
      <c r="AM619">
        <v>-1</v>
      </c>
      <c r="AN619">
        <v>1</v>
      </c>
      <c r="AO619">
        <v>-0.5</v>
      </c>
      <c r="AP619">
        <v>-0.47058823529411764</v>
      </c>
      <c r="AQ619">
        <v>0</v>
      </c>
      <c r="AR619">
        <v>0.11764705882352941</v>
      </c>
      <c r="AS619">
        <v>0.88235294117647056</v>
      </c>
      <c r="AT619">
        <v>0</v>
      </c>
      <c r="AU619">
        <v>66556.825973280007</v>
      </c>
      <c r="AV619">
        <v>8</v>
      </c>
      <c r="AW619">
        <f t="shared" si="58"/>
        <v>0</v>
      </c>
      <c r="AX619">
        <v>0</v>
      </c>
      <c r="AY619">
        <f t="shared" si="59"/>
        <v>0</v>
      </c>
      <c r="AZ619" t="e">
        <v>#N/A</v>
      </c>
      <c r="BA619">
        <v>8</v>
      </c>
      <c r="BB619">
        <v>2019</v>
      </c>
      <c r="BC619">
        <v>8</v>
      </c>
      <c r="BD619">
        <v>2019</v>
      </c>
      <c r="BE619">
        <v>1</v>
      </c>
      <c r="BF619">
        <v>2019</v>
      </c>
    </row>
    <row r="620" spans="1:58" x14ac:dyDescent="0.2">
      <c r="A620" s="7">
        <v>0</v>
      </c>
      <c r="B620" s="7">
        <v>0</v>
      </c>
      <c r="C620" s="7">
        <v>2</v>
      </c>
      <c r="D620" s="7">
        <v>0</v>
      </c>
      <c r="E620" s="7">
        <f t="shared" si="54"/>
        <v>2</v>
      </c>
      <c r="F620" s="11" t="s">
        <v>44</v>
      </c>
      <c r="G620">
        <v>5</v>
      </c>
      <c r="H620">
        <v>0</v>
      </c>
      <c r="I620">
        <v>2</v>
      </c>
      <c r="J620">
        <v>0</v>
      </c>
      <c r="K620">
        <f t="shared" si="55"/>
        <v>7</v>
      </c>
      <c r="L620" t="s">
        <v>80</v>
      </c>
      <c r="M620">
        <v>57929.639493590003</v>
      </c>
      <c r="N620" s="7">
        <v>0</v>
      </c>
      <c r="O620" s="7">
        <v>5</v>
      </c>
      <c r="P620" s="7">
        <v>3</v>
      </c>
      <c r="Q620" s="7">
        <v>0</v>
      </c>
      <c r="R620" s="7">
        <f t="shared" si="56"/>
        <v>8</v>
      </c>
      <c r="S620" t="s">
        <v>55</v>
      </c>
      <c r="T620" s="7">
        <v>0</v>
      </c>
      <c r="U620" s="7">
        <v>0</v>
      </c>
      <c r="V620" s="7">
        <v>0</v>
      </c>
      <c r="W620" s="7">
        <v>0</v>
      </c>
      <c r="X620" s="7">
        <f t="shared" si="57"/>
        <v>0</v>
      </c>
      <c r="Y620" t="e">
        <v>#N/A</v>
      </c>
      <c r="Z620">
        <v>208973.66868987001</v>
      </c>
      <c r="AA620" t="s">
        <v>998</v>
      </c>
      <c r="AB620">
        <v>23</v>
      </c>
      <c r="AC620">
        <v>796</v>
      </c>
      <c r="AD620" t="s">
        <v>46</v>
      </c>
      <c r="AE620" t="s">
        <v>41</v>
      </c>
      <c r="AF620">
        <v>223</v>
      </c>
      <c r="AG620" s="8">
        <v>439</v>
      </c>
      <c r="AH620">
        <v>-8</v>
      </c>
      <c r="AI620">
        <v>-2</v>
      </c>
      <c r="AJ620">
        <v>5</v>
      </c>
      <c r="AK620">
        <v>-1.8223234624145785E-2</v>
      </c>
      <c r="AL620">
        <v>-0.38181916792267812</v>
      </c>
      <c r="AM620">
        <v>1</v>
      </c>
      <c r="AN620">
        <v>0</v>
      </c>
      <c r="AO620">
        <v>-1</v>
      </c>
      <c r="AP620">
        <v>-4</v>
      </c>
      <c r="AQ620">
        <v>0</v>
      </c>
      <c r="AR620">
        <v>0</v>
      </c>
      <c r="AS620">
        <v>0</v>
      </c>
      <c r="AT620">
        <v>1</v>
      </c>
      <c r="AU620">
        <v>266903.30818346003</v>
      </c>
      <c r="AV620">
        <v>24</v>
      </c>
      <c r="AW620">
        <f t="shared" si="58"/>
        <v>1</v>
      </c>
      <c r="AX620">
        <v>796</v>
      </c>
      <c r="AY620">
        <f t="shared" si="59"/>
        <v>1</v>
      </c>
      <c r="AZ620">
        <v>3.5695067264573992</v>
      </c>
      <c r="BA620">
        <v>1</v>
      </c>
      <c r="BB620">
        <v>2019</v>
      </c>
      <c r="BC620">
        <v>8</v>
      </c>
      <c r="BD620">
        <v>2019</v>
      </c>
      <c r="BE620">
        <v>1</v>
      </c>
      <c r="BF620">
        <v>2019</v>
      </c>
    </row>
    <row r="621" spans="1:58" x14ac:dyDescent="0.2">
      <c r="A621" s="7">
        <v>0</v>
      </c>
      <c r="B621" s="7">
        <v>7</v>
      </c>
      <c r="C621" s="7">
        <v>0</v>
      </c>
      <c r="D621" s="7">
        <v>0</v>
      </c>
      <c r="E621" s="7">
        <f t="shared" si="54"/>
        <v>7</v>
      </c>
      <c r="F621" s="11" t="s">
        <v>66</v>
      </c>
      <c r="G621">
        <v>0</v>
      </c>
      <c r="H621">
        <v>0</v>
      </c>
      <c r="I621">
        <v>0</v>
      </c>
      <c r="J621">
        <v>0</v>
      </c>
      <c r="K621">
        <f t="shared" si="55"/>
        <v>0</v>
      </c>
      <c r="L621" t="s">
        <v>55</v>
      </c>
      <c r="M621">
        <v>58898.035076109991</v>
      </c>
      <c r="N621" s="7">
        <v>0</v>
      </c>
      <c r="O621" s="7">
        <v>7</v>
      </c>
      <c r="P621" s="7">
        <v>0</v>
      </c>
      <c r="Q621" s="7">
        <v>0</v>
      </c>
      <c r="R621" s="7">
        <f t="shared" si="56"/>
        <v>7</v>
      </c>
      <c r="S621" t="s">
        <v>42</v>
      </c>
      <c r="T621" s="7">
        <v>4</v>
      </c>
      <c r="U621" s="7">
        <v>35</v>
      </c>
      <c r="V621" s="7">
        <v>3</v>
      </c>
      <c r="W621" s="7">
        <v>3</v>
      </c>
      <c r="X621" s="7">
        <f t="shared" si="57"/>
        <v>45</v>
      </c>
      <c r="Y621" t="e">
        <v>#N/A</v>
      </c>
      <c r="Z621">
        <v>250595.88964320999</v>
      </c>
      <c r="AA621" t="s">
        <v>999</v>
      </c>
      <c r="AB621">
        <v>69</v>
      </c>
      <c r="AC621">
        <v>980</v>
      </c>
      <c r="AD621" t="s">
        <v>252</v>
      </c>
      <c r="AE621" t="s">
        <v>41</v>
      </c>
      <c r="AF621">
        <v>223</v>
      </c>
      <c r="AG621" s="8">
        <v>531</v>
      </c>
      <c r="AH621">
        <v>38</v>
      </c>
      <c r="AI621">
        <v>38</v>
      </c>
      <c r="AJ621">
        <v>-7</v>
      </c>
      <c r="AK621">
        <v>7.1563088512241052E-2</v>
      </c>
      <c r="AL621">
        <v>1.6490595390904355</v>
      </c>
      <c r="AM621">
        <v>7</v>
      </c>
      <c r="AN621">
        <v>0</v>
      </c>
      <c r="AO621">
        <v>5.4285714285714288</v>
      </c>
      <c r="AP621">
        <v>5.4285714285714288</v>
      </c>
      <c r="AQ621">
        <v>0</v>
      </c>
      <c r="AR621">
        <v>0</v>
      </c>
      <c r="AS621">
        <v>1</v>
      </c>
      <c r="AT621">
        <v>0</v>
      </c>
      <c r="AU621">
        <v>309493.92471931997</v>
      </c>
      <c r="AV621">
        <v>11</v>
      </c>
      <c r="AW621">
        <f t="shared" si="58"/>
        <v>1</v>
      </c>
      <c r="AX621">
        <v>980</v>
      </c>
      <c r="AY621">
        <f t="shared" si="59"/>
        <v>1</v>
      </c>
      <c r="AZ621">
        <v>4.3946188340807177</v>
      </c>
      <c r="BA621">
        <v>1</v>
      </c>
      <c r="BB621">
        <v>2019</v>
      </c>
      <c r="BC621">
        <v>8</v>
      </c>
      <c r="BD621">
        <v>2019</v>
      </c>
      <c r="BE621">
        <v>1</v>
      </c>
      <c r="BF621">
        <v>2019</v>
      </c>
    </row>
    <row r="622" spans="1:58" x14ac:dyDescent="0.2">
      <c r="A622" s="7">
        <v>11</v>
      </c>
      <c r="B622" s="7">
        <v>15</v>
      </c>
      <c r="C622" s="7">
        <v>3</v>
      </c>
      <c r="D622" s="7">
        <v>3</v>
      </c>
      <c r="E622" s="7">
        <f t="shared" si="54"/>
        <v>32</v>
      </c>
      <c r="F622" s="11" t="e">
        <v>#N/A</v>
      </c>
      <c r="G622">
        <v>11</v>
      </c>
      <c r="H622">
        <v>15</v>
      </c>
      <c r="I622">
        <v>2</v>
      </c>
      <c r="J622">
        <v>3</v>
      </c>
      <c r="K622">
        <f t="shared" si="55"/>
        <v>31</v>
      </c>
      <c r="L622" t="e">
        <v>#N/A</v>
      </c>
      <c r="M622">
        <v>17292.02429351</v>
      </c>
      <c r="N622" s="7">
        <v>10</v>
      </c>
      <c r="O622" s="7">
        <v>15</v>
      </c>
      <c r="P622" s="7">
        <v>0</v>
      </c>
      <c r="Q622" s="7">
        <v>3</v>
      </c>
      <c r="R622" s="7">
        <f t="shared" si="56"/>
        <v>28</v>
      </c>
      <c r="S622" t="e">
        <v>#N/A</v>
      </c>
      <c r="T622" s="7">
        <v>10</v>
      </c>
      <c r="U622" s="7">
        <v>15</v>
      </c>
      <c r="V622" s="7">
        <v>0</v>
      </c>
      <c r="W622" s="7">
        <v>3</v>
      </c>
      <c r="X622" s="7">
        <f t="shared" si="57"/>
        <v>28</v>
      </c>
      <c r="Y622" t="e">
        <v>#N/A</v>
      </c>
      <c r="Z622">
        <v>25507.227927849999</v>
      </c>
      <c r="AA622" t="s">
        <v>294</v>
      </c>
      <c r="AB622">
        <v>49</v>
      </c>
      <c r="AC622">
        <v>0</v>
      </c>
      <c r="AD622" t="s">
        <v>210</v>
      </c>
      <c r="AE622" t="s">
        <v>75</v>
      </c>
      <c r="AF622">
        <v>304</v>
      </c>
      <c r="AG622" s="8">
        <v>0</v>
      </c>
      <c r="AH622">
        <v>0</v>
      </c>
      <c r="AI622">
        <v>-4</v>
      </c>
      <c r="AJ622">
        <v>-1</v>
      </c>
      <c r="AK622" t="e">
        <v>#N/A</v>
      </c>
      <c r="AL622" t="e">
        <v>#N/A</v>
      </c>
      <c r="AM622">
        <v>-3</v>
      </c>
      <c r="AN622">
        <v>1</v>
      </c>
      <c r="AO622">
        <v>0</v>
      </c>
      <c r="AP622">
        <v>0</v>
      </c>
      <c r="AQ622">
        <v>9.375E-2</v>
      </c>
      <c r="AR622">
        <v>0.34375</v>
      </c>
      <c r="AS622">
        <v>0.46875</v>
      </c>
      <c r="AT622">
        <v>9.375E-2</v>
      </c>
      <c r="AU622">
        <v>42799.252221360002</v>
      </c>
      <c r="AV622">
        <v>12</v>
      </c>
      <c r="AW622">
        <f t="shared" si="58"/>
        <v>1</v>
      </c>
      <c r="AX622">
        <v>0</v>
      </c>
      <c r="AY622">
        <f t="shared" si="59"/>
        <v>0</v>
      </c>
      <c r="AZ622">
        <v>0</v>
      </c>
      <c r="BA622">
        <v>1</v>
      </c>
      <c r="BB622">
        <v>2020</v>
      </c>
      <c r="BC622">
        <v>11</v>
      </c>
      <c r="BD622">
        <v>2020</v>
      </c>
      <c r="BE622">
        <v>1</v>
      </c>
      <c r="BF622">
        <v>2020</v>
      </c>
    </row>
    <row r="623" spans="1:58" x14ac:dyDescent="0.2">
      <c r="A623" s="7">
        <v>0</v>
      </c>
      <c r="B623" s="7">
        <v>2</v>
      </c>
      <c r="C623" s="7">
        <v>0</v>
      </c>
      <c r="D623" s="7">
        <v>0</v>
      </c>
      <c r="E623" s="7">
        <f t="shared" si="54"/>
        <v>2</v>
      </c>
      <c r="F623" s="11" t="s">
        <v>36</v>
      </c>
      <c r="G623">
        <v>0</v>
      </c>
      <c r="H623">
        <v>0</v>
      </c>
      <c r="I623">
        <v>0</v>
      </c>
      <c r="J623">
        <v>0</v>
      </c>
      <c r="K623">
        <f t="shared" si="55"/>
        <v>0</v>
      </c>
      <c r="L623" t="s">
        <v>36</v>
      </c>
      <c r="M623">
        <v>46565.437978819988</v>
      </c>
      <c r="N623" s="7">
        <v>0</v>
      </c>
      <c r="O623" s="7">
        <v>9</v>
      </c>
      <c r="P623" s="7">
        <v>0</v>
      </c>
      <c r="Q623" s="7">
        <v>0</v>
      </c>
      <c r="R623" s="7">
        <f t="shared" si="56"/>
        <v>9</v>
      </c>
      <c r="S623" t="s">
        <v>42</v>
      </c>
      <c r="T623" s="7">
        <v>0</v>
      </c>
      <c r="U623" s="7">
        <v>17</v>
      </c>
      <c r="V623" s="7">
        <v>0</v>
      </c>
      <c r="W623" s="7">
        <v>2</v>
      </c>
      <c r="X623" s="7">
        <f t="shared" si="57"/>
        <v>19</v>
      </c>
      <c r="Y623" t="e">
        <v>#N/A</v>
      </c>
      <c r="Z623">
        <v>233065.67114791999</v>
      </c>
      <c r="AA623" t="s">
        <v>1000</v>
      </c>
      <c r="AB623">
        <v>50</v>
      </c>
      <c r="AC623">
        <v>622</v>
      </c>
      <c r="AD623" t="s">
        <v>295</v>
      </c>
      <c r="AE623" t="s">
        <v>41</v>
      </c>
      <c r="AF623">
        <v>230</v>
      </c>
      <c r="AG623" s="8">
        <v>541</v>
      </c>
      <c r="AH623">
        <v>10</v>
      </c>
      <c r="AI623">
        <v>17</v>
      </c>
      <c r="AJ623">
        <v>-2</v>
      </c>
      <c r="AK623">
        <v>1.8484288354898338E-2</v>
      </c>
      <c r="AL623">
        <v>0.42993358039234775</v>
      </c>
      <c r="AM623">
        <v>9</v>
      </c>
      <c r="AN623">
        <v>0</v>
      </c>
      <c r="AO623">
        <v>1.1111111111111112</v>
      </c>
      <c r="AP623">
        <v>5</v>
      </c>
      <c r="AQ623">
        <v>0</v>
      </c>
      <c r="AR623">
        <v>0</v>
      </c>
      <c r="AS623">
        <v>1</v>
      </c>
      <c r="AT623">
        <v>0</v>
      </c>
      <c r="AU623">
        <v>279631.10912673996</v>
      </c>
      <c r="AV623">
        <v>21</v>
      </c>
      <c r="AW623">
        <f t="shared" si="58"/>
        <v>1</v>
      </c>
      <c r="AX623">
        <v>622</v>
      </c>
      <c r="AY623">
        <f t="shared" si="59"/>
        <v>1</v>
      </c>
      <c r="AZ623">
        <v>2.7043478260869565</v>
      </c>
      <c r="BA623">
        <v>1</v>
      </c>
      <c r="BB623">
        <v>2019</v>
      </c>
      <c r="BC623">
        <v>8</v>
      </c>
      <c r="BD623">
        <v>2019</v>
      </c>
      <c r="BE623">
        <v>1</v>
      </c>
      <c r="BF623">
        <v>2019</v>
      </c>
    </row>
    <row r="624" spans="1:58" x14ac:dyDescent="0.2">
      <c r="A624" s="7">
        <v>0</v>
      </c>
      <c r="B624" s="7">
        <v>0</v>
      </c>
      <c r="C624" s="7">
        <v>0</v>
      </c>
      <c r="D624" s="7">
        <v>0</v>
      </c>
      <c r="E624" s="7">
        <f t="shared" si="54"/>
        <v>0</v>
      </c>
      <c r="F624" s="11" t="e">
        <v>#N/A</v>
      </c>
      <c r="G624">
        <v>0</v>
      </c>
      <c r="H624">
        <v>0</v>
      </c>
      <c r="I624">
        <v>0</v>
      </c>
      <c r="J624">
        <v>0</v>
      </c>
      <c r="K624">
        <f t="shared" si="55"/>
        <v>0</v>
      </c>
      <c r="L624" t="e">
        <v>#N/A</v>
      </c>
      <c r="N624" s="7">
        <v>8</v>
      </c>
      <c r="O624" s="7">
        <v>15</v>
      </c>
      <c r="P624" s="7">
        <v>4</v>
      </c>
      <c r="Q624" s="7">
        <v>1</v>
      </c>
      <c r="R624" s="7">
        <f t="shared" si="56"/>
        <v>28</v>
      </c>
      <c r="S624" t="s">
        <v>36</v>
      </c>
      <c r="T624" s="7">
        <v>8</v>
      </c>
      <c r="U624" s="7">
        <v>15</v>
      </c>
      <c r="V624" s="7">
        <v>0</v>
      </c>
      <c r="W624" s="7">
        <v>1</v>
      </c>
      <c r="X624" s="7">
        <f t="shared" si="57"/>
        <v>24</v>
      </c>
      <c r="Y624" t="e">
        <v>#N/A</v>
      </c>
      <c r="Z624">
        <v>44331.230363249997</v>
      </c>
      <c r="AA624" t="s">
        <v>1001</v>
      </c>
      <c r="AB624">
        <v>36</v>
      </c>
      <c r="AC624">
        <v>0</v>
      </c>
      <c r="AD624" t="s">
        <v>105</v>
      </c>
      <c r="AE624" t="s">
        <v>41</v>
      </c>
      <c r="AF624" t="e">
        <v>#N/A</v>
      </c>
      <c r="AG624" s="8">
        <v>70</v>
      </c>
      <c r="AH624">
        <v>-4</v>
      </c>
      <c r="AI624">
        <v>24</v>
      </c>
      <c r="AJ624">
        <v>0</v>
      </c>
      <c r="AK624">
        <v>-5.7142857142857141E-2</v>
      </c>
      <c r="AL624">
        <v>-0.47809144373375745</v>
      </c>
      <c r="AM624">
        <v>28</v>
      </c>
      <c r="AN624">
        <v>0</v>
      </c>
      <c r="AO624">
        <v>-0.14285714285714285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>
        <v>44331.230363249997</v>
      </c>
      <c r="AV624">
        <v>23</v>
      </c>
      <c r="AW624">
        <f t="shared" si="58"/>
        <v>1</v>
      </c>
      <c r="AX624">
        <v>0</v>
      </c>
      <c r="AY624">
        <f t="shared" si="59"/>
        <v>0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>
        <v>10</v>
      </c>
      <c r="BF624">
        <v>2019</v>
      </c>
    </row>
    <row r="625" spans="1:58" x14ac:dyDescent="0.2">
      <c r="A625" s="7">
        <v>8</v>
      </c>
      <c r="B625" s="7">
        <v>10</v>
      </c>
      <c r="C625" s="7">
        <v>0</v>
      </c>
      <c r="D625" s="7">
        <v>0</v>
      </c>
      <c r="E625" s="7">
        <f t="shared" si="54"/>
        <v>18</v>
      </c>
      <c r="F625" s="11" t="s">
        <v>54</v>
      </c>
      <c r="G625">
        <v>8</v>
      </c>
      <c r="H625">
        <v>10</v>
      </c>
      <c r="I625">
        <v>0</v>
      </c>
      <c r="J625">
        <v>0</v>
      </c>
      <c r="K625">
        <f t="shared" si="55"/>
        <v>18</v>
      </c>
      <c r="L625" t="s">
        <v>54</v>
      </c>
      <c r="M625">
        <v>19783.956802209999</v>
      </c>
      <c r="N625" s="7">
        <v>10</v>
      </c>
      <c r="O625" s="7">
        <v>15</v>
      </c>
      <c r="P625" s="7">
        <v>2</v>
      </c>
      <c r="Q625" s="7">
        <v>5</v>
      </c>
      <c r="R625" s="7">
        <f t="shared" si="56"/>
        <v>32</v>
      </c>
      <c r="S625" t="s">
        <v>54</v>
      </c>
      <c r="T625" s="7">
        <v>18</v>
      </c>
      <c r="U625" s="7">
        <v>35</v>
      </c>
      <c r="V625" s="7">
        <v>6</v>
      </c>
      <c r="W625" s="7">
        <v>5</v>
      </c>
      <c r="X625" s="7">
        <f t="shared" si="57"/>
        <v>64</v>
      </c>
      <c r="Y625" t="e">
        <v>#N/A</v>
      </c>
      <c r="Z625">
        <v>139727.34039326</v>
      </c>
      <c r="AA625" t="s">
        <v>1002</v>
      </c>
      <c r="AB625">
        <v>30</v>
      </c>
      <c r="AC625">
        <v>73</v>
      </c>
      <c r="AD625" t="s">
        <v>119</v>
      </c>
      <c r="AE625" t="s">
        <v>75</v>
      </c>
      <c r="AF625" t="e">
        <v>#N/A</v>
      </c>
      <c r="AG625" s="8">
        <v>602</v>
      </c>
      <c r="AH625">
        <v>32</v>
      </c>
      <c r="AI625">
        <v>46</v>
      </c>
      <c r="AJ625">
        <v>0</v>
      </c>
      <c r="AK625">
        <v>5.3156146179401995E-2</v>
      </c>
      <c r="AL625">
        <v>1.3042226335027558</v>
      </c>
      <c r="AM625">
        <v>14</v>
      </c>
      <c r="AN625">
        <v>0</v>
      </c>
      <c r="AO625">
        <v>1</v>
      </c>
      <c r="AP625">
        <v>1.7777777777777777</v>
      </c>
      <c r="AQ625">
        <v>0</v>
      </c>
      <c r="AR625">
        <v>0.44444444444444442</v>
      </c>
      <c r="AS625">
        <v>0.55555555555555558</v>
      </c>
      <c r="AT625">
        <v>0</v>
      </c>
      <c r="AU625">
        <v>159511.29719547002</v>
      </c>
      <c r="AV625">
        <v>15</v>
      </c>
      <c r="AW625">
        <f t="shared" si="58"/>
        <v>1</v>
      </c>
      <c r="AX625">
        <v>73</v>
      </c>
      <c r="AY625">
        <f t="shared" si="59"/>
        <v>1</v>
      </c>
      <c r="AZ625" t="e">
        <v>#N/A</v>
      </c>
      <c r="BA625">
        <v>8</v>
      </c>
      <c r="BB625">
        <v>2019</v>
      </c>
      <c r="BC625">
        <v>8</v>
      </c>
      <c r="BD625">
        <v>2019</v>
      </c>
      <c r="BE625">
        <v>1</v>
      </c>
      <c r="BF625">
        <v>2019</v>
      </c>
    </row>
    <row r="626" spans="1:58" x14ac:dyDescent="0.2">
      <c r="A626" s="7">
        <v>8</v>
      </c>
      <c r="B626" s="7">
        <v>13</v>
      </c>
      <c r="C626" s="7">
        <v>0</v>
      </c>
      <c r="D626" s="7">
        <v>0</v>
      </c>
      <c r="E626" s="7">
        <f t="shared" si="54"/>
        <v>21</v>
      </c>
      <c r="F626" s="11" t="s">
        <v>36</v>
      </c>
      <c r="G626">
        <v>8</v>
      </c>
      <c r="H626">
        <v>13</v>
      </c>
      <c r="I626">
        <v>0</v>
      </c>
      <c r="J626">
        <v>0</v>
      </c>
      <c r="K626">
        <f t="shared" si="55"/>
        <v>21</v>
      </c>
      <c r="L626" t="s">
        <v>36</v>
      </c>
      <c r="M626">
        <v>12034.17896069</v>
      </c>
      <c r="N626" s="7">
        <v>9</v>
      </c>
      <c r="O626" s="7">
        <v>21</v>
      </c>
      <c r="P626" s="7">
        <v>4</v>
      </c>
      <c r="Q626" s="7">
        <v>5</v>
      </c>
      <c r="R626" s="7">
        <f t="shared" si="56"/>
        <v>39</v>
      </c>
      <c r="S626" t="s">
        <v>36</v>
      </c>
      <c r="T626" s="7">
        <v>18</v>
      </c>
      <c r="U626" s="7">
        <v>33</v>
      </c>
      <c r="V626" s="7">
        <v>9</v>
      </c>
      <c r="W626" s="7">
        <v>24</v>
      </c>
      <c r="X626" s="7">
        <f t="shared" si="57"/>
        <v>84</v>
      </c>
      <c r="Y626" t="e">
        <v>#N/A</v>
      </c>
      <c r="Z626">
        <v>96597.909868130024</v>
      </c>
      <c r="AA626" t="s">
        <v>1003</v>
      </c>
      <c r="AB626">
        <v>41</v>
      </c>
      <c r="AC626">
        <v>0</v>
      </c>
      <c r="AD626" t="s">
        <v>174</v>
      </c>
      <c r="AE626" t="s">
        <v>41</v>
      </c>
      <c r="AF626" t="e">
        <v>#N/A</v>
      </c>
      <c r="AG626" s="8">
        <v>413</v>
      </c>
      <c r="AH626">
        <v>45</v>
      </c>
      <c r="AI626">
        <v>63</v>
      </c>
      <c r="AJ626">
        <v>0</v>
      </c>
      <c r="AK626">
        <v>0.10895883777239709</v>
      </c>
      <c r="AL626">
        <v>2.214305240873053</v>
      </c>
      <c r="AM626">
        <v>18</v>
      </c>
      <c r="AN626">
        <v>0</v>
      </c>
      <c r="AO626">
        <v>1.1538461538461537</v>
      </c>
      <c r="AP626">
        <v>2.1428571428571428</v>
      </c>
      <c r="AQ626">
        <v>0</v>
      </c>
      <c r="AR626">
        <v>0.38095238095238093</v>
      </c>
      <c r="AS626">
        <v>0.61904761904761907</v>
      </c>
      <c r="AT626">
        <v>0</v>
      </c>
      <c r="AU626">
        <v>108632.08882882002</v>
      </c>
      <c r="AV626">
        <v>10</v>
      </c>
      <c r="AW626">
        <f t="shared" si="58"/>
        <v>1</v>
      </c>
      <c r="AX626">
        <v>0</v>
      </c>
      <c r="AY626">
        <f t="shared" si="59"/>
        <v>0</v>
      </c>
      <c r="AZ626" t="e">
        <v>#N/A</v>
      </c>
      <c r="BA626">
        <v>6</v>
      </c>
      <c r="BB626">
        <v>2019</v>
      </c>
      <c r="BC626">
        <v>6</v>
      </c>
      <c r="BD626">
        <v>2019</v>
      </c>
      <c r="BE626">
        <v>1</v>
      </c>
      <c r="BF626">
        <v>2019</v>
      </c>
    </row>
    <row r="627" spans="1:58" x14ac:dyDescent="0.2">
      <c r="A627" s="7">
        <v>0</v>
      </c>
      <c r="B627" s="7">
        <v>13</v>
      </c>
      <c r="C627" s="7">
        <v>0</v>
      </c>
      <c r="D627" s="7">
        <v>0</v>
      </c>
      <c r="E627" s="7">
        <f t="shared" si="54"/>
        <v>13</v>
      </c>
      <c r="F627" s="11" t="s">
        <v>36</v>
      </c>
      <c r="G627">
        <v>0</v>
      </c>
      <c r="H627">
        <v>13</v>
      </c>
      <c r="I627">
        <v>0</v>
      </c>
      <c r="J627">
        <v>0</v>
      </c>
      <c r="K627">
        <f t="shared" si="55"/>
        <v>13</v>
      </c>
      <c r="L627" t="s">
        <v>36</v>
      </c>
      <c r="M627">
        <v>22003.566685360001</v>
      </c>
      <c r="N627" s="7">
        <v>5</v>
      </c>
      <c r="O627" s="7">
        <v>11</v>
      </c>
      <c r="P627" s="7">
        <v>3</v>
      </c>
      <c r="Q627" s="7">
        <v>3</v>
      </c>
      <c r="R627" s="7">
        <f t="shared" si="56"/>
        <v>22</v>
      </c>
      <c r="S627" t="s">
        <v>36</v>
      </c>
      <c r="T627" s="7">
        <v>19</v>
      </c>
      <c r="U627" s="7">
        <v>32</v>
      </c>
      <c r="V627" s="7">
        <v>9</v>
      </c>
      <c r="W627" s="7">
        <v>26</v>
      </c>
      <c r="X627" s="7">
        <f t="shared" si="57"/>
        <v>86</v>
      </c>
      <c r="Y627" t="e">
        <v>#N/A</v>
      </c>
      <c r="Z627">
        <v>102701.97590491</v>
      </c>
      <c r="AA627" t="s">
        <v>1004</v>
      </c>
      <c r="AB627">
        <v>68</v>
      </c>
      <c r="AC627">
        <v>94</v>
      </c>
      <c r="AD627" t="s">
        <v>254</v>
      </c>
      <c r="AE627" t="s">
        <v>41</v>
      </c>
      <c r="AF627" t="e">
        <v>#N/A</v>
      </c>
      <c r="AG627" s="8">
        <v>632</v>
      </c>
      <c r="AH627">
        <v>64</v>
      </c>
      <c r="AI627">
        <v>73</v>
      </c>
      <c r="AJ627">
        <v>0</v>
      </c>
      <c r="AK627">
        <v>0.10126582278481013</v>
      </c>
      <c r="AL627">
        <v>2.5457833093623359</v>
      </c>
      <c r="AM627">
        <v>9</v>
      </c>
      <c r="AN627">
        <v>0</v>
      </c>
      <c r="AO627">
        <v>2.9090909090909092</v>
      </c>
      <c r="AP627">
        <v>4.9230769230769234</v>
      </c>
      <c r="AQ627">
        <v>0</v>
      </c>
      <c r="AR627">
        <v>0</v>
      </c>
      <c r="AS627">
        <v>1</v>
      </c>
      <c r="AT627">
        <v>0</v>
      </c>
      <c r="AU627">
        <v>124705.54259026999</v>
      </c>
      <c r="AV627">
        <v>8</v>
      </c>
      <c r="AW627">
        <f t="shared" si="58"/>
        <v>0</v>
      </c>
      <c r="AX627">
        <v>94</v>
      </c>
      <c r="AY627">
        <f t="shared" si="59"/>
        <v>1</v>
      </c>
      <c r="AZ627" t="e">
        <v>#N/A</v>
      </c>
      <c r="BA627">
        <v>1</v>
      </c>
      <c r="BB627">
        <v>2019</v>
      </c>
      <c r="BC627">
        <v>1</v>
      </c>
      <c r="BD627">
        <v>2019</v>
      </c>
      <c r="BE627">
        <v>1</v>
      </c>
      <c r="BF627">
        <v>2019</v>
      </c>
    </row>
    <row r="628" spans="1:58" x14ac:dyDescent="0.2">
      <c r="A628" s="7">
        <v>0</v>
      </c>
      <c r="B628" s="7">
        <v>10</v>
      </c>
      <c r="C628" s="7">
        <v>0</v>
      </c>
      <c r="D628" s="7">
        <v>0</v>
      </c>
      <c r="E628" s="7">
        <f t="shared" si="54"/>
        <v>10</v>
      </c>
      <c r="F628" s="11" t="s">
        <v>80</v>
      </c>
      <c r="G628">
        <v>0</v>
      </c>
      <c r="H628">
        <v>10</v>
      </c>
      <c r="I628">
        <v>0</v>
      </c>
      <c r="J628">
        <v>0</v>
      </c>
      <c r="K628">
        <f t="shared" si="55"/>
        <v>10</v>
      </c>
      <c r="L628" t="s">
        <v>80</v>
      </c>
      <c r="M628">
        <v>16650.607211220002</v>
      </c>
      <c r="N628" s="7">
        <v>1</v>
      </c>
      <c r="O628" s="7">
        <v>10</v>
      </c>
      <c r="P628" s="7">
        <v>0</v>
      </c>
      <c r="Q628" s="7">
        <v>0</v>
      </c>
      <c r="R628" s="7">
        <f t="shared" si="56"/>
        <v>11</v>
      </c>
      <c r="S628" t="s">
        <v>36</v>
      </c>
      <c r="T628" s="7">
        <v>5</v>
      </c>
      <c r="U628" s="7">
        <v>18</v>
      </c>
      <c r="V628" s="7">
        <v>4</v>
      </c>
      <c r="W628" s="7">
        <v>4</v>
      </c>
      <c r="X628" s="7">
        <f t="shared" si="57"/>
        <v>31</v>
      </c>
      <c r="Y628" t="e">
        <v>#N/A</v>
      </c>
      <c r="Z628">
        <v>163282.60624617999</v>
      </c>
      <c r="AA628" t="s">
        <v>1005</v>
      </c>
      <c r="AB628">
        <v>82</v>
      </c>
      <c r="AC628">
        <v>0</v>
      </c>
      <c r="AD628" t="s">
        <v>254</v>
      </c>
      <c r="AE628" t="s">
        <v>75</v>
      </c>
      <c r="AF628" t="e">
        <v>#N/A</v>
      </c>
      <c r="AG628" s="8">
        <v>358</v>
      </c>
      <c r="AH628">
        <v>20</v>
      </c>
      <c r="AI628">
        <v>21</v>
      </c>
      <c r="AJ628">
        <v>0</v>
      </c>
      <c r="AK628">
        <v>5.5865921787709494E-2</v>
      </c>
      <c r="AL628">
        <v>1.0570328451633799</v>
      </c>
      <c r="AM628">
        <v>1</v>
      </c>
      <c r="AN628">
        <v>0</v>
      </c>
      <c r="AO628">
        <v>1.8181818181818181</v>
      </c>
      <c r="AP628">
        <v>2</v>
      </c>
      <c r="AQ628">
        <v>0</v>
      </c>
      <c r="AR628">
        <v>0</v>
      </c>
      <c r="AS628">
        <v>1</v>
      </c>
      <c r="AT628">
        <v>0</v>
      </c>
      <c r="AU628">
        <v>179933.21345739998</v>
      </c>
      <c r="AV628">
        <v>10</v>
      </c>
      <c r="AW628">
        <f t="shared" si="58"/>
        <v>1</v>
      </c>
      <c r="AX628">
        <v>0</v>
      </c>
      <c r="AY628">
        <f t="shared" si="59"/>
        <v>0</v>
      </c>
      <c r="AZ628" t="e">
        <v>#N/A</v>
      </c>
      <c r="BA628">
        <v>7</v>
      </c>
      <c r="BB628">
        <v>2019</v>
      </c>
      <c r="BC628">
        <v>7</v>
      </c>
      <c r="BD628">
        <v>2019</v>
      </c>
      <c r="BE628">
        <v>1</v>
      </c>
      <c r="BF628">
        <v>2019</v>
      </c>
    </row>
    <row r="629" spans="1:58" x14ac:dyDescent="0.2">
      <c r="A629" s="7">
        <v>0</v>
      </c>
      <c r="B629" s="7">
        <v>8</v>
      </c>
      <c r="C629" s="7">
        <v>0</v>
      </c>
      <c r="D629" s="7">
        <v>0</v>
      </c>
      <c r="E629" s="7">
        <f t="shared" si="54"/>
        <v>8</v>
      </c>
      <c r="F629" s="11" t="s">
        <v>53</v>
      </c>
      <c r="G629">
        <v>0</v>
      </c>
      <c r="H629">
        <v>8</v>
      </c>
      <c r="I629">
        <v>0</v>
      </c>
      <c r="J629">
        <v>0</v>
      </c>
      <c r="K629">
        <f t="shared" si="55"/>
        <v>8</v>
      </c>
      <c r="L629" t="s">
        <v>60</v>
      </c>
      <c r="M629">
        <v>40719.585849969997</v>
      </c>
      <c r="N629" s="7">
        <v>3</v>
      </c>
      <c r="O629" s="7">
        <v>24</v>
      </c>
      <c r="P629" s="7">
        <v>4</v>
      </c>
      <c r="Q629" s="7">
        <v>2</v>
      </c>
      <c r="R629" s="7">
        <f t="shared" si="56"/>
        <v>33</v>
      </c>
      <c r="S629" t="s">
        <v>39</v>
      </c>
      <c r="T629" s="7">
        <v>20</v>
      </c>
      <c r="U629" s="7">
        <v>40</v>
      </c>
      <c r="V629" s="7">
        <v>10</v>
      </c>
      <c r="W629" s="7">
        <v>27</v>
      </c>
      <c r="X629" s="7">
        <f t="shared" si="57"/>
        <v>97</v>
      </c>
      <c r="Y629" t="s">
        <v>53</v>
      </c>
      <c r="Z629">
        <v>78068.920672829991</v>
      </c>
      <c r="AA629" t="s">
        <v>1006</v>
      </c>
      <c r="AB629">
        <v>28</v>
      </c>
      <c r="AC629">
        <v>358</v>
      </c>
      <c r="AD629" t="s">
        <v>254</v>
      </c>
      <c r="AE629" t="s">
        <v>75</v>
      </c>
      <c r="AF629">
        <v>249</v>
      </c>
      <c r="AG629" s="8">
        <v>377</v>
      </c>
      <c r="AH629">
        <v>64</v>
      </c>
      <c r="AI629">
        <v>89</v>
      </c>
      <c r="AJ629">
        <v>0</v>
      </c>
      <c r="AK629">
        <v>0.16976127320954906</v>
      </c>
      <c r="AL629">
        <v>3.2961676967974705</v>
      </c>
      <c r="AM629">
        <v>25</v>
      </c>
      <c r="AN629">
        <v>0</v>
      </c>
      <c r="AO629">
        <v>1.9393939393939394</v>
      </c>
      <c r="AP629">
        <v>8</v>
      </c>
      <c r="AQ629">
        <v>0</v>
      </c>
      <c r="AR629">
        <v>0</v>
      </c>
      <c r="AS629">
        <v>1</v>
      </c>
      <c r="AT629">
        <v>0</v>
      </c>
      <c r="AU629">
        <v>118788.50652279999</v>
      </c>
      <c r="AV629">
        <v>19</v>
      </c>
      <c r="AW629">
        <f t="shared" si="58"/>
        <v>1</v>
      </c>
      <c r="AX629">
        <v>358</v>
      </c>
      <c r="AY629">
        <f t="shared" si="59"/>
        <v>1</v>
      </c>
      <c r="AZ629">
        <v>1.4377510040160641</v>
      </c>
      <c r="BA629">
        <v>1</v>
      </c>
      <c r="BB629">
        <v>2019</v>
      </c>
      <c r="BC629">
        <v>9</v>
      </c>
      <c r="BD629">
        <v>2019</v>
      </c>
      <c r="BE629">
        <v>1</v>
      </c>
      <c r="BF629">
        <v>2019</v>
      </c>
    </row>
    <row r="630" spans="1:58" x14ac:dyDescent="0.2">
      <c r="A630" s="7">
        <v>0</v>
      </c>
      <c r="B630" s="7">
        <v>0</v>
      </c>
      <c r="C630" s="7">
        <v>0</v>
      </c>
      <c r="D630" s="7">
        <v>0</v>
      </c>
      <c r="E630" s="7">
        <f t="shared" si="54"/>
        <v>0</v>
      </c>
      <c r="F630" s="11" t="s">
        <v>39</v>
      </c>
      <c r="G630">
        <v>0</v>
      </c>
      <c r="H630">
        <v>8</v>
      </c>
      <c r="I630">
        <v>0</v>
      </c>
      <c r="J630">
        <v>0</v>
      </c>
      <c r="K630">
        <f t="shared" si="55"/>
        <v>8</v>
      </c>
      <c r="L630" t="s">
        <v>36</v>
      </c>
      <c r="M630">
        <v>72266.865549600014</v>
      </c>
      <c r="N630" s="7">
        <v>0</v>
      </c>
      <c r="O630" s="7">
        <v>11</v>
      </c>
      <c r="P630" s="7">
        <v>0</v>
      </c>
      <c r="Q630" s="7">
        <v>0</v>
      </c>
      <c r="R630" s="7">
        <f t="shared" si="56"/>
        <v>11</v>
      </c>
      <c r="S630" t="s">
        <v>35</v>
      </c>
      <c r="T630" s="7">
        <v>7</v>
      </c>
      <c r="U630" s="7">
        <v>18</v>
      </c>
      <c r="V630" s="7">
        <v>7</v>
      </c>
      <c r="W630" s="7">
        <v>1</v>
      </c>
      <c r="X630" s="7">
        <f t="shared" si="57"/>
        <v>33</v>
      </c>
      <c r="Y630" t="e">
        <v>#N/A</v>
      </c>
      <c r="Z630">
        <v>235959.90193833999</v>
      </c>
      <c r="AA630" t="s">
        <v>1007</v>
      </c>
      <c r="AB630">
        <v>55</v>
      </c>
      <c r="AC630">
        <v>1035</v>
      </c>
      <c r="AD630" t="s">
        <v>244</v>
      </c>
      <c r="AE630" t="s">
        <v>41</v>
      </c>
      <c r="AF630">
        <v>43</v>
      </c>
      <c r="AG630" s="8">
        <v>664</v>
      </c>
      <c r="AH630">
        <v>22</v>
      </c>
      <c r="AI630">
        <v>33</v>
      </c>
      <c r="AJ630">
        <v>8</v>
      </c>
      <c r="AK630">
        <v>3.313253012048193E-2</v>
      </c>
      <c r="AL630">
        <v>0.85376557827696609</v>
      </c>
      <c r="AM630">
        <v>3</v>
      </c>
      <c r="AN630">
        <v>0</v>
      </c>
      <c r="AO630">
        <v>2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>
        <v>308226.76748794003</v>
      </c>
      <c r="AV630">
        <v>15</v>
      </c>
      <c r="AW630">
        <f t="shared" si="58"/>
        <v>1</v>
      </c>
      <c r="AX630">
        <v>1035</v>
      </c>
      <c r="AY630">
        <f t="shared" si="59"/>
        <v>1</v>
      </c>
      <c r="AZ630">
        <v>24.069767441860463</v>
      </c>
      <c r="BA630">
        <v>9</v>
      </c>
      <c r="BB630">
        <v>2019</v>
      </c>
      <c r="BC630">
        <v>10</v>
      </c>
      <c r="BD630">
        <v>2019</v>
      </c>
      <c r="BE630">
        <v>1</v>
      </c>
      <c r="BF630">
        <v>2019</v>
      </c>
    </row>
    <row r="631" spans="1:58" x14ac:dyDescent="0.2">
      <c r="A631" s="7">
        <v>15</v>
      </c>
      <c r="B631" s="7">
        <v>24</v>
      </c>
      <c r="C631" s="7">
        <v>7</v>
      </c>
      <c r="D631" s="7">
        <v>6</v>
      </c>
      <c r="E631" s="7">
        <f t="shared" si="54"/>
        <v>52</v>
      </c>
      <c r="F631" s="11" t="s">
        <v>83</v>
      </c>
      <c r="G631">
        <v>16</v>
      </c>
      <c r="H631">
        <v>24</v>
      </c>
      <c r="I631">
        <v>7</v>
      </c>
      <c r="J631">
        <v>4</v>
      </c>
      <c r="K631">
        <f t="shared" si="55"/>
        <v>51</v>
      </c>
      <c r="L631" t="s">
        <v>83</v>
      </c>
      <c r="M631">
        <v>12516.61559376</v>
      </c>
      <c r="N631" s="7">
        <v>18</v>
      </c>
      <c r="O631" s="7">
        <v>25</v>
      </c>
      <c r="P631" s="7">
        <v>8</v>
      </c>
      <c r="Q631" s="7">
        <v>7</v>
      </c>
      <c r="R631" s="7">
        <f t="shared" si="56"/>
        <v>58</v>
      </c>
      <c r="S631" t="s">
        <v>83</v>
      </c>
      <c r="T631" s="7">
        <v>20</v>
      </c>
      <c r="U631" s="7">
        <v>36</v>
      </c>
      <c r="V631" s="7">
        <v>9</v>
      </c>
      <c r="W631" s="7">
        <v>8</v>
      </c>
      <c r="X631" s="7">
        <f t="shared" si="57"/>
        <v>73</v>
      </c>
      <c r="Y631" t="e">
        <v>#N/A</v>
      </c>
      <c r="Z631">
        <v>83822.038093499999</v>
      </c>
      <c r="AA631" t="s">
        <v>1008</v>
      </c>
      <c r="AB631">
        <v>63</v>
      </c>
      <c r="AC631">
        <v>0</v>
      </c>
      <c r="AD631" t="s">
        <v>131</v>
      </c>
      <c r="AE631" t="s">
        <v>41</v>
      </c>
      <c r="AF631">
        <v>253</v>
      </c>
      <c r="AG631" s="8">
        <v>631</v>
      </c>
      <c r="AH631">
        <v>15</v>
      </c>
      <c r="AI631">
        <v>21</v>
      </c>
      <c r="AJ631">
        <v>-1</v>
      </c>
      <c r="AK631">
        <v>2.3771790808240888E-2</v>
      </c>
      <c r="AL631">
        <v>0.59714057149352473</v>
      </c>
      <c r="AM631">
        <v>7</v>
      </c>
      <c r="AN631">
        <v>0</v>
      </c>
      <c r="AO631">
        <v>0.25862068965517243</v>
      </c>
      <c r="AP631">
        <v>0.28846153846153844</v>
      </c>
      <c r="AQ631">
        <v>0.11538461538461539</v>
      </c>
      <c r="AR631">
        <v>0.28846153846153844</v>
      </c>
      <c r="AS631">
        <v>0.46153846153846156</v>
      </c>
      <c r="AT631">
        <v>0.13461538461538461</v>
      </c>
      <c r="AU631">
        <v>96338.653687259997</v>
      </c>
      <c r="AV631">
        <v>7</v>
      </c>
      <c r="AW631">
        <f t="shared" si="58"/>
        <v>0</v>
      </c>
      <c r="AX631">
        <v>0</v>
      </c>
      <c r="AY631">
        <f t="shared" si="59"/>
        <v>0</v>
      </c>
      <c r="AZ631">
        <v>0</v>
      </c>
      <c r="BA631">
        <v>1</v>
      </c>
      <c r="BB631">
        <v>2019</v>
      </c>
      <c r="BC631">
        <v>9</v>
      </c>
      <c r="BD631">
        <v>2019</v>
      </c>
      <c r="BE631">
        <v>1</v>
      </c>
      <c r="BF631">
        <v>2019</v>
      </c>
    </row>
    <row r="632" spans="1:58" x14ac:dyDescent="0.2">
      <c r="A632" s="7">
        <v>0</v>
      </c>
      <c r="B632" s="7">
        <v>6</v>
      </c>
      <c r="C632" s="7">
        <v>0</v>
      </c>
      <c r="D632" s="7">
        <v>0</v>
      </c>
      <c r="E632" s="7">
        <f t="shared" si="54"/>
        <v>6</v>
      </c>
      <c r="F632" s="11" t="s">
        <v>36</v>
      </c>
      <c r="G632">
        <v>0</v>
      </c>
      <c r="H632">
        <v>0</v>
      </c>
      <c r="I632">
        <v>0</v>
      </c>
      <c r="J632">
        <v>0</v>
      </c>
      <c r="K632">
        <f t="shared" si="55"/>
        <v>0</v>
      </c>
      <c r="L632" t="s">
        <v>36</v>
      </c>
      <c r="M632">
        <v>45883.968059070001</v>
      </c>
      <c r="N632" s="7">
        <v>0</v>
      </c>
      <c r="O632" s="7">
        <v>17</v>
      </c>
      <c r="P632" s="7">
        <v>0</v>
      </c>
      <c r="Q632" s="7">
        <v>0</v>
      </c>
      <c r="R632" s="7">
        <f t="shared" si="56"/>
        <v>17</v>
      </c>
      <c r="S632" t="s">
        <v>36</v>
      </c>
      <c r="T632" s="7">
        <v>2</v>
      </c>
      <c r="U632" s="7">
        <v>19</v>
      </c>
      <c r="V632" s="7">
        <v>0</v>
      </c>
      <c r="W632" s="7">
        <v>5</v>
      </c>
      <c r="X632" s="7">
        <f t="shared" si="57"/>
        <v>26</v>
      </c>
      <c r="Y632" t="e">
        <v>#N/A</v>
      </c>
      <c r="Z632">
        <v>241242.25486714</v>
      </c>
      <c r="AA632" t="s">
        <v>1009</v>
      </c>
      <c r="AB632">
        <v>55</v>
      </c>
      <c r="AC632">
        <v>90</v>
      </c>
      <c r="AD632" t="s">
        <v>248</v>
      </c>
      <c r="AE632" t="s">
        <v>41</v>
      </c>
      <c r="AF632">
        <v>249</v>
      </c>
      <c r="AG632" s="8">
        <v>573</v>
      </c>
      <c r="AH632">
        <v>9</v>
      </c>
      <c r="AI632">
        <v>20</v>
      </c>
      <c r="AJ632">
        <v>-6</v>
      </c>
      <c r="AK632">
        <v>1.5706806282722512E-2</v>
      </c>
      <c r="AL632">
        <v>0.37598039382992116</v>
      </c>
      <c r="AM632">
        <v>17</v>
      </c>
      <c r="AN632">
        <v>0</v>
      </c>
      <c r="AO632">
        <v>0.52941176470588236</v>
      </c>
      <c r="AP632">
        <v>1.5</v>
      </c>
      <c r="AQ632">
        <v>0</v>
      </c>
      <c r="AR632">
        <v>0</v>
      </c>
      <c r="AS632">
        <v>1</v>
      </c>
      <c r="AT632">
        <v>0</v>
      </c>
      <c r="AU632">
        <v>287126.22292621003</v>
      </c>
      <c r="AV632">
        <v>17</v>
      </c>
      <c r="AW632">
        <f t="shared" si="58"/>
        <v>1</v>
      </c>
      <c r="AX632">
        <v>90</v>
      </c>
      <c r="AY632">
        <f t="shared" si="59"/>
        <v>1</v>
      </c>
      <c r="AZ632">
        <v>0.36144578313253012</v>
      </c>
      <c r="BA632">
        <v>1</v>
      </c>
      <c r="BB632">
        <v>2019</v>
      </c>
      <c r="BC632">
        <v>9</v>
      </c>
      <c r="BD632">
        <v>2019</v>
      </c>
      <c r="BE632">
        <v>1</v>
      </c>
      <c r="BF632">
        <v>2019</v>
      </c>
    </row>
    <row r="633" spans="1:58" x14ac:dyDescent="0.2">
      <c r="A633" s="7">
        <v>8</v>
      </c>
      <c r="B633" s="7">
        <v>20</v>
      </c>
      <c r="C633" s="7">
        <v>0</v>
      </c>
      <c r="D633" s="7">
        <v>5</v>
      </c>
      <c r="E633" s="7">
        <f t="shared" si="54"/>
        <v>33</v>
      </c>
      <c r="F633" s="11" t="s">
        <v>36</v>
      </c>
      <c r="G633">
        <v>8</v>
      </c>
      <c r="H633">
        <v>20</v>
      </c>
      <c r="I633">
        <v>0</v>
      </c>
      <c r="J633">
        <v>5</v>
      </c>
      <c r="K633">
        <f t="shared" si="55"/>
        <v>33</v>
      </c>
      <c r="L633" t="s">
        <v>36</v>
      </c>
      <c r="M633">
        <v>14647.807496449999</v>
      </c>
      <c r="N633" s="7">
        <v>11</v>
      </c>
      <c r="O633" s="7">
        <v>26</v>
      </c>
      <c r="P633" s="7">
        <v>2</v>
      </c>
      <c r="Q633" s="7">
        <v>5</v>
      </c>
      <c r="R633" s="7">
        <f t="shared" si="56"/>
        <v>44</v>
      </c>
      <c r="S633" t="s">
        <v>36</v>
      </c>
      <c r="T633" s="7">
        <v>13</v>
      </c>
      <c r="U633" s="7">
        <v>31</v>
      </c>
      <c r="V633" s="7">
        <v>5</v>
      </c>
      <c r="W633" s="7">
        <v>5</v>
      </c>
      <c r="X633" s="7">
        <f t="shared" si="57"/>
        <v>54</v>
      </c>
      <c r="Y633" t="e">
        <v>#N/A</v>
      </c>
      <c r="Z633">
        <v>86755.388752980012</v>
      </c>
      <c r="AA633" t="s">
        <v>1010</v>
      </c>
      <c r="AB633">
        <v>60</v>
      </c>
      <c r="AC633">
        <v>0</v>
      </c>
      <c r="AD633" t="s">
        <v>296</v>
      </c>
      <c r="AE633" t="s">
        <v>75</v>
      </c>
      <c r="AF633" t="e">
        <v>#N/A</v>
      </c>
      <c r="AG633" s="8">
        <v>384</v>
      </c>
      <c r="AH633">
        <v>10</v>
      </c>
      <c r="AI633">
        <v>21</v>
      </c>
      <c r="AJ633">
        <v>0</v>
      </c>
      <c r="AK633">
        <v>2.6041666666666668E-2</v>
      </c>
      <c r="AL633">
        <v>0.5103103630798288</v>
      </c>
      <c r="AM633">
        <v>11</v>
      </c>
      <c r="AN633">
        <v>0</v>
      </c>
      <c r="AO633">
        <v>0.22727272727272727</v>
      </c>
      <c r="AP633">
        <v>0.30303030303030304</v>
      </c>
      <c r="AQ633">
        <v>0.15151515151515152</v>
      </c>
      <c r="AR633">
        <v>0.24242424242424243</v>
      </c>
      <c r="AS633">
        <v>0.60606060606060608</v>
      </c>
      <c r="AT633">
        <v>0</v>
      </c>
      <c r="AU633">
        <v>101403.19624943001</v>
      </c>
      <c r="AV633">
        <v>7</v>
      </c>
      <c r="AW633">
        <f t="shared" si="58"/>
        <v>0</v>
      </c>
      <c r="AX633">
        <v>0</v>
      </c>
      <c r="AY633">
        <f t="shared" si="59"/>
        <v>0</v>
      </c>
      <c r="AZ633" t="e">
        <v>#N/A</v>
      </c>
      <c r="BA633">
        <v>2</v>
      </c>
      <c r="BB633">
        <v>2019</v>
      </c>
      <c r="BC633">
        <v>2</v>
      </c>
      <c r="BD633">
        <v>2019</v>
      </c>
      <c r="BE633">
        <v>1</v>
      </c>
      <c r="BF633">
        <v>2019</v>
      </c>
    </row>
    <row r="634" spans="1:58" x14ac:dyDescent="0.2">
      <c r="A634" s="7">
        <v>3</v>
      </c>
      <c r="B634" s="7">
        <v>21</v>
      </c>
      <c r="C634" s="7">
        <v>4</v>
      </c>
      <c r="D634" s="7">
        <v>3</v>
      </c>
      <c r="E634" s="7">
        <f t="shared" si="54"/>
        <v>31</v>
      </c>
      <c r="F634" s="11" t="e">
        <v>#N/A</v>
      </c>
      <c r="G634">
        <v>3</v>
      </c>
      <c r="H634">
        <v>21</v>
      </c>
      <c r="I634">
        <v>4</v>
      </c>
      <c r="J634">
        <v>3</v>
      </c>
      <c r="K634">
        <f t="shared" si="55"/>
        <v>31</v>
      </c>
      <c r="L634" t="e">
        <v>#N/A</v>
      </c>
      <c r="M634">
        <v>11126.73939196</v>
      </c>
      <c r="N634" s="7">
        <v>0</v>
      </c>
      <c r="O634" s="7">
        <v>21</v>
      </c>
      <c r="P634" s="7">
        <v>4</v>
      </c>
      <c r="Q634" s="7">
        <v>3</v>
      </c>
      <c r="R634" s="7">
        <f t="shared" si="56"/>
        <v>28</v>
      </c>
      <c r="S634" t="e">
        <v>#N/A</v>
      </c>
      <c r="T634" s="7">
        <v>2</v>
      </c>
      <c r="U634" s="7">
        <v>22</v>
      </c>
      <c r="V634" s="7">
        <v>4</v>
      </c>
      <c r="W634" s="7">
        <v>3</v>
      </c>
      <c r="X634" s="7">
        <f t="shared" si="57"/>
        <v>31</v>
      </c>
      <c r="Y634" t="e">
        <v>#N/A</v>
      </c>
      <c r="Z634">
        <v>79658.623467099998</v>
      </c>
      <c r="AA634" t="s">
        <v>297</v>
      </c>
      <c r="AB634">
        <v>52</v>
      </c>
      <c r="AC634">
        <v>0</v>
      </c>
      <c r="AD634" t="s">
        <v>99</v>
      </c>
      <c r="AE634" t="s">
        <v>41</v>
      </c>
      <c r="AF634" t="e">
        <v>#N/A</v>
      </c>
      <c r="AG634" s="8">
        <v>78</v>
      </c>
      <c r="AH634">
        <v>3</v>
      </c>
      <c r="AI634">
        <v>0</v>
      </c>
      <c r="AJ634">
        <v>0</v>
      </c>
      <c r="AK634">
        <v>3.8461538461538464E-2</v>
      </c>
      <c r="AL634">
        <v>0.33968311024337872</v>
      </c>
      <c r="AM634">
        <v>-3</v>
      </c>
      <c r="AN634">
        <v>1</v>
      </c>
      <c r="AO634">
        <v>0.10714285714285714</v>
      </c>
      <c r="AP634">
        <v>9.6774193548387094E-2</v>
      </c>
      <c r="AQ634">
        <v>9.6774193548387094E-2</v>
      </c>
      <c r="AR634">
        <v>9.6774193548387094E-2</v>
      </c>
      <c r="AS634">
        <v>0.67741935483870963</v>
      </c>
      <c r="AT634">
        <v>0.12903225806451613</v>
      </c>
      <c r="AU634">
        <v>90785.362859059998</v>
      </c>
      <c r="AV634">
        <v>6</v>
      </c>
      <c r="AW634">
        <f t="shared" si="58"/>
        <v>0</v>
      </c>
      <c r="AX634">
        <v>0</v>
      </c>
      <c r="AY634">
        <f t="shared" si="59"/>
        <v>0</v>
      </c>
      <c r="AZ634" t="e">
        <v>#N/A</v>
      </c>
      <c r="BA634">
        <v>1</v>
      </c>
      <c r="BB634">
        <v>2020</v>
      </c>
      <c r="BC634">
        <v>1</v>
      </c>
      <c r="BD634">
        <v>2020</v>
      </c>
      <c r="BE634">
        <v>2</v>
      </c>
      <c r="BF634">
        <v>2020</v>
      </c>
    </row>
    <row r="635" spans="1:58" x14ac:dyDescent="0.2">
      <c r="A635" s="7">
        <v>4</v>
      </c>
      <c r="B635" s="7">
        <v>31</v>
      </c>
      <c r="C635" s="7">
        <v>5</v>
      </c>
      <c r="D635" s="7">
        <v>1</v>
      </c>
      <c r="E635" s="7">
        <f t="shared" si="54"/>
        <v>41</v>
      </c>
      <c r="F635" s="11" t="s">
        <v>83</v>
      </c>
      <c r="G635">
        <v>4</v>
      </c>
      <c r="H635">
        <v>31</v>
      </c>
      <c r="I635">
        <v>5</v>
      </c>
      <c r="J635">
        <v>1</v>
      </c>
      <c r="K635">
        <f t="shared" si="55"/>
        <v>41</v>
      </c>
      <c r="L635" t="s">
        <v>83</v>
      </c>
      <c r="M635">
        <v>16255.53724747</v>
      </c>
      <c r="N635" s="7">
        <v>6</v>
      </c>
      <c r="O635" s="7">
        <v>27</v>
      </c>
      <c r="P635" s="7">
        <v>5</v>
      </c>
      <c r="Q635" s="7">
        <v>1</v>
      </c>
      <c r="R635" s="7">
        <f t="shared" si="56"/>
        <v>39</v>
      </c>
      <c r="S635" t="s">
        <v>83</v>
      </c>
      <c r="T635" s="7">
        <v>14</v>
      </c>
      <c r="U635" s="7">
        <v>39</v>
      </c>
      <c r="V635" s="7">
        <v>9</v>
      </c>
      <c r="W635" s="7">
        <v>6</v>
      </c>
      <c r="X635" s="7">
        <f t="shared" si="57"/>
        <v>68</v>
      </c>
      <c r="Y635" t="e">
        <v>#N/A</v>
      </c>
      <c r="Z635">
        <v>56746.292440090001</v>
      </c>
      <c r="AA635" t="s">
        <v>1011</v>
      </c>
      <c r="AB635">
        <v>67</v>
      </c>
      <c r="AC635">
        <v>0</v>
      </c>
      <c r="AD635" t="s">
        <v>244</v>
      </c>
      <c r="AE635" t="s">
        <v>75</v>
      </c>
      <c r="AF635" t="e">
        <v>#N/A</v>
      </c>
      <c r="AG635" s="8">
        <v>384</v>
      </c>
      <c r="AH635">
        <v>29</v>
      </c>
      <c r="AI635">
        <v>27</v>
      </c>
      <c r="AJ635">
        <v>0</v>
      </c>
      <c r="AK635">
        <v>7.5520833333333329E-2</v>
      </c>
      <c r="AL635">
        <v>1.4799000529315036</v>
      </c>
      <c r="AM635">
        <v>-2</v>
      </c>
      <c r="AN635">
        <v>1</v>
      </c>
      <c r="AO635">
        <v>0.74358974358974361</v>
      </c>
      <c r="AP635">
        <v>0.70731707317073167</v>
      </c>
      <c r="AQ635">
        <v>2.4390243902439025E-2</v>
      </c>
      <c r="AR635">
        <v>9.7560975609756101E-2</v>
      </c>
      <c r="AS635">
        <v>0.75609756097560976</v>
      </c>
      <c r="AT635">
        <v>0.12195121951219512</v>
      </c>
      <c r="AU635">
        <v>73001.829687560006</v>
      </c>
      <c r="AV635">
        <v>6</v>
      </c>
      <c r="AW635">
        <f t="shared" si="58"/>
        <v>0</v>
      </c>
      <c r="AX635">
        <v>0</v>
      </c>
      <c r="AY635">
        <f t="shared" si="59"/>
        <v>0</v>
      </c>
      <c r="AZ635" t="e">
        <v>#N/A</v>
      </c>
      <c r="BA635">
        <v>11</v>
      </c>
      <c r="BB635">
        <v>2019</v>
      </c>
      <c r="BC635">
        <v>11</v>
      </c>
      <c r="BD635">
        <v>2019</v>
      </c>
      <c r="BE635">
        <v>1</v>
      </c>
      <c r="BF635">
        <v>2019</v>
      </c>
    </row>
    <row r="636" spans="1:58" x14ac:dyDescent="0.2">
      <c r="A636" s="7">
        <v>12</v>
      </c>
      <c r="B636" s="7">
        <v>10</v>
      </c>
      <c r="C636" s="7">
        <v>0</v>
      </c>
      <c r="D636" s="7">
        <v>0</v>
      </c>
      <c r="E636" s="7">
        <f t="shared" si="54"/>
        <v>22</v>
      </c>
      <c r="F636" s="11" t="s">
        <v>36</v>
      </c>
      <c r="G636">
        <v>12</v>
      </c>
      <c r="H636">
        <v>10</v>
      </c>
      <c r="I636">
        <v>0</v>
      </c>
      <c r="J636">
        <v>0</v>
      </c>
      <c r="K636">
        <f t="shared" si="55"/>
        <v>22</v>
      </c>
      <c r="L636" t="s">
        <v>36</v>
      </c>
      <c r="M636">
        <v>11942.219238469999</v>
      </c>
      <c r="N636" s="7">
        <v>13</v>
      </c>
      <c r="O636" s="7">
        <v>26</v>
      </c>
      <c r="P636" s="7">
        <v>0</v>
      </c>
      <c r="Q636" s="7">
        <v>5</v>
      </c>
      <c r="R636" s="7">
        <f t="shared" si="56"/>
        <v>44</v>
      </c>
      <c r="S636" t="s">
        <v>36</v>
      </c>
      <c r="T636" s="7">
        <v>15</v>
      </c>
      <c r="U636" s="7">
        <v>27</v>
      </c>
      <c r="V636" s="7">
        <v>6</v>
      </c>
      <c r="W636" s="7">
        <v>6</v>
      </c>
      <c r="X636" s="7">
        <f t="shared" si="57"/>
        <v>54</v>
      </c>
      <c r="Y636" t="s">
        <v>36</v>
      </c>
      <c r="Z636">
        <v>51880.635209549997</v>
      </c>
      <c r="AA636" t="s">
        <v>1012</v>
      </c>
      <c r="AB636">
        <v>68</v>
      </c>
      <c r="AC636">
        <v>0</v>
      </c>
      <c r="AD636" t="s">
        <v>205</v>
      </c>
      <c r="AE636" t="s">
        <v>41</v>
      </c>
      <c r="AF636" t="e">
        <v>#N/A</v>
      </c>
      <c r="AG636" s="8">
        <v>343</v>
      </c>
      <c r="AH636">
        <v>10</v>
      </c>
      <c r="AI636">
        <v>32</v>
      </c>
      <c r="AJ636">
        <v>0</v>
      </c>
      <c r="AK636">
        <v>2.9154518950437316E-2</v>
      </c>
      <c r="AL636">
        <v>0.53994924715603887</v>
      </c>
      <c r="AM636">
        <v>22</v>
      </c>
      <c r="AN636">
        <v>0</v>
      </c>
      <c r="AO636">
        <v>0.22727272727272727</v>
      </c>
      <c r="AP636">
        <v>0.45454545454545453</v>
      </c>
      <c r="AQ636">
        <v>0</v>
      </c>
      <c r="AR636">
        <v>0.54545454545454541</v>
      </c>
      <c r="AS636">
        <v>0.45454545454545453</v>
      </c>
      <c r="AT636">
        <v>0</v>
      </c>
      <c r="AU636">
        <v>63822.854448019993</v>
      </c>
      <c r="AV636">
        <v>12</v>
      </c>
      <c r="AW636">
        <f t="shared" si="58"/>
        <v>1</v>
      </c>
      <c r="AX636">
        <v>0</v>
      </c>
      <c r="AY636">
        <f t="shared" si="59"/>
        <v>0</v>
      </c>
      <c r="AZ636" t="e">
        <v>#N/A</v>
      </c>
      <c r="BA636">
        <v>8</v>
      </c>
      <c r="BB636">
        <v>2019</v>
      </c>
      <c r="BC636">
        <v>8</v>
      </c>
      <c r="BD636">
        <v>2019</v>
      </c>
      <c r="BE636">
        <v>1</v>
      </c>
      <c r="BF636">
        <v>2019</v>
      </c>
    </row>
    <row r="637" spans="1:58" x14ac:dyDescent="0.2">
      <c r="A637" s="7">
        <v>13</v>
      </c>
      <c r="B637" s="7">
        <v>18</v>
      </c>
      <c r="C637" s="7">
        <v>0</v>
      </c>
      <c r="D637" s="7">
        <v>3</v>
      </c>
      <c r="E637" s="7">
        <f t="shared" si="54"/>
        <v>34</v>
      </c>
      <c r="F637" s="11" t="s">
        <v>36</v>
      </c>
      <c r="G637">
        <v>8</v>
      </c>
      <c r="H637">
        <v>10</v>
      </c>
      <c r="I637">
        <v>0</v>
      </c>
      <c r="J637">
        <v>0</v>
      </c>
      <c r="K637">
        <f t="shared" si="55"/>
        <v>18</v>
      </c>
      <c r="L637" t="s">
        <v>36</v>
      </c>
      <c r="M637">
        <v>14244.287192260001</v>
      </c>
      <c r="N637" s="7">
        <v>14</v>
      </c>
      <c r="O637" s="7">
        <v>18</v>
      </c>
      <c r="P637" s="7">
        <v>1</v>
      </c>
      <c r="Q637" s="7">
        <v>5</v>
      </c>
      <c r="R637" s="7">
        <f t="shared" si="56"/>
        <v>38</v>
      </c>
      <c r="S637" t="s">
        <v>36</v>
      </c>
      <c r="T637" s="7">
        <v>19</v>
      </c>
      <c r="U637" s="7">
        <v>39</v>
      </c>
      <c r="V637" s="7">
        <v>9</v>
      </c>
      <c r="W637" s="7">
        <v>7</v>
      </c>
      <c r="X637" s="7">
        <f t="shared" si="57"/>
        <v>74</v>
      </c>
      <c r="Y637" t="e">
        <v>#N/A</v>
      </c>
      <c r="Z637">
        <v>90839.11514152</v>
      </c>
      <c r="AA637" t="s">
        <v>1013</v>
      </c>
      <c r="AB637">
        <v>22</v>
      </c>
      <c r="AC637">
        <v>0</v>
      </c>
      <c r="AD637" t="s">
        <v>258</v>
      </c>
      <c r="AE637" t="s">
        <v>75</v>
      </c>
      <c r="AF637">
        <v>260</v>
      </c>
      <c r="AG637" s="8">
        <v>357</v>
      </c>
      <c r="AH637">
        <v>36</v>
      </c>
      <c r="AI637">
        <v>40</v>
      </c>
      <c r="AJ637">
        <v>-16</v>
      </c>
      <c r="AK637">
        <v>0.10084033613445378</v>
      </c>
      <c r="AL637">
        <v>1.9053220464898672</v>
      </c>
      <c r="AM637">
        <v>20</v>
      </c>
      <c r="AN637">
        <v>0</v>
      </c>
      <c r="AO637">
        <v>0.94736842105263153</v>
      </c>
      <c r="AP637">
        <v>1.0588235294117647</v>
      </c>
      <c r="AQ637">
        <v>8.8235294117647065E-2</v>
      </c>
      <c r="AR637">
        <v>0.38235294117647056</v>
      </c>
      <c r="AS637">
        <v>0.52941176470588236</v>
      </c>
      <c r="AT637">
        <v>0</v>
      </c>
      <c r="AU637">
        <v>105083.40233378</v>
      </c>
      <c r="AV637">
        <v>5</v>
      </c>
      <c r="AW637">
        <f t="shared" si="58"/>
        <v>0</v>
      </c>
      <c r="AX637">
        <v>0</v>
      </c>
      <c r="AY637">
        <f t="shared" si="59"/>
        <v>0</v>
      </c>
      <c r="AZ637">
        <v>0</v>
      </c>
      <c r="BA637">
        <v>1</v>
      </c>
      <c r="BB637">
        <v>2019</v>
      </c>
      <c r="BC637">
        <v>9</v>
      </c>
      <c r="BD637">
        <v>2019</v>
      </c>
      <c r="BE637">
        <v>1</v>
      </c>
      <c r="BF637">
        <v>2019</v>
      </c>
    </row>
    <row r="638" spans="1:58" x14ac:dyDescent="0.2">
      <c r="A638" s="7">
        <v>5</v>
      </c>
      <c r="B638" s="7">
        <v>11</v>
      </c>
      <c r="C638" s="7">
        <v>2</v>
      </c>
      <c r="D638" s="7">
        <v>3</v>
      </c>
      <c r="E638" s="7">
        <f t="shared" si="54"/>
        <v>21</v>
      </c>
      <c r="F638" s="11" t="s">
        <v>39</v>
      </c>
      <c r="G638">
        <v>3</v>
      </c>
      <c r="H638">
        <v>11</v>
      </c>
      <c r="I638">
        <v>0</v>
      </c>
      <c r="J638">
        <v>0</v>
      </c>
      <c r="K638">
        <f t="shared" si="55"/>
        <v>14</v>
      </c>
      <c r="L638" t="s">
        <v>36</v>
      </c>
      <c r="M638">
        <v>19995.33717024</v>
      </c>
      <c r="N638" s="7">
        <v>5</v>
      </c>
      <c r="O638" s="7">
        <v>11</v>
      </c>
      <c r="P638" s="7">
        <v>4</v>
      </c>
      <c r="Q638" s="7">
        <v>2</v>
      </c>
      <c r="R638" s="7">
        <f t="shared" si="56"/>
        <v>22</v>
      </c>
      <c r="S638" t="s">
        <v>36</v>
      </c>
      <c r="T638" s="7">
        <v>15</v>
      </c>
      <c r="U638" s="7">
        <v>32</v>
      </c>
      <c r="V638" s="7">
        <v>6</v>
      </c>
      <c r="W638" s="7">
        <v>8</v>
      </c>
      <c r="X638" s="7">
        <f t="shared" si="57"/>
        <v>61</v>
      </c>
      <c r="Y638" t="e">
        <v>#N/A</v>
      </c>
      <c r="Z638">
        <v>178299.03620957001</v>
      </c>
      <c r="AA638" t="s">
        <v>1014</v>
      </c>
      <c r="AB638">
        <v>84</v>
      </c>
      <c r="AC638">
        <v>261</v>
      </c>
      <c r="AD638" t="s">
        <v>254</v>
      </c>
      <c r="AE638" t="s">
        <v>41</v>
      </c>
      <c r="AF638">
        <v>46</v>
      </c>
      <c r="AG638" s="8">
        <v>489</v>
      </c>
      <c r="AH638">
        <v>39</v>
      </c>
      <c r="AI638">
        <v>40</v>
      </c>
      <c r="AJ638">
        <v>-7</v>
      </c>
      <c r="AK638">
        <v>7.9754601226993863E-2</v>
      </c>
      <c r="AL638">
        <v>1.7636409634199248</v>
      </c>
      <c r="AM638">
        <v>8</v>
      </c>
      <c r="AN638">
        <v>0</v>
      </c>
      <c r="AO638">
        <v>1.7727272727272727</v>
      </c>
      <c r="AP638">
        <v>1.8571428571428572</v>
      </c>
      <c r="AQ638">
        <v>0.14285714285714285</v>
      </c>
      <c r="AR638">
        <v>0.23809523809523808</v>
      </c>
      <c r="AS638">
        <v>0.52380952380952384</v>
      </c>
      <c r="AT638">
        <v>9.5238095238095233E-2</v>
      </c>
      <c r="AU638">
        <v>198294.37337981001</v>
      </c>
      <c r="AV638">
        <v>12</v>
      </c>
      <c r="AW638">
        <f t="shared" si="58"/>
        <v>1</v>
      </c>
      <c r="AX638">
        <v>261</v>
      </c>
      <c r="AY638">
        <f t="shared" si="59"/>
        <v>1</v>
      </c>
      <c r="AZ638">
        <v>5.6739130434782608</v>
      </c>
      <c r="BA638">
        <v>8</v>
      </c>
      <c r="BB638">
        <v>2019</v>
      </c>
      <c r="BC638">
        <v>9</v>
      </c>
      <c r="BD638">
        <v>2019</v>
      </c>
      <c r="BE638">
        <v>1</v>
      </c>
      <c r="BF638">
        <v>2019</v>
      </c>
    </row>
    <row r="639" spans="1:58" x14ac:dyDescent="0.2">
      <c r="A639" s="7">
        <v>0</v>
      </c>
      <c r="B639" s="7">
        <v>0</v>
      </c>
      <c r="C639" s="7">
        <v>0</v>
      </c>
      <c r="D639" s="7">
        <v>0</v>
      </c>
      <c r="E639" s="7">
        <f t="shared" si="54"/>
        <v>0</v>
      </c>
      <c r="F639" s="11" t="s">
        <v>66</v>
      </c>
      <c r="G639">
        <v>1</v>
      </c>
      <c r="H639">
        <v>2</v>
      </c>
      <c r="I639">
        <v>0</v>
      </c>
      <c r="J639">
        <v>0</v>
      </c>
      <c r="K639">
        <f t="shared" si="55"/>
        <v>3</v>
      </c>
      <c r="L639" t="s">
        <v>68</v>
      </c>
      <c r="M639">
        <v>151326.43298258001</v>
      </c>
      <c r="N639" s="7">
        <v>1</v>
      </c>
      <c r="O639" s="7">
        <v>13</v>
      </c>
      <c r="P639" s="7">
        <v>0</v>
      </c>
      <c r="Q639" s="7">
        <v>2</v>
      </c>
      <c r="R639" s="7">
        <f t="shared" si="56"/>
        <v>16</v>
      </c>
      <c r="S639" t="s">
        <v>68</v>
      </c>
      <c r="T639" s="7">
        <v>4</v>
      </c>
      <c r="U639" s="7">
        <v>13</v>
      </c>
      <c r="V639" s="7">
        <v>3</v>
      </c>
      <c r="W639" s="7">
        <v>2</v>
      </c>
      <c r="X639" s="7">
        <f t="shared" si="57"/>
        <v>22</v>
      </c>
      <c r="Y639" t="s">
        <v>83</v>
      </c>
      <c r="Z639">
        <v>79580.311772460002</v>
      </c>
      <c r="AA639" t="s">
        <v>298</v>
      </c>
      <c r="AB639">
        <v>83</v>
      </c>
      <c r="AC639">
        <v>1897</v>
      </c>
      <c r="AD639" t="s">
        <v>72</v>
      </c>
      <c r="AE639" t="s">
        <v>41</v>
      </c>
      <c r="AF639">
        <v>297</v>
      </c>
      <c r="AG639" s="8">
        <v>83</v>
      </c>
      <c r="AH639">
        <v>6</v>
      </c>
      <c r="AI639">
        <v>22</v>
      </c>
      <c r="AJ639">
        <v>3</v>
      </c>
      <c r="AK639">
        <v>7.2289156626506021E-2</v>
      </c>
      <c r="AL639">
        <v>0.65858555993814205</v>
      </c>
      <c r="AM639">
        <v>13</v>
      </c>
      <c r="AN639">
        <v>0</v>
      </c>
      <c r="AO639">
        <v>0.375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>
        <v>230906.74475504001</v>
      </c>
      <c r="AV639">
        <v>21</v>
      </c>
      <c r="AW639">
        <f t="shared" si="58"/>
        <v>1</v>
      </c>
      <c r="AX639">
        <v>1897</v>
      </c>
      <c r="AY639">
        <f t="shared" si="59"/>
        <v>1</v>
      </c>
      <c r="AZ639">
        <v>6.3872053872053876</v>
      </c>
      <c r="BA639">
        <v>3</v>
      </c>
      <c r="BB639">
        <v>2019</v>
      </c>
      <c r="BC639">
        <v>1</v>
      </c>
      <c r="BD639">
        <v>2020</v>
      </c>
      <c r="BE639">
        <v>1</v>
      </c>
      <c r="BF639">
        <v>2020</v>
      </c>
    </row>
    <row r="640" spans="1:58" x14ac:dyDescent="0.2">
      <c r="A640" s="7">
        <v>0</v>
      </c>
      <c r="B640" s="7">
        <v>6</v>
      </c>
      <c r="C640" s="7">
        <v>0</v>
      </c>
      <c r="D640" s="7">
        <v>0</v>
      </c>
      <c r="E640" s="7">
        <f t="shared" si="54"/>
        <v>6</v>
      </c>
      <c r="F640" s="11" t="s">
        <v>36</v>
      </c>
      <c r="G640">
        <v>0</v>
      </c>
      <c r="H640">
        <v>6</v>
      </c>
      <c r="I640">
        <v>0</v>
      </c>
      <c r="J640">
        <v>0</v>
      </c>
      <c r="K640">
        <f t="shared" si="55"/>
        <v>6</v>
      </c>
      <c r="L640" t="s">
        <v>36</v>
      </c>
      <c r="M640">
        <v>43772.747399669999</v>
      </c>
      <c r="N640" s="7">
        <v>3</v>
      </c>
      <c r="O640" s="7">
        <v>13</v>
      </c>
      <c r="P640" s="7">
        <v>0</v>
      </c>
      <c r="Q640" s="7">
        <v>2</v>
      </c>
      <c r="R640" s="7">
        <f t="shared" si="56"/>
        <v>18</v>
      </c>
      <c r="S640" t="s">
        <v>36</v>
      </c>
      <c r="T640" s="7">
        <v>11</v>
      </c>
      <c r="U640" s="7">
        <v>25</v>
      </c>
      <c r="V640" s="7">
        <v>3</v>
      </c>
      <c r="W640" s="7">
        <v>7</v>
      </c>
      <c r="X640" s="7">
        <f t="shared" si="57"/>
        <v>46</v>
      </c>
      <c r="Y640" t="e">
        <v>#N/A</v>
      </c>
      <c r="Z640">
        <v>191986.01744977999</v>
      </c>
      <c r="AA640" t="s">
        <v>1015</v>
      </c>
      <c r="AB640">
        <v>42</v>
      </c>
      <c r="AC640">
        <v>378</v>
      </c>
      <c r="AD640" t="s">
        <v>248</v>
      </c>
      <c r="AE640" t="s">
        <v>41</v>
      </c>
      <c r="AF640" t="e">
        <v>#N/A</v>
      </c>
      <c r="AG640" s="8">
        <v>664</v>
      </c>
      <c r="AH640">
        <v>28</v>
      </c>
      <c r="AI640">
        <v>40</v>
      </c>
      <c r="AJ640">
        <v>0</v>
      </c>
      <c r="AK640">
        <v>4.2168674698795178E-2</v>
      </c>
      <c r="AL640">
        <v>1.0866107359888659</v>
      </c>
      <c r="AM640">
        <v>12</v>
      </c>
      <c r="AN640">
        <v>0</v>
      </c>
      <c r="AO640">
        <v>1.5555555555555556</v>
      </c>
      <c r="AP640">
        <v>4.666666666666667</v>
      </c>
      <c r="AQ640">
        <v>0</v>
      </c>
      <c r="AR640">
        <v>0</v>
      </c>
      <c r="AS640">
        <v>1</v>
      </c>
      <c r="AT640">
        <v>0</v>
      </c>
      <c r="AU640">
        <v>235758.76484944997</v>
      </c>
      <c r="AV640">
        <v>8</v>
      </c>
      <c r="AW640">
        <f t="shared" si="58"/>
        <v>0</v>
      </c>
      <c r="AX640">
        <v>378</v>
      </c>
      <c r="AY640">
        <f t="shared" si="59"/>
        <v>1</v>
      </c>
      <c r="AZ640" t="e">
        <v>#N/A</v>
      </c>
      <c r="BA640">
        <v>1</v>
      </c>
      <c r="BB640">
        <v>2019</v>
      </c>
      <c r="BC640">
        <v>1</v>
      </c>
      <c r="BD640">
        <v>2019</v>
      </c>
      <c r="BE640">
        <v>1</v>
      </c>
      <c r="BF640">
        <v>2019</v>
      </c>
    </row>
    <row r="641" spans="1:58" x14ac:dyDescent="0.2">
      <c r="A641" s="7">
        <v>8</v>
      </c>
      <c r="B641" s="7">
        <v>15</v>
      </c>
      <c r="C641" s="7">
        <v>2</v>
      </c>
      <c r="D641" s="7">
        <v>4</v>
      </c>
      <c r="E641" s="7">
        <f t="shared" si="54"/>
        <v>29</v>
      </c>
      <c r="F641" s="11" t="s">
        <v>36</v>
      </c>
      <c r="G641">
        <v>8</v>
      </c>
      <c r="H641">
        <v>15</v>
      </c>
      <c r="I641">
        <v>2</v>
      </c>
      <c r="J641">
        <v>4</v>
      </c>
      <c r="K641">
        <f t="shared" si="55"/>
        <v>29</v>
      </c>
      <c r="L641" t="s">
        <v>36</v>
      </c>
      <c r="M641">
        <v>12669.727721540001</v>
      </c>
      <c r="N641" s="7">
        <v>8</v>
      </c>
      <c r="O641" s="7">
        <v>18</v>
      </c>
      <c r="P641" s="7">
        <v>2</v>
      </c>
      <c r="Q641" s="7">
        <v>5</v>
      </c>
      <c r="R641" s="7">
        <f t="shared" si="56"/>
        <v>33</v>
      </c>
      <c r="S641" t="s">
        <v>36</v>
      </c>
      <c r="T641" s="7">
        <v>20</v>
      </c>
      <c r="U641" s="7">
        <v>36</v>
      </c>
      <c r="V641" s="7">
        <v>8</v>
      </c>
      <c r="W641" s="7">
        <v>7</v>
      </c>
      <c r="X641" s="7">
        <f t="shared" si="57"/>
        <v>71</v>
      </c>
      <c r="Y641" t="e">
        <v>#N/A</v>
      </c>
      <c r="Z641">
        <v>100117.871697</v>
      </c>
      <c r="AA641" t="s">
        <v>1016</v>
      </c>
      <c r="AB641">
        <v>49</v>
      </c>
      <c r="AC641">
        <v>0</v>
      </c>
      <c r="AD641" t="s">
        <v>131</v>
      </c>
      <c r="AE641" t="s">
        <v>75</v>
      </c>
      <c r="AF641" t="e">
        <v>#N/A</v>
      </c>
      <c r="AG641" s="8">
        <v>427</v>
      </c>
      <c r="AH641">
        <v>38</v>
      </c>
      <c r="AI641">
        <v>42</v>
      </c>
      <c r="AJ641">
        <v>0</v>
      </c>
      <c r="AK641">
        <v>8.899297423887588E-2</v>
      </c>
      <c r="AL641">
        <v>1.8389488902841435</v>
      </c>
      <c r="AM641">
        <v>4</v>
      </c>
      <c r="AN641">
        <v>0</v>
      </c>
      <c r="AO641">
        <v>1.1515151515151516</v>
      </c>
      <c r="AP641">
        <v>1.3103448275862069</v>
      </c>
      <c r="AQ641">
        <v>0.13793103448275862</v>
      </c>
      <c r="AR641">
        <v>0.27586206896551724</v>
      </c>
      <c r="AS641">
        <v>0.51724137931034486</v>
      </c>
      <c r="AT641">
        <v>6.8965517241379309E-2</v>
      </c>
      <c r="AU641">
        <v>112787.59941853999</v>
      </c>
      <c r="AV641">
        <v>5</v>
      </c>
      <c r="AW641">
        <f t="shared" si="58"/>
        <v>0</v>
      </c>
      <c r="AX641">
        <v>0</v>
      </c>
      <c r="AY641">
        <f t="shared" si="59"/>
        <v>0</v>
      </c>
      <c r="AZ641" t="e">
        <v>#N/A</v>
      </c>
      <c r="BA641">
        <v>10</v>
      </c>
      <c r="BB641">
        <v>2019</v>
      </c>
      <c r="BC641">
        <v>10</v>
      </c>
      <c r="BD641">
        <v>2019</v>
      </c>
      <c r="BE641">
        <v>1</v>
      </c>
      <c r="BF641">
        <v>2019</v>
      </c>
    </row>
    <row r="642" spans="1:58" x14ac:dyDescent="0.2">
      <c r="A642" s="7">
        <v>5</v>
      </c>
      <c r="B642" s="7">
        <v>10</v>
      </c>
      <c r="C642" s="7">
        <v>0</v>
      </c>
      <c r="D642" s="7">
        <v>0</v>
      </c>
      <c r="E642" s="7">
        <f t="shared" ref="E642:E705" si="60">SUM(A642,B642,C642,D642)</f>
        <v>15</v>
      </c>
      <c r="F642" s="11" t="s">
        <v>39</v>
      </c>
      <c r="G642">
        <v>7</v>
      </c>
      <c r="H642">
        <v>15</v>
      </c>
      <c r="I642">
        <v>0</v>
      </c>
      <c r="J642">
        <v>5</v>
      </c>
      <c r="K642">
        <f t="shared" ref="K642:K705" si="61">SUM(G642,H642,I642,J642)</f>
        <v>27</v>
      </c>
      <c r="L642" t="s">
        <v>39</v>
      </c>
      <c r="M642">
        <v>35528.478587710008</v>
      </c>
      <c r="N642" s="7">
        <v>9</v>
      </c>
      <c r="O642" s="7">
        <v>30</v>
      </c>
      <c r="P642" s="7">
        <v>2</v>
      </c>
      <c r="Q642" s="7">
        <v>6</v>
      </c>
      <c r="R642" s="7">
        <f t="shared" ref="R642:R705" si="62">SUM(N642,O642,P642,Q642)</f>
        <v>47</v>
      </c>
      <c r="S642" t="s">
        <v>36</v>
      </c>
      <c r="T642" s="7">
        <v>20</v>
      </c>
      <c r="U642" s="7">
        <v>40</v>
      </c>
      <c r="V642" s="7">
        <v>10</v>
      </c>
      <c r="W642" s="7">
        <v>30</v>
      </c>
      <c r="X642" s="7">
        <f t="shared" ref="X642:X705" si="63">SUM(T642,U642,V642,W642)</f>
        <v>100</v>
      </c>
      <c r="Y642" t="s">
        <v>36</v>
      </c>
      <c r="Z642">
        <v>67580.80923690999</v>
      </c>
      <c r="AA642" t="s">
        <v>1017</v>
      </c>
      <c r="AB642">
        <v>27</v>
      </c>
      <c r="AC642">
        <v>114</v>
      </c>
      <c r="AD642" t="s">
        <v>174</v>
      </c>
      <c r="AE642" t="s">
        <v>75</v>
      </c>
      <c r="AF642">
        <v>183</v>
      </c>
      <c r="AG642" s="8">
        <v>405</v>
      </c>
      <c r="AH642">
        <v>53</v>
      </c>
      <c r="AI642">
        <v>85</v>
      </c>
      <c r="AJ642">
        <v>12</v>
      </c>
      <c r="AK642">
        <v>0.1308641975308642</v>
      </c>
      <c r="AL642">
        <v>2.6335911734997524</v>
      </c>
      <c r="AM642">
        <v>20</v>
      </c>
      <c r="AN642">
        <v>0</v>
      </c>
      <c r="AO642">
        <v>1.1276595744680851</v>
      </c>
      <c r="AP642">
        <v>3.5333333333333332</v>
      </c>
      <c r="AQ642">
        <v>0</v>
      </c>
      <c r="AR642">
        <v>0.33333333333333331</v>
      </c>
      <c r="AS642">
        <v>0.66666666666666663</v>
      </c>
      <c r="AT642">
        <v>0</v>
      </c>
      <c r="AU642">
        <v>103109.28782462</v>
      </c>
      <c r="AV642">
        <v>4</v>
      </c>
      <c r="AW642">
        <f t="shared" si="58"/>
        <v>0</v>
      </c>
      <c r="AX642">
        <v>114</v>
      </c>
      <c r="AY642">
        <f t="shared" si="59"/>
        <v>1</v>
      </c>
      <c r="AZ642">
        <v>0.62295081967213117</v>
      </c>
      <c r="BA642">
        <v>4</v>
      </c>
      <c r="BB642">
        <v>2019</v>
      </c>
      <c r="BC642">
        <v>10</v>
      </c>
      <c r="BD642">
        <v>2019</v>
      </c>
      <c r="BE642">
        <v>1</v>
      </c>
      <c r="BF642">
        <v>2019</v>
      </c>
    </row>
    <row r="643" spans="1:58" x14ac:dyDescent="0.2">
      <c r="A643" s="7">
        <v>4</v>
      </c>
      <c r="B643" s="7">
        <v>10</v>
      </c>
      <c r="C643" s="7">
        <v>0</v>
      </c>
      <c r="D643" s="7">
        <v>0</v>
      </c>
      <c r="E643" s="7">
        <f t="shared" si="60"/>
        <v>14</v>
      </c>
      <c r="F643" s="11" t="s">
        <v>36</v>
      </c>
      <c r="G643">
        <v>4</v>
      </c>
      <c r="H643">
        <v>10</v>
      </c>
      <c r="I643">
        <v>0</v>
      </c>
      <c r="J643">
        <v>0</v>
      </c>
      <c r="K643">
        <f t="shared" si="61"/>
        <v>14</v>
      </c>
      <c r="L643" t="s">
        <v>36</v>
      </c>
      <c r="M643">
        <v>14975.238649200001</v>
      </c>
      <c r="N643" s="7">
        <v>8</v>
      </c>
      <c r="O643" s="7">
        <v>36</v>
      </c>
      <c r="P643" s="7">
        <v>1</v>
      </c>
      <c r="Q643" s="7">
        <v>5</v>
      </c>
      <c r="R643" s="7">
        <f t="shared" si="62"/>
        <v>50</v>
      </c>
      <c r="S643" t="s">
        <v>36</v>
      </c>
      <c r="T643" s="7">
        <v>20</v>
      </c>
      <c r="U643" s="7">
        <v>39</v>
      </c>
      <c r="V643" s="7">
        <v>9</v>
      </c>
      <c r="W643" s="7">
        <v>20</v>
      </c>
      <c r="X643" s="7">
        <f t="shared" si="63"/>
        <v>88</v>
      </c>
      <c r="Y643" t="e">
        <v>#N/A</v>
      </c>
      <c r="Z643">
        <v>71135.140072020004</v>
      </c>
      <c r="AA643" t="s">
        <v>1018</v>
      </c>
      <c r="AB643">
        <v>47</v>
      </c>
      <c r="AC643">
        <v>122</v>
      </c>
      <c r="AD643" t="s">
        <v>174</v>
      </c>
      <c r="AE643" t="s">
        <v>75</v>
      </c>
      <c r="AF643" t="e">
        <v>#N/A</v>
      </c>
      <c r="AG643" s="8">
        <v>431</v>
      </c>
      <c r="AH643">
        <v>38</v>
      </c>
      <c r="AI643">
        <v>74</v>
      </c>
      <c r="AJ643">
        <v>0</v>
      </c>
      <c r="AK643">
        <v>8.8167053364269138E-2</v>
      </c>
      <c r="AL643">
        <v>1.8303955932645346</v>
      </c>
      <c r="AM643">
        <v>36</v>
      </c>
      <c r="AN643">
        <v>0</v>
      </c>
      <c r="AO643">
        <v>0.76</v>
      </c>
      <c r="AP643">
        <v>2.7142857142857144</v>
      </c>
      <c r="AQ643">
        <v>0</v>
      </c>
      <c r="AR643">
        <v>0.2857142857142857</v>
      </c>
      <c r="AS643">
        <v>0.7142857142857143</v>
      </c>
      <c r="AT643">
        <v>0</v>
      </c>
      <c r="AU643">
        <v>86110.378721220011</v>
      </c>
      <c r="AV643">
        <v>14</v>
      </c>
      <c r="AW643">
        <f t="shared" ref="AW643:AW706" si="64">IF(AV643="n/a","n/a",IF(AV643&gt;=10,1,0))</f>
        <v>1</v>
      </c>
      <c r="AX643">
        <v>122</v>
      </c>
      <c r="AY643">
        <f t="shared" ref="AY643:AY706" si="65">IF(
  ISBLANK(AX643),
  NA(),
  IF(AX643&gt;0, 1, 0)
)</f>
        <v>1</v>
      </c>
      <c r="AZ643" t="e">
        <v>#N/A</v>
      </c>
      <c r="BA643">
        <v>7</v>
      </c>
      <c r="BB643">
        <v>2019</v>
      </c>
      <c r="BC643">
        <v>7</v>
      </c>
      <c r="BD643">
        <v>2019</v>
      </c>
      <c r="BE643">
        <v>1</v>
      </c>
      <c r="BF643">
        <v>2019</v>
      </c>
    </row>
    <row r="644" spans="1:58" x14ac:dyDescent="0.2">
      <c r="A644" s="7">
        <v>2</v>
      </c>
      <c r="B644" s="7">
        <v>4</v>
      </c>
      <c r="C644" s="7">
        <v>0</v>
      </c>
      <c r="D644" s="7">
        <v>0</v>
      </c>
      <c r="E644" s="7">
        <f t="shared" si="60"/>
        <v>6</v>
      </c>
      <c r="F644" s="11" t="s">
        <v>36</v>
      </c>
      <c r="G644">
        <v>0</v>
      </c>
      <c r="H644">
        <v>6</v>
      </c>
      <c r="I644">
        <v>0</v>
      </c>
      <c r="J644">
        <v>0</v>
      </c>
      <c r="K644">
        <f t="shared" si="61"/>
        <v>6</v>
      </c>
      <c r="L644" t="s">
        <v>39</v>
      </c>
      <c r="M644">
        <v>63099.416282029997</v>
      </c>
      <c r="N644" s="7">
        <v>3</v>
      </c>
      <c r="O644" s="7">
        <v>12</v>
      </c>
      <c r="P644" s="7">
        <v>0</v>
      </c>
      <c r="Q644" s="7">
        <v>0</v>
      </c>
      <c r="R644" s="7">
        <f t="shared" si="62"/>
        <v>15</v>
      </c>
      <c r="S644" t="s">
        <v>36</v>
      </c>
      <c r="T644" s="7">
        <v>16</v>
      </c>
      <c r="U644" s="7">
        <v>25</v>
      </c>
      <c r="V644" s="7">
        <v>8</v>
      </c>
      <c r="W644" s="7">
        <v>7</v>
      </c>
      <c r="X644" s="7">
        <f t="shared" si="63"/>
        <v>56</v>
      </c>
      <c r="Y644" t="e">
        <v>#N/A</v>
      </c>
      <c r="Z644">
        <v>193917.74409985999</v>
      </c>
      <c r="AA644" t="s">
        <v>1019</v>
      </c>
      <c r="AB644">
        <v>72</v>
      </c>
      <c r="AC644">
        <v>888</v>
      </c>
      <c r="AD644" t="s">
        <v>254</v>
      </c>
      <c r="AE644" t="s">
        <v>41</v>
      </c>
      <c r="AF644">
        <v>121</v>
      </c>
      <c r="AG644" s="8">
        <v>530</v>
      </c>
      <c r="AH644">
        <v>41</v>
      </c>
      <c r="AI644">
        <v>50</v>
      </c>
      <c r="AJ644">
        <v>0</v>
      </c>
      <c r="AK644">
        <v>7.7358490566037733E-2</v>
      </c>
      <c r="AL644">
        <v>1.7809261953285844</v>
      </c>
      <c r="AM644">
        <v>9</v>
      </c>
      <c r="AN644">
        <v>0</v>
      </c>
      <c r="AO644">
        <v>2.7333333333333334</v>
      </c>
      <c r="AP644">
        <v>6.833333333333333</v>
      </c>
      <c r="AQ644">
        <v>0</v>
      </c>
      <c r="AR644">
        <v>0.33333333333333331</v>
      </c>
      <c r="AS644">
        <v>0.66666666666666663</v>
      </c>
      <c r="AT644">
        <v>0</v>
      </c>
      <c r="AU644">
        <v>257017.16038188999</v>
      </c>
      <c r="AV644">
        <v>7</v>
      </c>
      <c r="AW644">
        <f t="shared" si="64"/>
        <v>0</v>
      </c>
      <c r="AX644">
        <v>888</v>
      </c>
      <c r="AY644">
        <f t="shared" si="65"/>
        <v>1</v>
      </c>
      <c r="AZ644">
        <v>7.338842975206612</v>
      </c>
      <c r="BA644">
        <v>4</v>
      </c>
      <c r="BB644">
        <v>2019</v>
      </c>
      <c r="BC644">
        <v>8</v>
      </c>
      <c r="BD644">
        <v>2019</v>
      </c>
      <c r="BE644">
        <v>1</v>
      </c>
      <c r="BF644">
        <v>2019</v>
      </c>
    </row>
    <row r="645" spans="1:58" x14ac:dyDescent="0.2">
      <c r="A645" s="7">
        <v>0</v>
      </c>
      <c r="B645" s="7">
        <v>10</v>
      </c>
      <c r="C645" s="7">
        <v>0</v>
      </c>
      <c r="D645" s="7">
        <v>0</v>
      </c>
      <c r="E645" s="7">
        <f t="shared" si="60"/>
        <v>10</v>
      </c>
      <c r="F645" s="11" t="s">
        <v>55</v>
      </c>
      <c r="G645">
        <v>0</v>
      </c>
      <c r="H645">
        <v>10</v>
      </c>
      <c r="I645">
        <v>0</v>
      </c>
      <c r="J645">
        <v>0</v>
      </c>
      <c r="K645">
        <f t="shared" si="61"/>
        <v>10</v>
      </c>
      <c r="L645" t="s">
        <v>55</v>
      </c>
      <c r="M645">
        <v>22988.817822109999</v>
      </c>
      <c r="N645" s="7">
        <v>13</v>
      </c>
      <c r="O645" s="7">
        <v>10</v>
      </c>
      <c r="P645" s="7">
        <v>0</v>
      </c>
      <c r="Q645" s="7">
        <v>0</v>
      </c>
      <c r="R645" s="7">
        <f t="shared" si="62"/>
        <v>23</v>
      </c>
      <c r="S645" t="s">
        <v>55</v>
      </c>
      <c r="T645" s="7">
        <v>18</v>
      </c>
      <c r="U645" s="7">
        <v>28</v>
      </c>
      <c r="V645" s="7">
        <v>7</v>
      </c>
      <c r="W645" s="7">
        <v>7</v>
      </c>
      <c r="X645" s="7">
        <f t="shared" si="63"/>
        <v>60</v>
      </c>
      <c r="Y645" t="e">
        <v>#N/A</v>
      </c>
      <c r="Z645">
        <v>132582.45605869</v>
      </c>
      <c r="AA645" t="s">
        <v>1020</v>
      </c>
      <c r="AB645">
        <v>26</v>
      </c>
      <c r="AC645">
        <v>314</v>
      </c>
      <c r="AD645" t="s">
        <v>258</v>
      </c>
      <c r="AE645" t="s">
        <v>41</v>
      </c>
      <c r="AF645" t="e">
        <v>#N/A</v>
      </c>
      <c r="AG645" s="8">
        <v>444</v>
      </c>
      <c r="AH645">
        <v>37</v>
      </c>
      <c r="AI645">
        <v>50</v>
      </c>
      <c r="AJ645">
        <v>0</v>
      </c>
      <c r="AK645">
        <v>8.3333333333333329E-2</v>
      </c>
      <c r="AL645">
        <v>1.7559422921421233</v>
      </c>
      <c r="AM645">
        <v>13</v>
      </c>
      <c r="AN645">
        <v>0</v>
      </c>
      <c r="AO645">
        <v>1.6086956521739131</v>
      </c>
      <c r="AP645">
        <v>3.7</v>
      </c>
      <c r="AQ645">
        <v>0</v>
      </c>
      <c r="AR645">
        <v>0</v>
      </c>
      <c r="AS645">
        <v>1</v>
      </c>
      <c r="AT645">
        <v>0</v>
      </c>
      <c r="AU645">
        <v>155571.2738808</v>
      </c>
      <c r="AV645">
        <v>15</v>
      </c>
      <c r="AW645">
        <f t="shared" si="64"/>
        <v>1</v>
      </c>
      <c r="AX645">
        <v>314</v>
      </c>
      <c r="AY645">
        <f t="shared" si="65"/>
        <v>1</v>
      </c>
      <c r="AZ645" t="e">
        <v>#N/A</v>
      </c>
      <c r="BA645">
        <v>9</v>
      </c>
      <c r="BB645">
        <v>2019</v>
      </c>
      <c r="BC645">
        <v>9</v>
      </c>
      <c r="BD645">
        <v>2019</v>
      </c>
      <c r="BE645">
        <v>1</v>
      </c>
      <c r="BF645">
        <v>2019</v>
      </c>
    </row>
    <row r="646" spans="1:58" x14ac:dyDescent="0.2">
      <c r="A646" s="7">
        <v>15</v>
      </c>
      <c r="B646" s="7">
        <v>15</v>
      </c>
      <c r="C646" s="7">
        <v>0</v>
      </c>
      <c r="D646" s="7">
        <v>2</v>
      </c>
      <c r="E646" s="7">
        <f t="shared" si="60"/>
        <v>32</v>
      </c>
      <c r="F646" s="11" t="s">
        <v>68</v>
      </c>
      <c r="G646">
        <v>15</v>
      </c>
      <c r="H646">
        <v>15</v>
      </c>
      <c r="I646">
        <v>0</v>
      </c>
      <c r="J646">
        <v>2</v>
      </c>
      <c r="K646">
        <f t="shared" si="61"/>
        <v>32</v>
      </c>
      <c r="L646" t="s">
        <v>68</v>
      </c>
      <c r="M646">
        <v>11958.007374430001</v>
      </c>
      <c r="N646" s="7">
        <v>11</v>
      </c>
      <c r="O646" s="7">
        <v>15</v>
      </c>
      <c r="P646" s="7">
        <v>0</v>
      </c>
      <c r="Q646" s="7">
        <v>2</v>
      </c>
      <c r="R646" s="7">
        <f t="shared" si="62"/>
        <v>28</v>
      </c>
      <c r="S646" t="s">
        <v>35</v>
      </c>
      <c r="T646" s="7">
        <v>6</v>
      </c>
      <c r="U646" s="7">
        <v>15</v>
      </c>
      <c r="V646" s="7">
        <v>0</v>
      </c>
      <c r="W646" s="7">
        <v>3</v>
      </c>
      <c r="X646" s="7">
        <f t="shared" si="63"/>
        <v>24</v>
      </c>
      <c r="Y646" t="s">
        <v>36</v>
      </c>
      <c r="Z646">
        <v>106585.99091091999</v>
      </c>
      <c r="AA646" t="s">
        <v>1021</v>
      </c>
      <c r="AB646">
        <v>77</v>
      </c>
      <c r="AC646">
        <v>0</v>
      </c>
      <c r="AD646" t="s">
        <v>131</v>
      </c>
      <c r="AE646" t="s">
        <v>41</v>
      </c>
      <c r="AF646" t="e">
        <v>#N/A</v>
      </c>
      <c r="AG646" s="8">
        <v>337</v>
      </c>
      <c r="AH646">
        <v>-4</v>
      </c>
      <c r="AI646">
        <v>-8</v>
      </c>
      <c r="AJ646">
        <v>0</v>
      </c>
      <c r="AK646">
        <v>-1.1869436201780416E-2</v>
      </c>
      <c r="AL646">
        <v>-0.21789388428113732</v>
      </c>
      <c r="AM646">
        <v>-4</v>
      </c>
      <c r="AN646">
        <v>1</v>
      </c>
      <c r="AO646">
        <v>-0.14285714285714285</v>
      </c>
      <c r="AP646">
        <v>-0.125</v>
      </c>
      <c r="AQ646">
        <v>6.25E-2</v>
      </c>
      <c r="AR646">
        <v>0.46875</v>
      </c>
      <c r="AS646">
        <v>0.46875</v>
      </c>
      <c r="AT646">
        <v>0</v>
      </c>
      <c r="AU646">
        <v>118543.99828535</v>
      </c>
      <c r="AV646">
        <v>15</v>
      </c>
      <c r="AW646">
        <f t="shared" si="64"/>
        <v>1</v>
      </c>
      <c r="AX646">
        <v>0</v>
      </c>
      <c r="AY646">
        <f t="shared" si="65"/>
        <v>0</v>
      </c>
      <c r="AZ646" t="e">
        <v>#N/A</v>
      </c>
      <c r="BA646">
        <v>10</v>
      </c>
      <c r="BB646">
        <v>2019</v>
      </c>
      <c r="BC646">
        <v>10</v>
      </c>
      <c r="BD646">
        <v>2019</v>
      </c>
      <c r="BE646">
        <v>10</v>
      </c>
      <c r="BF646">
        <v>2019</v>
      </c>
    </row>
    <row r="647" spans="1:58" x14ac:dyDescent="0.2">
      <c r="A647" s="7">
        <v>12</v>
      </c>
      <c r="B647" s="7">
        <v>10</v>
      </c>
      <c r="C647" s="7">
        <v>6</v>
      </c>
      <c r="D647" s="7">
        <v>1</v>
      </c>
      <c r="E647" s="7">
        <f t="shared" si="60"/>
        <v>29</v>
      </c>
      <c r="F647" s="11" t="s">
        <v>83</v>
      </c>
      <c r="G647">
        <v>0</v>
      </c>
      <c r="H647">
        <v>2</v>
      </c>
      <c r="I647">
        <v>0</v>
      </c>
      <c r="J647">
        <v>0</v>
      </c>
      <c r="K647">
        <f t="shared" si="61"/>
        <v>2</v>
      </c>
      <c r="L647" t="s">
        <v>83</v>
      </c>
      <c r="M647">
        <v>27540.86841427</v>
      </c>
      <c r="N647" s="7">
        <v>14</v>
      </c>
      <c r="O647" s="7">
        <v>9</v>
      </c>
      <c r="P647" s="7">
        <v>6</v>
      </c>
      <c r="Q647" s="7">
        <v>1</v>
      </c>
      <c r="R647" s="7">
        <f t="shared" si="62"/>
        <v>30</v>
      </c>
      <c r="S647" t="s">
        <v>83</v>
      </c>
      <c r="T647" s="7">
        <v>14</v>
      </c>
      <c r="U647" s="7">
        <v>9</v>
      </c>
      <c r="V647" s="7">
        <v>6</v>
      </c>
      <c r="W647" s="7">
        <v>1</v>
      </c>
      <c r="X647" s="7">
        <f t="shared" si="63"/>
        <v>30</v>
      </c>
      <c r="Y647" t="s">
        <v>83</v>
      </c>
      <c r="Z647">
        <v>12491.207892820001</v>
      </c>
      <c r="AA647" t="s">
        <v>1022</v>
      </c>
      <c r="AB647">
        <v>63</v>
      </c>
      <c r="AC647">
        <v>481</v>
      </c>
      <c r="AD647" t="s">
        <v>265</v>
      </c>
      <c r="AE647" t="s">
        <v>41</v>
      </c>
      <c r="AF647">
        <v>156</v>
      </c>
      <c r="AG647" s="8">
        <v>0</v>
      </c>
      <c r="AH647">
        <v>0</v>
      </c>
      <c r="AI647">
        <v>1</v>
      </c>
      <c r="AJ647">
        <v>-27</v>
      </c>
      <c r="AK647" t="e">
        <v>#N/A</v>
      </c>
      <c r="AL647" t="e">
        <v>#N/A</v>
      </c>
      <c r="AM647">
        <v>28</v>
      </c>
      <c r="AN647">
        <v>0</v>
      </c>
      <c r="AO647">
        <v>0</v>
      </c>
      <c r="AP647">
        <v>0</v>
      </c>
      <c r="AQ647">
        <v>3.4482758620689655E-2</v>
      </c>
      <c r="AR647">
        <v>0.41379310344827586</v>
      </c>
      <c r="AS647">
        <v>0.34482758620689657</v>
      </c>
      <c r="AT647">
        <v>0.20689655172413793</v>
      </c>
      <c r="AU647">
        <v>40032.076307089999</v>
      </c>
      <c r="AV647">
        <v>15</v>
      </c>
      <c r="AW647">
        <f t="shared" si="64"/>
        <v>1</v>
      </c>
      <c r="AX647">
        <v>481</v>
      </c>
      <c r="AY647">
        <f t="shared" si="65"/>
        <v>1</v>
      </c>
      <c r="AZ647">
        <v>3.0833333333333335</v>
      </c>
      <c r="BA647">
        <v>5</v>
      </c>
      <c r="BB647">
        <v>2019</v>
      </c>
      <c r="BC647">
        <v>10</v>
      </c>
      <c r="BD647">
        <v>2019</v>
      </c>
      <c r="BE647">
        <v>11</v>
      </c>
      <c r="BF647">
        <v>2019</v>
      </c>
    </row>
    <row r="648" spans="1:58" x14ac:dyDescent="0.2">
      <c r="A648" s="7">
        <v>7</v>
      </c>
      <c r="B648" s="7">
        <v>9</v>
      </c>
      <c r="C648" s="7">
        <v>0</v>
      </c>
      <c r="D648" s="7">
        <v>0</v>
      </c>
      <c r="E648" s="7">
        <f t="shared" si="60"/>
        <v>16</v>
      </c>
      <c r="F648" s="11" t="s">
        <v>37</v>
      </c>
      <c r="G648">
        <v>0</v>
      </c>
      <c r="H648">
        <v>6</v>
      </c>
      <c r="I648">
        <v>0</v>
      </c>
      <c r="J648">
        <v>0</v>
      </c>
      <c r="K648">
        <f t="shared" si="61"/>
        <v>6</v>
      </c>
      <c r="L648" t="s">
        <v>62</v>
      </c>
      <c r="M648">
        <v>67026.846114610002</v>
      </c>
      <c r="N648" s="7">
        <v>5</v>
      </c>
      <c r="O648" s="7">
        <v>15</v>
      </c>
      <c r="P648" s="7">
        <v>1</v>
      </c>
      <c r="Q648" s="7">
        <v>3</v>
      </c>
      <c r="R648" s="7">
        <f t="shared" si="62"/>
        <v>24</v>
      </c>
      <c r="S648" t="s">
        <v>42</v>
      </c>
      <c r="T648" s="7">
        <v>20</v>
      </c>
      <c r="U648" s="7">
        <v>40</v>
      </c>
      <c r="V648" s="7">
        <v>9</v>
      </c>
      <c r="W648" s="7">
        <v>25</v>
      </c>
      <c r="X648" s="7">
        <f t="shared" si="63"/>
        <v>94</v>
      </c>
      <c r="Y648" t="s">
        <v>36</v>
      </c>
      <c r="Z648">
        <v>80480.767320349987</v>
      </c>
      <c r="AA648" t="s">
        <v>1023</v>
      </c>
      <c r="AB648">
        <v>75</v>
      </c>
      <c r="AC648">
        <v>0</v>
      </c>
      <c r="AD648" t="s">
        <v>299</v>
      </c>
      <c r="AE648" t="s">
        <v>41</v>
      </c>
      <c r="AF648">
        <v>193</v>
      </c>
      <c r="AG648" s="8">
        <v>448</v>
      </c>
      <c r="AH648">
        <v>70</v>
      </c>
      <c r="AI648">
        <v>78</v>
      </c>
      <c r="AJ648">
        <v>-10</v>
      </c>
      <c r="AK648">
        <v>0.15625</v>
      </c>
      <c r="AL648">
        <v>3.3071891388307382</v>
      </c>
      <c r="AM648">
        <v>18</v>
      </c>
      <c r="AN648">
        <v>0</v>
      </c>
      <c r="AO648">
        <v>2.9166666666666665</v>
      </c>
      <c r="AP648">
        <v>4.375</v>
      </c>
      <c r="AQ648">
        <v>0</v>
      </c>
      <c r="AR648">
        <v>0.4375</v>
      </c>
      <c r="AS648">
        <v>0.5625</v>
      </c>
      <c r="AT648">
        <v>0</v>
      </c>
      <c r="AU648">
        <v>147507.61343495999</v>
      </c>
      <c r="AV648">
        <v>10</v>
      </c>
      <c r="AW648">
        <f t="shared" si="64"/>
        <v>1</v>
      </c>
      <c r="AX648">
        <v>0</v>
      </c>
      <c r="AY648">
        <f t="shared" si="65"/>
        <v>0</v>
      </c>
      <c r="AZ648">
        <v>0</v>
      </c>
      <c r="BA648">
        <v>4</v>
      </c>
      <c r="BB648">
        <v>2019</v>
      </c>
      <c r="BC648">
        <v>10</v>
      </c>
      <c r="BD648">
        <v>2019</v>
      </c>
      <c r="BE648">
        <v>1</v>
      </c>
      <c r="BF648">
        <v>2019</v>
      </c>
    </row>
    <row r="649" spans="1:58" x14ac:dyDescent="0.2">
      <c r="A649" s="7">
        <v>9</v>
      </c>
      <c r="B649" s="7">
        <v>10</v>
      </c>
      <c r="C649" s="7">
        <v>0</v>
      </c>
      <c r="D649" s="7">
        <v>0</v>
      </c>
      <c r="E649" s="7">
        <f t="shared" si="60"/>
        <v>19</v>
      </c>
      <c r="F649" s="11" t="s">
        <v>36</v>
      </c>
      <c r="G649">
        <v>9</v>
      </c>
      <c r="H649">
        <v>10</v>
      </c>
      <c r="I649">
        <v>0</v>
      </c>
      <c r="J649">
        <v>0</v>
      </c>
      <c r="K649">
        <f t="shared" si="61"/>
        <v>19</v>
      </c>
      <c r="L649" t="s">
        <v>36</v>
      </c>
      <c r="M649">
        <v>12906.888462000001</v>
      </c>
      <c r="N649" s="7">
        <v>18</v>
      </c>
      <c r="O649" s="7">
        <v>17</v>
      </c>
      <c r="P649" s="7">
        <v>6</v>
      </c>
      <c r="Q649" s="7">
        <v>6</v>
      </c>
      <c r="R649" s="7">
        <f t="shared" si="62"/>
        <v>47</v>
      </c>
      <c r="S649" t="s">
        <v>36</v>
      </c>
      <c r="T649" s="7">
        <v>20</v>
      </c>
      <c r="U649" s="7">
        <v>35</v>
      </c>
      <c r="V649" s="7">
        <v>10</v>
      </c>
      <c r="W649" s="7">
        <v>7</v>
      </c>
      <c r="X649" s="7">
        <f t="shared" si="63"/>
        <v>72</v>
      </c>
      <c r="Y649" t="s">
        <v>36</v>
      </c>
      <c r="Z649">
        <v>89657.063626480012</v>
      </c>
      <c r="AA649" t="s">
        <v>1024</v>
      </c>
      <c r="AB649">
        <v>19</v>
      </c>
      <c r="AC649">
        <v>0</v>
      </c>
      <c r="AD649" t="s">
        <v>300</v>
      </c>
      <c r="AE649" t="s">
        <v>75</v>
      </c>
      <c r="AF649" t="e">
        <v>#N/A</v>
      </c>
      <c r="AG649" s="8">
        <v>358</v>
      </c>
      <c r="AH649">
        <v>25</v>
      </c>
      <c r="AI649">
        <v>53</v>
      </c>
      <c r="AJ649">
        <v>0</v>
      </c>
      <c r="AK649">
        <v>6.9832402234636867E-2</v>
      </c>
      <c r="AL649">
        <v>1.3212910564542248</v>
      </c>
      <c r="AM649">
        <v>28</v>
      </c>
      <c r="AN649">
        <v>0</v>
      </c>
      <c r="AO649">
        <v>0.53191489361702127</v>
      </c>
      <c r="AP649">
        <v>1.3157894736842106</v>
      </c>
      <c r="AQ649">
        <v>0</v>
      </c>
      <c r="AR649">
        <v>0.47368421052631576</v>
      </c>
      <c r="AS649">
        <v>0.52631578947368418</v>
      </c>
      <c r="AT649">
        <v>0</v>
      </c>
      <c r="AU649">
        <v>102563.95208848001</v>
      </c>
      <c r="AV649">
        <v>11</v>
      </c>
      <c r="AW649">
        <f t="shared" si="64"/>
        <v>1</v>
      </c>
      <c r="AX649">
        <v>0</v>
      </c>
      <c r="AY649">
        <f t="shared" si="65"/>
        <v>0</v>
      </c>
      <c r="AZ649" t="e">
        <v>#N/A</v>
      </c>
      <c r="BA649">
        <v>5</v>
      </c>
      <c r="BB649">
        <v>2019</v>
      </c>
      <c r="BC649">
        <v>5</v>
      </c>
      <c r="BD649">
        <v>2019</v>
      </c>
      <c r="BE649">
        <v>1</v>
      </c>
      <c r="BF649">
        <v>2019</v>
      </c>
    </row>
    <row r="650" spans="1:58" x14ac:dyDescent="0.2">
      <c r="A650" s="7">
        <v>11</v>
      </c>
      <c r="B650" s="7">
        <v>13</v>
      </c>
      <c r="C650" s="7">
        <v>4</v>
      </c>
      <c r="D650" s="7">
        <v>0</v>
      </c>
      <c r="E650" s="7">
        <f t="shared" si="60"/>
        <v>28</v>
      </c>
      <c r="F650" s="11" t="s">
        <v>37</v>
      </c>
      <c r="G650">
        <v>11</v>
      </c>
      <c r="H650">
        <v>13</v>
      </c>
      <c r="I650">
        <v>4</v>
      </c>
      <c r="J650">
        <v>0</v>
      </c>
      <c r="K650">
        <f t="shared" si="61"/>
        <v>28</v>
      </c>
      <c r="L650" t="s">
        <v>37</v>
      </c>
      <c r="M650">
        <v>25956.330968260001</v>
      </c>
      <c r="N650" s="7">
        <v>14</v>
      </c>
      <c r="O650" s="7">
        <v>24</v>
      </c>
      <c r="P650" s="7">
        <v>6</v>
      </c>
      <c r="Q650" s="7">
        <v>6</v>
      </c>
      <c r="R650" s="7">
        <f t="shared" si="62"/>
        <v>50</v>
      </c>
      <c r="S650" t="e">
        <v>#N/A</v>
      </c>
      <c r="T650" s="7">
        <v>15</v>
      </c>
      <c r="U650" s="7">
        <v>30</v>
      </c>
      <c r="V650" s="7">
        <v>10</v>
      </c>
      <c r="W650" s="7">
        <v>19</v>
      </c>
      <c r="X650" s="7">
        <f t="shared" si="63"/>
        <v>74</v>
      </c>
      <c r="Y650" t="e">
        <v>#N/A</v>
      </c>
      <c r="Z650">
        <v>107278.30173817</v>
      </c>
      <c r="AA650" t="s">
        <v>1025</v>
      </c>
      <c r="AB650">
        <v>72</v>
      </c>
      <c r="AC650">
        <v>411</v>
      </c>
      <c r="AD650" t="s">
        <v>46</v>
      </c>
      <c r="AE650" t="s">
        <v>41</v>
      </c>
      <c r="AF650" t="e">
        <v>#N/A</v>
      </c>
      <c r="AG650" s="8">
        <v>138</v>
      </c>
      <c r="AH650">
        <v>24</v>
      </c>
      <c r="AI650">
        <v>46</v>
      </c>
      <c r="AJ650">
        <v>0</v>
      </c>
      <c r="AK650">
        <v>0.17391304347826086</v>
      </c>
      <c r="AL650">
        <v>2.0430156738209968</v>
      </c>
      <c r="AM650">
        <v>22</v>
      </c>
      <c r="AN650">
        <v>0</v>
      </c>
      <c r="AO650">
        <v>0.48</v>
      </c>
      <c r="AP650">
        <v>0.8571428571428571</v>
      </c>
      <c r="AQ650">
        <v>0</v>
      </c>
      <c r="AR650">
        <v>0.39285714285714285</v>
      </c>
      <c r="AS650">
        <v>0.4642857142857143</v>
      </c>
      <c r="AT650">
        <v>0.14285714285714285</v>
      </c>
      <c r="AU650">
        <v>133234.63270643001</v>
      </c>
      <c r="AV650">
        <v>14</v>
      </c>
      <c r="AW650">
        <f t="shared" si="64"/>
        <v>1</v>
      </c>
      <c r="AX650">
        <v>411</v>
      </c>
      <c r="AY650">
        <f t="shared" si="65"/>
        <v>1</v>
      </c>
      <c r="AZ650" t="e">
        <v>#N/A</v>
      </c>
      <c r="BA650">
        <v>10</v>
      </c>
      <c r="BB650">
        <v>2019</v>
      </c>
      <c r="BC650">
        <v>10</v>
      </c>
      <c r="BD650">
        <v>2019</v>
      </c>
      <c r="BE650">
        <v>11</v>
      </c>
      <c r="BF650">
        <v>2019</v>
      </c>
    </row>
    <row r="651" spans="1:58" x14ac:dyDescent="0.2">
      <c r="A651" s="7">
        <v>20</v>
      </c>
      <c r="B651" s="7">
        <v>40</v>
      </c>
      <c r="C651" s="7">
        <v>10</v>
      </c>
      <c r="D651" s="7">
        <v>8</v>
      </c>
      <c r="E651" s="7">
        <f t="shared" si="60"/>
        <v>78</v>
      </c>
      <c r="F651" s="11" t="e">
        <v>#N/A</v>
      </c>
      <c r="G651">
        <v>20</v>
      </c>
      <c r="H651">
        <v>40</v>
      </c>
      <c r="I651">
        <v>10</v>
      </c>
      <c r="J651">
        <v>7</v>
      </c>
      <c r="K651">
        <f t="shared" si="61"/>
        <v>77</v>
      </c>
      <c r="L651" t="e">
        <v>#N/A</v>
      </c>
      <c r="M651">
        <v>10089.659634539999</v>
      </c>
      <c r="N651" s="7">
        <v>20</v>
      </c>
      <c r="O651" s="7">
        <v>40</v>
      </c>
      <c r="P651" s="7">
        <v>10</v>
      </c>
      <c r="Q651" s="7">
        <v>10</v>
      </c>
      <c r="R651" s="7">
        <f t="shared" si="62"/>
        <v>80</v>
      </c>
      <c r="S651" t="e">
        <v>#N/A</v>
      </c>
      <c r="T651" s="7">
        <v>20</v>
      </c>
      <c r="U651" s="7">
        <v>40</v>
      </c>
      <c r="V651" s="7">
        <v>10</v>
      </c>
      <c r="W651" s="7">
        <v>27</v>
      </c>
      <c r="X651" s="7">
        <f t="shared" si="63"/>
        <v>97</v>
      </c>
      <c r="Y651" t="e">
        <v>#N/A</v>
      </c>
      <c r="Z651">
        <v>77103.361355340006</v>
      </c>
      <c r="AA651" t="s">
        <v>301</v>
      </c>
      <c r="AB651">
        <v>28</v>
      </c>
      <c r="AC651">
        <v>0</v>
      </c>
      <c r="AD651" t="s">
        <v>253</v>
      </c>
      <c r="AE651" t="s">
        <v>75</v>
      </c>
      <c r="AF651">
        <v>45</v>
      </c>
      <c r="AG651" s="8">
        <v>3</v>
      </c>
      <c r="AH651">
        <v>17</v>
      </c>
      <c r="AI651">
        <v>19</v>
      </c>
      <c r="AJ651">
        <v>-1</v>
      </c>
      <c r="AK651">
        <v>5.666666666666667</v>
      </c>
      <c r="AL651">
        <v>9.8149545762236379</v>
      </c>
      <c r="AM651">
        <v>3</v>
      </c>
      <c r="AN651">
        <v>0</v>
      </c>
      <c r="AO651">
        <v>0.21249999999999999</v>
      </c>
      <c r="AP651">
        <v>0.21794871794871795</v>
      </c>
      <c r="AQ651">
        <v>0.10256410256410256</v>
      </c>
      <c r="AR651">
        <v>0.25641025641025639</v>
      </c>
      <c r="AS651">
        <v>0.51282051282051277</v>
      </c>
      <c r="AT651">
        <v>0.12820512820512819</v>
      </c>
      <c r="AU651">
        <v>87193.020989880009</v>
      </c>
      <c r="AV651">
        <v>5</v>
      </c>
      <c r="AW651">
        <f t="shared" si="64"/>
        <v>0</v>
      </c>
      <c r="AX651">
        <v>0</v>
      </c>
      <c r="AY651">
        <f t="shared" si="65"/>
        <v>0</v>
      </c>
      <c r="AZ651">
        <v>0</v>
      </c>
      <c r="BA651">
        <v>1</v>
      </c>
      <c r="BB651">
        <v>2020</v>
      </c>
      <c r="BC651">
        <v>2</v>
      </c>
      <c r="BD651">
        <v>2020</v>
      </c>
      <c r="BE651">
        <v>1</v>
      </c>
      <c r="BF651">
        <v>2020</v>
      </c>
    </row>
    <row r="652" spans="1:58" x14ac:dyDescent="0.2">
      <c r="A652" s="7">
        <v>0</v>
      </c>
      <c r="B652" s="7">
        <v>4</v>
      </c>
      <c r="C652" s="7">
        <v>0</v>
      </c>
      <c r="D652" s="7">
        <v>0</v>
      </c>
      <c r="E652" s="7">
        <f t="shared" si="60"/>
        <v>4</v>
      </c>
      <c r="F652" s="11" t="s">
        <v>42</v>
      </c>
      <c r="G652">
        <v>0</v>
      </c>
      <c r="H652">
        <v>0</v>
      </c>
      <c r="I652">
        <v>0</v>
      </c>
      <c r="J652">
        <v>0</v>
      </c>
      <c r="K652">
        <f t="shared" si="61"/>
        <v>0</v>
      </c>
      <c r="L652" t="s">
        <v>53</v>
      </c>
      <c r="M652">
        <v>112878.57132264</v>
      </c>
      <c r="N652" s="7">
        <v>0</v>
      </c>
      <c r="O652" s="7">
        <v>16</v>
      </c>
      <c r="P652" s="7">
        <v>0</v>
      </c>
      <c r="Q652" s="7">
        <v>0</v>
      </c>
      <c r="R652" s="7">
        <f t="shared" si="62"/>
        <v>16</v>
      </c>
      <c r="S652" t="s">
        <v>36</v>
      </c>
      <c r="T652" s="7">
        <v>5</v>
      </c>
      <c r="U652" s="7">
        <v>15</v>
      </c>
      <c r="V652" s="7">
        <v>0</v>
      </c>
      <c r="W652" s="7">
        <v>5</v>
      </c>
      <c r="X652" s="7">
        <f t="shared" si="63"/>
        <v>25</v>
      </c>
      <c r="Y652" t="e">
        <v>#N/A</v>
      </c>
      <c r="Z652">
        <v>344985.62044509</v>
      </c>
      <c r="AA652" t="s">
        <v>1026</v>
      </c>
      <c r="AB652">
        <v>68</v>
      </c>
      <c r="AC652">
        <v>1365</v>
      </c>
      <c r="AD652" t="s">
        <v>46</v>
      </c>
      <c r="AE652" t="s">
        <v>41</v>
      </c>
      <c r="AF652">
        <v>258</v>
      </c>
      <c r="AG652" s="8">
        <v>193</v>
      </c>
      <c r="AH652">
        <v>9</v>
      </c>
      <c r="AI652">
        <v>21</v>
      </c>
      <c r="AJ652">
        <v>-4</v>
      </c>
      <c r="AK652">
        <v>4.6632124352331605E-2</v>
      </c>
      <c r="AL652">
        <v>0.64783417567382506</v>
      </c>
      <c r="AM652">
        <v>16</v>
      </c>
      <c r="AN652">
        <v>0</v>
      </c>
      <c r="AO652">
        <v>0.5625</v>
      </c>
      <c r="AP652">
        <v>2.25</v>
      </c>
      <c r="AQ652">
        <v>0</v>
      </c>
      <c r="AR652">
        <v>0</v>
      </c>
      <c r="AS652">
        <v>1</v>
      </c>
      <c r="AT652">
        <v>0</v>
      </c>
      <c r="AU652">
        <v>457864.19176772999</v>
      </c>
      <c r="AV652">
        <v>22</v>
      </c>
      <c r="AW652">
        <f t="shared" si="64"/>
        <v>1</v>
      </c>
      <c r="AX652">
        <v>1365</v>
      </c>
      <c r="AY652">
        <f t="shared" si="65"/>
        <v>1</v>
      </c>
      <c r="AZ652">
        <v>5.2906976744186043</v>
      </c>
      <c r="BA652">
        <v>2</v>
      </c>
      <c r="BB652">
        <v>2019</v>
      </c>
      <c r="BC652">
        <v>10</v>
      </c>
      <c r="BD652">
        <v>2019</v>
      </c>
      <c r="BE652">
        <v>1</v>
      </c>
      <c r="BF652">
        <v>2020</v>
      </c>
    </row>
    <row r="653" spans="1:58" x14ac:dyDescent="0.2">
      <c r="A653" s="7">
        <v>8</v>
      </c>
      <c r="B653" s="7">
        <v>15</v>
      </c>
      <c r="C653" s="7">
        <v>0</v>
      </c>
      <c r="D653" s="7">
        <v>0</v>
      </c>
      <c r="E653" s="7">
        <f t="shared" si="60"/>
        <v>23</v>
      </c>
      <c r="F653" s="11" t="s">
        <v>36</v>
      </c>
      <c r="G653">
        <v>8</v>
      </c>
      <c r="H653">
        <v>15</v>
      </c>
      <c r="I653">
        <v>0</v>
      </c>
      <c r="J653">
        <v>0</v>
      </c>
      <c r="K653">
        <f t="shared" si="61"/>
        <v>23</v>
      </c>
      <c r="L653" t="s">
        <v>36</v>
      </c>
      <c r="M653">
        <v>15204.12704334</v>
      </c>
      <c r="N653" s="7">
        <v>10</v>
      </c>
      <c r="O653" s="7">
        <v>15</v>
      </c>
      <c r="P653" s="7">
        <v>0</v>
      </c>
      <c r="Q653" s="7">
        <v>0</v>
      </c>
      <c r="R653" s="7">
        <f t="shared" si="62"/>
        <v>25</v>
      </c>
      <c r="S653" t="s">
        <v>36</v>
      </c>
      <c r="T653" s="7">
        <v>15</v>
      </c>
      <c r="U653" s="7">
        <v>27</v>
      </c>
      <c r="V653" s="7">
        <v>9</v>
      </c>
      <c r="W653" s="7">
        <v>8</v>
      </c>
      <c r="X653" s="7">
        <f t="shared" si="63"/>
        <v>59</v>
      </c>
      <c r="Y653" t="e">
        <v>#N/A</v>
      </c>
      <c r="Z653">
        <v>102896.61632929</v>
      </c>
      <c r="AA653" t="s">
        <v>1027</v>
      </c>
      <c r="AB653">
        <v>43</v>
      </c>
      <c r="AC653">
        <v>0</v>
      </c>
      <c r="AD653" t="s">
        <v>131</v>
      </c>
      <c r="AE653" t="s">
        <v>41</v>
      </c>
      <c r="AF653">
        <v>287</v>
      </c>
      <c r="AG653" s="8">
        <v>539</v>
      </c>
      <c r="AH653">
        <v>34</v>
      </c>
      <c r="AI653">
        <v>36</v>
      </c>
      <c r="AJ653">
        <v>0</v>
      </c>
      <c r="AK653">
        <v>6.3079777365491654E-2</v>
      </c>
      <c r="AL653">
        <v>1.4644836736634232</v>
      </c>
      <c r="AM653">
        <v>2</v>
      </c>
      <c r="AN653">
        <v>0</v>
      </c>
      <c r="AO653">
        <v>1.36</v>
      </c>
      <c r="AP653">
        <v>1.4782608695652173</v>
      </c>
      <c r="AQ653">
        <v>0</v>
      </c>
      <c r="AR653">
        <v>0.34782608695652173</v>
      </c>
      <c r="AS653">
        <v>0.65217391304347827</v>
      </c>
      <c r="AT653">
        <v>0</v>
      </c>
      <c r="AU653">
        <v>118100.74337263001</v>
      </c>
      <c r="AV653">
        <v>12</v>
      </c>
      <c r="AW653">
        <f t="shared" si="64"/>
        <v>1</v>
      </c>
      <c r="AX653">
        <v>0</v>
      </c>
      <c r="AY653">
        <f t="shared" si="65"/>
        <v>0</v>
      </c>
      <c r="AZ653">
        <v>0</v>
      </c>
      <c r="BA653">
        <v>1</v>
      </c>
      <c r="BB653">
        <v>2019</v>
      </c>
      <c r="BC653">
        <v>10</v>
      </c>
      <c r="BD653">
        <v>2019</v>
      </c>
      <c r="BE653">
        <v>1</v>
      </c>
      <c r="BF653">
        <v>2019</v>
      </c>
    </row>
    <row r="654" spans="1:58" x14ac:dyDescent="0.2">
      <c r="A654" s="7">
        <v>8</v>
      </c>
      <c r="B654" s="7">
        <v>13</v>
      </c>
      <c r="C654" s="7">
        <v>4</v>
      </c>
      <c r="D654" s="7">
        <v>0</v>
      </c>
      <c r="E654" s="7">
        <f t="shared" si="60"/>
        <v>25</v>
      </c>
      <c r="F654" s="11" t="s">
        <v>42</v>
      </c>
      <c r="G654">
        <v>8</v>
      </c>
      <c r="H654">
        <v>13</v>
      </c>
      <c r="I654">
        <v>4</v>
      </c>
      <c r="J654">
        <v>0</v>
      </c>
      <c r="K654">
        <f t="shared" si="61"/>
        <v>25</v>
      </c>
      <c r="L654" t="s">
        <v>42</v>
      </c>
      <c r="M654">
        <v>17554.597750969999</v>
      </c>
      <c r="N654" s="7">
        <v>8</v>
      </c>
      <c r="O654" s="7">
        <v>13</v>
      </c>
      <c r="P654" s="7">
        <v>4</v>
      </c>
      <c r="Q654" s="7">
        <v>3</v>
      </c>
      <c r="R654" s="7">
        <f t="shared" si="62"/>
        <v>28</v>
      </c>
      <c r="S654" t="s">
        <v>42</v>
      </c>
      <c r="T654" s="7">
        <v>17</v>
      </c>
      <c r="U654" s="7">
        <v>22</v>
      </c>
      <c r="V654" s="7">
        <v>3</v>
      </c>
      <c r="W654" s="7">
        <v>7</v>
      </c>
      <c r="X654" s="7">
        <f t="shared" si="63"/>
        <v>49</v>
      </c>
      <c r="Y654" t="e">
        <v>#N/A</v>
      </c>
      <c r="Z654">
        <v>225441.70190769999</v>
      </c>
      <c r="AA654" t="s">
        <v>1028</v>
      </c>
      <c r="AB654">
        <v>66</v>
      </c>
      <c r="AC654">
        <v>0</v>
      </c>
      <c r="AD654" t="s">
        <v>123</v>
      </c>
      <c r="AE654" t="s">
        <v>75</v>
      </c>
      <c r="AF654" t="e">
        <v>#N/A</v>
      </c>
      <c r="AG654" s="8">
        <v>8</v>
      </c>
      <c r="AH654">
        <v>21</v>
      </c>
      <c r="AI654">
        <v>24</v>
      </c>
      <c r="AJ654">
        <v>0</v>
      </c>
      <c r="AK654">
        <v>2.625</v>
      </c>
      <c r="AL654">
        <v>7.4246212024587486</v>
      </c>
      <c r="AM654">
        <v>3</v>
      </c>
      <c r="AN654">
        <v>0</v>
      </c>
      <c r="AO654">
        <v>0.75</v>
      </c>
      <c r="AP654">
        <v>0.84</v>
      </c>
      <c r="AQ654">
        <v>0</v>
      </c>
      <c r="AR654">
        <v>0.32</v>
      </c>
      <c r="AS654">
        <v>0.52</v>
      </c>
      <c r="AT654">
        <v>0.16</v>
      </c>
      <c r="AU654">
        <v>242996.29965866997</v>
      </c>
      <c r="AV654">
        <v>5</v>
      </c>
      <c r="AW654">
        <f t="shared" si="64"/>
        <v>0</v>
      </c>
      <c r="AX654">
        <v>0</v>
      </c>
      <c r="AY654">
        <f t="shared" si="65"/>
        <v>0</v>
      </c>
      <c r="AZ654" t="e">
        <v>#N/A</v>
      </c>
      <c r="BA654">
        <v>3</v>
      </c>
      <c r="BB654">
        <v>2019</v>
      </c>
      <c r="BC654">
        <v>3</v>
      </c>
      <c r="BD654">
        <v>2019</v>
      </c>
      <c r="BE654">
        <v>1</v>
      </c>
      <c r="BF654">
        <v>2020</v>
      </c>
    </row>
    <row r="655" spans="1:58" x14ac:dyDescent="0.2">
      <c r="A655" s="7">
        <v>0</v>
      </c>
      <c r="B655" s="7">
        <v>0</v>
      </c>
      <c r="C655" s="7">
        <v>0</v>
      </c>
      <c r="D655" s="7">
        <v>0</v>
      </c>
      <c r="E655" s="7">
        <f t="shared" si="60"/>
        <v>0</v>
      </c>
      <c r="F655" s="11" t="s">
        <v>36</v>
      </c>
      <c r="G655">
        <v>0</v>
      </c>
      <c r="H655">
        <v>0</v>
      </c>
      <c r="I655">
        <v>0</v>
      </c>
      <c r="J655">
        <v>0</v>
      </c>
      <c r="K655">
        <f t="shared" si="61"/>
        <v>0</v>
      </c>
      <c r="L655" t="s">
        <v>36</v>
      </c>
      <c r="M655">
        <v>19025.972310000001</v>
      </c>
      <c r="N655" s="7">
        <v>0</v>
      </c>
      <c r="O655" s="7">
        <v>0</v>
      </c>
      <c r="P655" s="7">
        <v>0</v>
      </c>
      <c r="Q655" s="7">
        <v>0</v>
      </c>
      <c r="R655" s="7">
        <f t="shared" si="62"/>
        <v>0</v>
      </c>
      <c r="S655" t="s">
        <v>39</v>
      </c>
      <c r="T655" s="7">
        <v>0</v>
      </c>
      <c r="U655" s="7">
        <v>6</v>
      </c>
      <c r="V655" s="7">
        <v>0</v>
      </c>
      <c r="W655" s="7">
        <v>2</v>
      </c>
      <c r="X655" s="7">
        <f t="shared" si="63"/>
        <v>8</v>
      </c>
      <c r="Y655" t="e">
        <v>#N/A</v>
      </c>
      <c r="Z655">
        <v>63006.14922099001</v>
      </c>
      <c r="AA655" t="s">
        <v>1029</v>
      </c>
      <c r="AB655">
        <v>63</v>
      </c>
      <c r="AC655">
        <v>387</v>
      </c>
      <c r="AD655" t="s">
        <v>46</v>
      </c>
      <c r="AE655" t="s">
        <v>41</v>
      </c>
      <c r="AF655" t="e">
        <v>#N/A</v>
      </c>
      <c r="AG655" s="8">
        <v>659</v>
      </c>
      <c r="AH655">
        <v>8</v>
      </c>
      <c r="AI655">
        <v>8</v>
      </c>
      <c r="AJ655">
        <v>0</v>
      </c>
      <c r="AK655">
        <v>1.2139605462822459E-2</v>
      </c>
      <c r="AL655">
        <v>0.31163575485264794</v>
      </c>
      <c r="AM655">
        <v>0</v>
      </c>
      <c r="AN655">
        <v>0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>
        <v>82032.121530990014</v>
      </c>
      <c r="AV655">
        <v>10</v>
      </c>
      <c r="AW655">
        <f t="shared" si="64"/>
        <v>1</v>
      </c>
      <c r="AX655">
        <v>387</v>
      </c>
      <c r="AY655">
        <f t="shared" si="65"/>
        <v>1</v>
      </c>
      <c r="AZ655" t="e">
        <v>#N/A</v>
      </c>
      <c r="BA655">
        <v>1</v>
      </c>
      <c r="BB655">
        <v>2019</v>
      </c>
      <c r="BC655">
        <v>1</v>
      </c>
      <c r="BD655">
        <v>2019</v>
      </c>
      <c r="BE655">
        <v>1</v>
      </c>
      <c r="BF655">
        <v>2019</v>
      </c>
    </row>
    <row r="656" spans="1:58" x14ac:dyDescent="0.2">
      <c r="A656" s="7">
        <v>11</v>
      </c>
      <c r="B656" s="7">
        <v>18</v>
      </c>
      <c r="C656" s="7">
        <v>0</v>
      </c>
      <c r="D656" s="7">
        <v>0</v>
      </c>
      <c r="E656" s="7">
        <f t="shared" si="60"/>
        <v>29</v>
      </c>
      <c r="F656" s="11" t="s">
        <v>36</v>
      </c>
      <c r="G656">
        <v>11</v>
      </c>
      <c r="H656">
        <v>18</v>
      </c>
      <c r="I656">
        <v>0</v>
      </c>
      <c r="J656">
        <v>0</v>
      </c>
      <c r="K656">
        <f t="shared" si="61"/>
        <v>29</v>
      </c>
      <c r="L656" t="s">
        <v>36</v>
      </c>
      <c r="M656">
        <v>14966.22837397</v>
      </c>
      <c r="N656" s="7">
        <v>11</v>
      </c>
      <c r="O656" s="7">
        <v>18</v>
      </c>
      <c r="P656" s="7">
        <v>0</v>
      </c>
      <c r="Q656" s="7">
        <v>4</v>
      </c>
      <c r="R656" s="7">
        <f t="shared" si="62"/>
        <v>33</v>
      </c>
      <c r="S656" t="s">
        <v>36</v>
      </c>
      <c r="T656" s="7">
        <v>10</v>
      </c>
      <c r="U656" s="7">
        <v>15</v>
      </c>
      <c r="V656" s="7">
        <v>2</v>
      </c>
      <c r="W656" s="7">
        <v>5</v>
      </c>
      <c r="X656" s="7">
        <f t="shared" si="63"/>
        <v>32</v>
      </c>
      <c r="Y656" t="e">
        <v>#N/A</v>
      </c>
      <c r="Z656">
        <v>156942.06875897001</v>
      </c>
      <c r="AA656" t="s">
        <v>1030</v>
      </c>
      <c r="AB656">
        <v>71</v>
      </c>
      <c r="AC656">
        <v>0</v>
      </c>
      <c r="AD656" t="s">
        <v>172</v>
      </c>
      <c r="AE656" t="s">
        <v>41</v>
      </c>
      <c r="AF656" t="e">
        <v>#N/A</v>
      </c>
      <c r="AG656" s="8">
        <v>390</v>
      </c>
      <c r="AH656">
        <v>-1</v>
      </c>
      <c r="AI656">
        <v>3</v>
      </c>
      <c r="AJ656">
        <v>0</v>
      </c>
      <c r="AK656">
        <v>-2.5641025641025641E-3</v>
      </c>
      <c r="AL656">
        <v>-5.0636968354183333E-2</v>
      </c>
      <c r="AM656">
        <v>4</v>
      </c>
      <c r="AN656">
        <v>0</v>
      </c>
      <c r="AO656">
        <v>-3.0303030303030304E-2</v>
      </c>
      <c r="AP656">
        <v>-3.4482758620689655E-2</v>
      </c>
      <c r="AQ656">
        <v>0</v>
      </c>
      <c r="AR656">
        <v>0.37931034482758619</v>
      </c>
      <c r="AS656">
        <v>0.62068965517241381</v>
      </c>
      <c r="AT656">
        <v>0</v>
      </c>
      <c r="AU656">
        <v>171908.29713294</v>
      </c>
      <c r="AV656">
        <v>5</v>
      </c>
      <c r="AW656">
        <f t="shared" si="64"/>
        <v>0</v>
      </c>
      <c r="AX656">
        <v>0</v>
      </c>
      <c r="AY656">
        <f t="shared" si="65"/>
        <v>0</v>
      </c>
      <c r="AZ656" t="e">
        <v>#N/A</v>
      </c>
      <c r="BA656">
        <v>11</v>
      </c>
      <c r="BB656">
        <v>2019</v>
      </c>
      <c r="BC656">
        <v>11</v>
      </c>
      <c r="BD656">
        <v>2019</v>
      </c>
      <c r="BE656">
        <v>1</v>
      </c>
      <c r="BF656">
        <v>2019</v>
      </c>
    </row>
    <row r="657" spans="1:58" x14ac:dyDescent="0.2">
      <c r="A657" s="7">
        <v>0</v>
      </c>
      <c r="B657" s="7">
        <v>13</v>
      </c>
      <c r="C657" s="7">
        <v>0</v>
      </c>
      <c r="D657" s="7">
        <v>0</v>
      </c>
      <c r="E657" s="7">
        <f t="shared" si="60"/>
        <v>13</v>
      </c>
      <c r="F657" s="11" t="e">
        <v>#N/A</v>
      </c>
      <c r="G657">
        <v>10</v>
      </c>
      <c r="H657">
        <v>33</v>
      </c>
      <c r="I657">
        <v>4</v>
      </c>
      <c r="J657">
        <v>4</v>
      </c>
      <c r="K657">
        <f t="shared" si="61"/>
        <v>51</v>
      </c>
      <c r="L657" t="e">
        <v>#N/A</v>
      </c>
      <c r="M657">
        <v>21322.766121140001</v>
      </c>
      <c r="N657" s="7">
        <v>0</v>
      </c>
      <c r="O657" s="7">
        <v>18</v>
      </c>
      <c r="P657" s="7">
        <v>0</v>
      </c>
      <c r="Q657" s="7">
        <v>3</v>
      </c>
      <c r="R657" s="7">
        <f t="shared" si="62"/>
        <v>21</v>
      </c>
      <c r="S657" t="e">
        <v>#N/A</v>
      </c>
      <c r="T657" s="7">
        <v>5</v>
      </c>
      <c r="U657" s="7">
        <v>21</v>
      </c>
      <c r="V657" s="7">
        <v>0</v>
      </c>
      <c r="W657" s="7">
        <v>3</v>
      </c>
      <c r="X657" s="7">
        <f t="shared" si="63"/>
        <v>29</v>
      </c>
      <c r="Y657" t="e">
        <v>#N/A</v>
      </c>
      <c r="Z657">
        <v>52019.634656360002</v>
      </c>
      <c r="AA657" t="s">
        <v>302</v>
      </c>
      <c r="AB657">
        <v>38</v>
      </c>
      <c r="AC657">
        <v>0</v>
      </c>
      <c r="AD657" t="s">
        <v>99</v>
      </c>
      <c r="AE657" t="s">
        <v>41</v>
      </c>
      <c r="AF657">
        <v>262</v>
      </c>
      <c r="AG657" s="8">
        <v>1</v>
      </c>
      <c r="AH657">
        <v>8</v>
      </c>
      <c r="AI657">
        <v>16</v>
      </c>
      <c r="AJ657">
        <v>38</v>
      </c>
      <c r="AK657">
        <v>8</v>
      </c>
      <c r="AL657">
        <v>8</v>
      </c>
      <c r="AM657">
        <v>-30</v>
      </c>
      <c r="AN657">
        <v>1</v>
      </c>
      <c r="AO657">
        <v>0.38095238095238093</v>
      </c>
      <c r="AP657">
        <v>0.61538461538461542</v>
      </c>
      <c r="AQ657">
        <v>0</v>
      </c>
      <c r="AR657">
        <v>0</v>
      </c>
      <c r="AS657">
        <v>1</v>
      </c>
      <c r="AT657">
        <v>0</v>
      </c>
      <c r="AU657">
        <v>73342.400777500006</v>
      </c>
      <c r="AV657">
        <v>3</v>
      </c>
      <c r="AW657">
        <f t="shared" si="64"/>
        <v>0</v>
      </c>
      <c r="AX657">
        <v>0</v>
      </c>
      <c r="AY657">
        <f t="shared" si="65"/>
        <v>0</v>
      </c>
      <c r="AZ657">
        <v>0</v>
      </c>
      <c r="BA657">
        <v>1</v>
      </c>
      <c r="BB657">
        <v>2020</v>
      </c>
      <c r="BC657">
        <v>9</v>
      </c>
      <c r="BD657">
        <v>2020</v>
      </c>
      <c r="BE657">
        <v>1</v>
      </c>
      <c r="BF657">
        <v>2020</v>
      </c>
    </row>
    <row r="658" spans="1:58" x14ac:dyDescent="0.2">
      <c r="A658" s="7">
        <v>0</v>
      </c>
      <c r="B658" s="7">
        <v>8</v>
      </c>
      <c r="C658" s="7">
        <v>0</v>
      </c>
      <c r="D658" s="7">
        <v>0</v>
      </c>
      <c r="E658" s="7">
        <f t="shared" si="60"/>
        <v>8</v>
      </c>
      <c r="F658" s="11" t="s">
        <v>36</v>
      </c>
      <c r="G658">
        <v>0</v>
      </c>
      <c r="H658">
        <v>8</v>
      </c>
      <c r="I658">
        <v>0</v>
      </c>
      <c r="J658">
        <v>0</v>
      </c>
      <c r="K658">
        <f t="shared" si="61"/>
        <v>8</v>
      </c>
      <c r="L658" t="s">
        <v>36</v>
      </c>
      <c r="M658">
        <v>48738.446456270001</v>
      </c>
      <c r="N658" s="7">
        <v>8</v>
      </c>
      <c r="O658" s="7">
        <v>19</v>
      </c>
      <c r="P658" s="7">
        <v>0</v>
      </c>
      <c r="Q658" s="7">
        <v>0</v>
      </c>
      <c r="R658" s="7">
        <f t="shared" si="62"/>
        <v>27</v>
      </c>
      <c r="S658" t="s">
        <v>36</v>
      </c>
      <c r="T658" s="7">
        <v>13</v>
      </c>
      <c r="U658" s="7">
        <v>39</v>
      </c>
      <c r="V658" s="7">
        <v>9</v>
      </c>
      <c r="W658" s="7">
        <v>7</v>
      </c>
      <c r="X658" s="7">
        <f t="shared" si="63"/>
        <v>68</v>
      </c>
      <c r="Y658" t="e">
        <v>#N/A</v>
      </c>
      <c r="Z658">
        <v>163017.43272412001</v>
      </c>
      <c r="AA658" t="s">
        <v>1031</v>
      </c>
      <c r="AB658">
        <v>66</v>
      </c>
      <c r="AC658">
        <v>464</v>
      </c>
      <c r="AD658" t="s">
        <v>99</v>
      </c>
      <c r="AE658" t="s">
        <v>41</v>
      </c>
      <c r="AF658">
        <v>89</v>
      </c>
      <c r="AG658" s="8">
        <v>195</v>
      </c>
      <c r="AH658">
        <v>41</v>
      </c>
      <c r="AI658">
        <v>60</v>
      </c>
      <c r="AJ658">
        <v>0</v>
      </c>
      <c r="AK658">
        <v>0.21025641025641026</v>
      </c>
      <c r="AL658">
        <v>2.9360709835616747</v>
      </c>
      <c r="AM658">
        <v>19</v>
      </c>
      <c r="AN658">
        <v>0</v>
      </c>
      <c r="AO658">
        <v>1.5185185185185186</v>
      </c>
      <c r="AP658">
        <v>5.125</v>
      </c>
      <c r="AQ658">
        <v>0</v>
      </c>
      <c r="AR658">
        <v>0</v>
      </c>
      <c r="AS658">
        <v>1</v>
      </c>
      <c r="AT658">
        <v>0</v>
      </c>
      <c r="AU658">
        <v>211755.87918039001</v>
      </c>
      <c r="AV658">
        <v>5</v>
      </c>
      <c r="AW658">
        <f t="shared" si="64"/>
        <v>0</v>
      </c>
      <c r="AX658">
        <v>464</v>
      </c>
      <c r="AY658">
        <f t="shared" si="65"/>
        <v>1</v>
      </c>
      <c r="AZ658">
        <v>5.213483146067416</v>
      </c>
      <c r="BA658">
        <v>1</v>
      </c>
      <c r="BB658">
        <v>2019</v>
      </c>
      <c r="BC658">
        <v>4</v>
      </c>
      <c r="BD658">
        <v>2019</v>
      </c>
      <c r="BE658">
        <v>1</v>
      </c>
      <c r="BF658">
        <v>2020</v>
      </c>
    </row>
    <row r="659" spans="1:58" x14ac:dyDescent="0.2">
      <c r="A659" s="7">
        <v>12</v>
      </c>
      <c r="B659" s="7">
        <v>18</v>
      </c>
      <c r="C659" s="7">
        <v>1</v>
      </c>
      <c r="D659" s="7">
        <v>6</v>
      </c>
      <c r="E659" s="7">
        <f t="shared" si="60"/>
        <v>37</v>
      </c>
      <c r="F659" s="11" t="s">
        <v>36</v>
      </c>
      <c r="G659">
        <v>11</v>
      </c>
      <c r="H659">
        <v>13</v>
      </c>
      <c r="I659">
        <v>0</v>
      </c>
      <c r="J659">
        <v>4</v>
      </c>
      <c r="K659">
        <f t="shared" si="61"/>
        <v>28</v>
      </c>
      <c r="L659" t="s">
        <v>36</v>
      </c>
      <c r="M659">
        <v>12751.177724450001</v>
      </c>
      <c r="N659" s="7">
        <v>16</v>
      </c>
      <c r="O659" s="7">
        <v>31</v>
      </c>
      <c r="P659" s="7">
        <v>3</v>
      </c>
      <c r="Q659" s="7">
        <v>8</v>
      </c>
      <c r="R659" s="7">
        <f t="shared" si="62"/>
        <v>58</v>
      </c>
      <c r="S659" t="s">
        <v>36</v>
      </c>
      <c r="T659" s="7">
        <v>16</v>
      </c>
      <c r="U659" s="7">
        <v>31</v>
      </c>
      <c r="V659" s="7">
        <v>3</v>
      </c>
      <c r="W659" s="7">
        <v>7</v>
      </c>
      <c r="X659" s="7">
        <f t="shared" si="63"/>
        <v>57</v>
      </c>
      <c r="Y659" t="e">
        <v>#N/A</v>
      </c>
      <c r="Z659">
        <v>120944.94898355</v>
      </c>
      <c r="AA659" t="s">
        <v>1032</v>
      </c>
      <c r="AB659">
        <v>51</v>
      </c>
      <c r="AC659">
        <v>0</v>
      </c>
      <c r="AD659" t="s">
        <v>123</v>
      </c>
      <c r="AE659" t="s">
        <v>75</v>
      </c>
      <c r="AF659">
        <v>311</v>
      </c>
      <c r="AG659" s="8">
        <v>127</v>
      </c>
      <c r="AH659">
        <v>-1</v>
      </c>
      <c r="AI659">
        <v>20</v>
      </c>
      <c r="AJ659">
        <v>-9</v>
      </c>
      <c r="AK659">
        <v>-7.874015748031496E-3</v>
      </c>
      <c r="AL659">
        <v>-8.8735650941611385E-2</v>
      </c>
      <c r="AM659">
        <v>30</v>
      </c>
      <c r="AN659">
        <v>0</v>
      </c>
      <c r="AO659">
        <v>-1.7241379310344827E-2</v>
      </c>
      <c r="AP659">
        <v>-2.7027027027027029E-2</v>
      </c>
      <c r="AQ659">
        <v>0.16216216216216217</v>
      </c>
      <c r="AR659">
        <v>0.32432432432432434</v>
      </c>
      <c r="AS659">
        <v>0.48648648648648651</v>
      </c>
      <c r="AT659">
        <v>2.7027027027027029E-2</v>
      </c>
      <c r="AU659">
        <v>133696.126708</v>
      </c>
      <c r="AV659">
        <v>4</v>
      </c>
      <c r="AW659">
        <f t="shared" si="64"/>
        <v>0</v>
      </c>
      <c r="AX659">
        <v>0</v>
      </c>
      <c r="AY659">
        <f t="shared" si="65"/>
        <v>0</v>
      </c>
      <c r="AZ659">
        <v>0</v>
      </c>
      <c r="BA659">
        <v>1</v>
      </c>
      <c r="BB659">
        <v>2019</v>
      </c>
      <c r="BC659">
        <v>11</v>
      </c>
      <c r="BD659">
        <v>2019</v>
      </c>
      <c r="BE659">
        <v>12</v>
      </c>
      <c r="BF659">
        <v>2019</v>
      </c>
    </row>
    <row r="660" spans="1:58" x14ac:dyDescent="0.2">
      <c r="A660" s="7">
        <v>0</v>
      </c>
      <c r="B660" s="7">
        <v>0</v>
      </c>
      <c r="C660" s="7">
        <v>0</v>
      </c>
      <c r="D660" s="7">
        <v>0</v>
      </c>
      <c r="E660" s="7">
        <f t="shared" si="60"/>
        <v>0</v>
      </c>
      <c r="F660" s="11" t="s">
        <v>62</v>
      </c>
      <c r="G660">
        <v>0</v>
      </c>
      <c r="H660">
        <v>8</v>
      </c>
      <c r="I660">
        <v>0</v>
      </c>
      <c r="J660">
        <v>0</v>
      </c>
      <c r="K660">
        <f t="shared" si="61"/>
        <v>8</v>
      </c>
      <c r="L660" t="s">
        <v>35</v>
      </c>
      <c r="M660">
        <v>52532.016540739991</v>
      </c>
      <c r="N660" s="7">
        <v>0</v>
      </c>
      <c r="O660" s="7">
        <v>14</v>
      </c>
      <c r="P660" s="7">
        <v>0</v>
      </c>
      <c r="Q660" s="7">
        <v>0</v>
      </c>
      <c r="R660" s="7">
        <f t="shared" si="62"/>
        <v>14</v>
      </c>
      <c r="S660" t="s">
        <v>54</v>
      </c>
      <c r="T660" s="7">
        <v>2</v>
      </c>
      <c r="U660" s="7">
        <v>15</v>
      </c>
      <c r="V660" s="7">
        <v>0</v>
      </c>
      <c r="W660" s="7">
        <v>3</v>
      </c>
      <c r="X660" s="7">
        <f t="shared" si="63"/>
        <v>20</v>
      </c>
      <c r="Y660" t="e">
        <v>#N/A</v>
      </c>
      <c r="Z660">
        <v>307292.39755711</v>
      </c>
      <c r="AA660" t="s">
        <v>1033</v>
      </c>
      <c r="AB660">
        <v>70</v>
      </c>
      <c r="AC660">
        <v>739</v>
      </c>
      <c r="AD660" t="s">
        <v>303</v>
      </c>
      <c r="AE660" t="s">
        <v>41</v>
      </c>
      <c r="AF660">
        <v>1</v>
      </c>
      <c r="AG660" s="8">
        <v>265</v>
      </c>
      <c r="AH660">
        <v>6</v>
      </c>
      <c r="AI660">
        <v>20</v>
      </c>
      <c r="AJ660">
        <v>8</v>
      </c>
      <c r="AK660">
        <v>2.2641509433962263E-2</v>
      </c>
      <c r="AL660">
        <v>0.36857707010037072</v>
      </c>
      <c r="AM660">
        <v>6</v>
      </c>
      <c r="AN660">
        <v>0</v>
      </c>
      <c r="AO660">
        <v>0.42857142857142855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>
        <v>359824.41409784998</v>
      </c>
      <c r="AV660">
        <v>14</v>
      </c>
      <c r="AW660">
        <f t="shared" si="64"/>
        <v>1</v>
      </c>
      <c r="AX660">
        <v>739</v>
      </c>
      <c r="AY660">
        <f t="shared" si="65"/>
        <v>1</v>
      </c>
      <c r="AZ660">
        <v>739</v>
      </c>
      <c r="BA660">
        <v>11</v>
      </c>
      <c r="BB660">
        <v>2019</v>
      </c>
      <c r="BC660">
        <v>11</v>
      </c>
      <c r="BD660">
        <v>2019</v>
      </c>
      <c r="BE660">
        <v>1</v>
      </c>
      <c r="BF660">
        <v>2020</v>
      </c>
    </row>
    <row r="661" spans="1:58" x14ac:dyDescent="0.2">
      <c r="A661" s="7">
        <v>0</v>
      </c>
      <c r="B661" s="7">
        <v>13</v>
      </c>
      <c r="C661" s="7">
        <v>0</v>
      </c>
      <c r="D661" s="7">
        <v>2</v>
      </c>
      <c r="E661" s="7">
        <f t="shared" si="60"/>
        <v>15</v>
      </c>
      <c r="F661" s="11" t="s">
        <v>36</v>
      </c>
      <c r="G661">
        <v>4</v>
      </c>
      <c r="H661">
        <v>8</v>
      </c>
      <c r="I661">
        <v>0</v>
      </c>
      <c r="J661">
        <v>0</v>
      </c>
      <c r="K661">
        <f t="shared" si="61"/>
        <v>12</v>
      </c>
      <c r="L661" t="s">
        <v>36</v>
      </c>
      <c r="M661">
        <v>14556.519036330001</v>
      </c>
      <c r="N661" s="7">
        <v>13</v>
      </c>
      <c r="O661" s="7">
        <v>32</v>
      </c>
      <c r="P661" s="7">
        <v>9</v>
      </c>
      <c r="Q661" s="7">
        <v>3</v>
      </c>
      <c r="R661" s="7">
        <f t="shared" si="62"/>
        <v>57</v>
      </c>
      <c r="S661" t="s">
        <v>36</v>
      </c>
      <c r="T661" s="7">
        <v>20</v>
      </c>
      <c r="U661" s="7">
        <v>40</v>
      </c>
      <c r="V661" s="7">
        <v>9</v>
      </c>
      <c r="W661" s="7">
        <v>20</v>
      </c>
      <c r="X661" s="7">
        <f t="shared" si="63"/>
        <v>89</v>
      </c>
      <c r="Y661" t="e">
        <v>#N/A</v>
      </c>
      <c r="Z661">
        <v>138610.26528086001</v>
      </c>
      <c r="AA661" t="s">
        <v>1034</v>
      </c>
      <c r="AB661">
        <v>55</v>
      </c>
      <c r="AC661">
        <v>0</v>
      </c>
      <c r="AD661" t="s">
        <v>303</v>
      </c>
      <c r="AE661" t="s">
        <v>41</v>
      </c>
      <c r="AF661">
        <v>313</v>
      </c>
      <c r="AG661" s="8">
        <v>177</v>
      </c>
      <c r="AH661">
        <v>32</v>
      </c>
      <c r="AI661">
        <v>74</v>
      </c>
      <c r="AJ661">
        <v>-3</v>
      </c>
      <c r="AK661">
        <v>0.1807909604519774</v>
      </c>
      <c r="AL661">
        <v>2.4052672896090526</v>
      </c>
      <c r="AM661">
        <v>45</v>
      </c>
      <c r="AN661">
        <v>0</v>
      </c>
      <c r="AO661">
        <v>0.56140350877192979</v>
      </c>
      <c r="AP661">
        <v>2.1333333333333333</v>
      </c>
      <c r="AQ661">
        <v>0.13333333333333333</v>
      </c>
      <c r="AR661">
        <v>0</v>
      </c>
      <c r="AS661">
        <v>0.8666666666666667</v>
      </c>
      <c r="AT661">
        <v>0</v>
      </c>
      <c r="AU661">
        <v>153166.78431719</v>
      </c>
      <c r="AV661">
        <v>3</v>
      </c>
      <c r="AW661">
        <f t="shared" si="64"/>
        <v>0</v>
      </c>
      <c r="AX661">
        <v>0</v>
      </c>
      <c r="AY661">
        <f t="shared" si="65"/>
        <v>0</v>
      </c>
      <c r="AZ661">
        <v>0</v>
      </c>
      <c r="BA661">
        <v>1</v>
      </c>
      <c r="BB661">
        <v>2019</v>
      </c>
      <c r="BC661">
        <v>11</v>
      </c>
      <c r="BD661">
        <v>2019</v>
      </c>
      <c r="BE661">
        <v>1</v>
      </c>
      <c r="BF661">
        <v>2020</v>
      </c>
    </row>
    <row r="662" spans="1:58" x14ac:dyDescent="0.2">
      <c r="A662" s="7">
        <v>0</v>
      </c>
      <c r="B662" s="7">
        <v>0</v>
      </c>
      <c r="C662" s="7">
        <v>0</v>
      </c>
      <c r="D662" s="7">
        <v>0</v>
      </c>
      <c r="E662" s="7">
        <f t="shared" si="60"/>
        <v>0</v>
      </c>
      <c r="F662" s="11" t="s">
        <v>59</v>
      </c>
      <c r="G662">
        <v>5</v>
      </c>
      <c r="H662">
        <v>8</v>
      </c>
      <c r="I662">
        <v>0</v>
      </c>
      <c r="J662">
        <v>0</v>
      </c>
      <c r="K662">
        <f t="shared" si="61"/>
        <v>13</v>
      </c>
      <c r="L662" t="s">
        <v>68</v>
      </c>
      <c r="M662">
        <v>97606.892358250043</v>
      </c>
      <c r="N662" s="7">
        <v>6</v>
      </c>
      <c r="O662" s="7">
        <v>8</v>
      </c>
      <c r="P662" s="7">
        <v>0</v>
      </c>
      <c r="Q662" s="7">
        <v>2</v>
      </c>
      <c r="R662" s="7">
        <f t="shared" si="62"/>
        <v>16</v>
      </c>
      <c r="S662" t="e">
        <v>#N/A</v>
      </c>
      <c r="T662" s="7">
        <v>6</v>
      </c>
      <c r="U662" s="7">
        <v>8</v>
      </c>
      <c r="V662" s="7">
        <v>0</v>
      </c>
      <c r="W662" s="7">
        <v>2</v>
      </c>
      <c r="X662" s="7">
        <f t="shared" si="63"/>
        <v>16</v>
      </c>
      <c r="Y662" t="e">
        <v>#N/A</v>
      </c>
      <c r="Z662">
        <v>46663.331756839987</v>
      </c>
      <c r="AA662" t="s">
        <v>304</v>
      </c>
      <c r="AB662">
        <v>75</v>
      </c>
      <c r="AC662">
        <v>1320</v>
      </c>
      <c r="AD662" t="s">
        <v>269</v>
      </c>
      <c r="AE662" t="s">
        <v>41</v>
      </c>
      <c r="AF662">
        <v>44</v>
      </c>
      <c r="AG662" s="8">
        <v>0</v>
      </c>
      <c r="AH662">
        <v>0</v>
      </c>
      <c r="AI662">
        <v>16</v>
      </c>
      <c r="AJ662">
        <v>13</v>
      </c>
      <c r="AK662" t="e">
        <v>#N/A</v>
      </c>
      <c r="AL662" t="e">
        <v>#N/A</v>
      </c>
      <c r="AM662">
        <v>3</v>
      </c>
      <c r="AN662">
        <v>0</v>
      </c>
      <c r="AO662">
        <v>0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>
        <v>144270.22411509004</v>
      </c>
      <c r="AV662">
        <v>28</v>
      </c>
      <c r="AW662">
        <f t="shared" si="64"/>
        <v>1</v>
      </c>
      <c r="AX662">
        <v>1320</v>
      </c>
      <c r="AY662">
        <f t="shared" si="65"/>
        <v>1</v>
      </c>
      <c r="AZ662">
        <v>30</v>
      </c>
      <c r="BA662">
        <v>11</v>
      </c>
      <c r="BB662">
        <v>2019</v>
      </c>
      <c r="BC662">
        <v>1</v>
      </c>
      <c r="BD662">
        <v>2020</v>
      </c>
      <c r="BE662">
        <v>1</v>
      </c>
      <c r="BF662">
        <v>2020</v>
      </c>
    </row>
    <row r="663" spans="1:58" x14ac:dyDescent="0.2">
      <c r="A663" s="7">
        <v>9</v>
      </c>
      <c r="B663" s="7">
        <v>6</v>
      </c>
      <c r="C663" s="7">
        <v>0</v>
      </c>
      <c r="D663" s="7">
        <v>0</v>
      </c>
      <c r="E663" s="7">
        <f t="shared" si="60"/>
        <v>15</v>
      </c>
      <c r="F663" s="11" t="s">
        <v>36</v>
      </c>
      <c r="G663">
        <v>0</v>
      </c>
      <c r="H663">
        <v>6</v>
      </c>
      <c r="I663">
        <v>0</v>
      </c>
      <c r="J663">
        <v>0</v>
      </c>
      <c r="K663">
        <f t="shared" si="61"/>
        <v>6</v>
      </c>
      <c r="L663" t="s">
        <v>36</v>
      </c>
      <c r="M663">
        <v>22485.927168120001</v>
      </c>
      <c r="N663" s="7">
        <v>12</v>
      </c>
      <c r="O663" s="7">
        <v>17</v>
      </c>
      <c r="P663" s="7">
        <v>1</v>
      </c>
      <c r="Q663" s="7">
        <v>4</v>
      </c>
      <c r="R663" s="7">
        <f t="shared" si="62"/>
        <v>34</v>
      </c>
      <c r="S663" t="s">
        <v>36</v>
      </c>
      <c r="T663" s="7">
        <v>19</v>
      </c>
      <c r="U663" s="7">
        <v>33</v>
      </c>
      <c r="V663" s="7">
        <v>9</v>
      </c>
      <c r="W663" s="7">
        <v>6</v>
      </c>
      <c r="X663" s="7">
        <f t="shared" si="63"/>
        <v>67</v>
      </c>
      <c r="Y663" t="e">
        <v>#N/A</v>
      </c>
      <c r="Z663">
        <v>123501.92625121999</v>
      </c>
      <c r="AA663" t="s">
        <v>1035</v>
      </c>
      <c r="AB663">
        <v>61</v>
      </c>
      <c r="AC663">
        <v>185</v>
      </c>
      <c r="AD663" t="s">
        <v>258</v>
      </c>
      <c r="AE663" t="s">
        <v>41</v>
      </c>
      <c r="AF663">
        <v>313</v>
      </c>
      <c r="AG663" s="8">
        <v>147</v>
      </c>
      <c r="AH663">
        <v>33</v>
      </c>
      <c r="AI663">
        <v>52</v>
      </c>
      <c r="AJ663">
        <v>-9</v>
      </c>
      <c r="AK663">
        <v>0.22448979591836735</v>
      </c>
      <c r="AL663">
        <v>2.7217941261796645</v>
      </c>
      <c r="AM663">
        <v>28</v>
      </c>
      <c r="AN663">
        <v>0</v>
      </c>
      <c r="AO663">
        <v>0.97058823529411764</v>
      </c>
      <c r="AP663">
        <v>2.2000000000000002</v>
      </c>
      <c r="AQ663">
        <v>0</v>
      </c>
      <c r="AR663">
        <v>0.6</v>
      </c>
      <c r="AS663">
        <v>0.4</v>
      </c>
      <c r="AT663">
        <v>0</v>
      </c>
      <c r="AU663">
        <v>145987.85341933998</v>
      </c>
      <c r="AV663">
        <v>11</v>
      </c>
      <c r="AW663">
        <f t="shared" si="64"/>
        <v>1</v>
      </c>
      <c r="AX663">
        <v>185</v>
      </c>
      <c r="AY663">
        <f t="shared" si="65"/>
        <v>1</v>
      </c>
      <c r="AZ663">
        <v>0.59105431309904155</v>
      </c>
      <c r="BA663">
        <v>1</v>
      </c>
      <c r="BB663">
        <v>2019</v>
      </c>
      <c r="BC663">
        <v>11</v>
      </c>
      <c r="BD663">
        <v>2019</v>
      </c>
      <c r="BE663">
        <v>1</v>
      </c>
      <c r="BF663">
        <v>2020</v>
      </c>
    </row>
    <row r="664" spans="1:58" x14ac:dyDescent="0.2">
      <c r="A664" s="7">
        <v>19</v>
      </c>
      <c r="B664" s="7">
        <v>39</v>
      </c>
      <c r="C664" s="7">
        <v>8</v>
      </c>
      <c r="D664" s="7">
        <v>12</v>
      </c>
      <c r="E664" s="7">
        <f t="shared" si="60"/>
        <v>78</v>
      </c>
      <c r="F664" s="11" t="s">
        <v>36</v>
      </c>
      <c r="G664">
        <v>18</v>
      </c>
      <c r="H664">
        <v>39</v>
      </c>
      <c r="I664">
        <v>9</v>
      </c>
      <c r="J664">
        <v>6</v>
      </c>
      <c r="K664">
        <f t="shared" si="61"/>
        <v>72</v>
      </c>
      <c r="L664" t="s">
        <v>36</v>
      </c>
      <c r="M664">
        <v>7735.647280000001</v>
      </c>
      <c r="N664" s="7">
        <v>20</v>
      </c>
      <c r="O664" s="7">
        <v>40</v>
      </c>
      <c r="P664" s="7">
        <v>9</v>
      </c>
      <c r="Q664" s="7">
        <v>20</v>
      </c>
      <c r="R664" s="7">
        <f t="shared" si="62"/>
        <v>89</v>
      </c>
      <c r="S664" t="s">
        <v>36</v>
      </c>
      <c r="T664" s="7">
        <v>20</v>
      </c>
      <c r="U664" s="7">
        <v>40</v>
      </c>
      <c r="V664" s="7">
        <v>9</v>
      </c>
      <c r="W664" s="7">
        <v>20</v>
      </c>
      <c r="X664" s="7">
        <f t="shared" si="63"/>
        <v>89</v>
      </c>
      <c r="Y664" t="s">
        <v>36</v>
      </c>
      <c r="Z664">
        <v>4337.9986400000007</v>
      </c>
      <c r="AA664" t="s">
        <v>1036</v>
      </c>
      <c r="AB664">
        <v>59</v>
      </c>
      <c r="AC664">
        <v>0</v>
      </c>
      <c r="AD664" t="s">
        <v>253</v>
      </c>
      <c r="AE664" t="s">
        <v>75</v>
      </c>
      <c r="AF664">
        <v>286</v>
      </c>
      <c r="AG664" s="8">
        <v>0</v>
      </c>
      <c r="AH664">
        <v>0</v>
      </c>
      <c r="AI664">
        <v>11</v>
      </c>
      <c r="AJ664">
        <v>-6</v>
      </c>
      <c r="AK664" t="e">
        <v>#N/A</v>
      </c>
      <c r="AL664" t="e">
        <v>#N/A</v>
      </c>
      <c r="AM664">
        <v>17</v>
      </c>
      <c r="AN664">
        <v>0</v>
      </c>
      <c r="AO664">
        <v>0</v>
      </c>
      <c r="AP664">
        <v>0</v>
      </c>
      <c r="AQ664">
        <v>0.15384615384615385</v>
      </c>
      <c r="AR664">
        <v>0.24358974358974358</v>
      </c>
      <c r="AS664">
        <v>0.5</v>
      </c>
      <c r="AT664">
        <v>0.10256410256410256</v>
      </c>
      <c r="AU664">
        <v>12073.645920000003</v>
      </c>
      <c r="AV664">
        <v>2</v>
      </c>
      <c r="AW664">
        <f t="shared" si="64"/>
        <v>0</v>
      </c>
      <c r="AX664">
        <v>0</v>
      </c>
      <c r="AY664">
        <f t="shared" si="65"/>
        <v>0</v>
      </c>
      <c r="AZ664">
        <v>0</v>
      </c>
      <c r="BA664">
        <v>2</v>
      </c>
      <c r="BB664">
        <v>2019</v>
      </c>
      <c r="BC664">
        <v>11</v>
      </c>
      <c r="BD664">
        <v>2019</v>
      </c>
      <c r="BE664">
        <v>12</v>
      </c>
      <c r="BF664">
        <v>2019</v>
      </c>
    </row>
    <row r="665" spans="1:58" x14ac:dyDescent="0.2">
      <c r="A665" s="7">
        <v>1</v>
      </c>
      <c r="B665" s="7">
        <v>8</v>
      </c>
      <c r="C665" s="7">
        <v>0</v>
      </c>
      <c r="D665" s="7">
        <v>0</v>
      </c>
      <c r="E665" s="7">
        <f t="shared" si="60"/>
        <v>9</v>
      </c>
      <c r="F665" s="11" t="s">
        <v>42</v>
      </c>
      <c r="G665">
        <v>1</v>
      </c>
      <c r="H665">
        <v>8</v>
      </c>
      <c r="I665">
        <v>0</v>
      </c>
      <c r="J665">
        <v>0</v>
      </c>
      <c r="K665">
        <f t="shared" si="61"/>
        <v>9</v>
      </c>
      <c r="L665" t="s">
        <v>42</v>
      </c>
      <c r="M665">
        <v>20480.36514777</v>
      </c>
      <c r="N665" s="7">
        <v>0</v>
      </c>
      <c r="O665" s="7">
        <v>8</v>
      </c>
      <c r="P665" s="7">
        <v>0</v>
      </c>
      <c r="Q665" s="7">
        <v>0</v>
      </c>
      <c r="R665" s="7">
        <f t="shared" si="62"/>
        <v>8</v>
      </c>
      <c r="S665" t="s">
        <v>54</v>
      </c>
      <c r="T665" s="7">
        <v>8</v>
      </c>
      <c r="U665" s="7">
        <v>18</v>
      </c>
      <c r="V665" s="7">
        <v>9</v>
      </c>
      <c r="W665" s="7">
        <v>7</v>
      </c>
      <c r="X665" s="7">
        <f t="shared" si="63"/>
        <v>42</v>
      </c>
      <c r="Y665" t="e">
        <v>#N/A</v>
      </c>
      <c r="Z665">
        <v>171536.01817167</v>
      </c>
      <c r="AA665" t="s">
        <v>1037</v>
      </c>
      <c r="AB665">
        <v>68</v>
      </c>
      <c r="AC665">
        <v>0</v>
      </c>
      <c r="AD665" t="s">
        <v>295</v>
      </c>
      <c r="AE665" t="s">
        <v>41</v>
      </c>
      <c r="AF665" t="e">
        <v>#N/A</v>
      </c>
      <c r="AG665" s="8">
        <v>178</v>
      </c>
      <c r="AH665">
        <v>34</v>
      </c>
      <c r="AI665">
        <v>33</v>
      </c>
      <c r="AJ665">
        <v>0</v>
      </c>
      <c r="AK665">
        <v>0.19101123595505617</v>
      </c>
      <c r="AL665">
        <v>2.5484077425859288</v>
      </c>
      <c r="AM665">
        <v>-1</v>
      </c>
      <c r="AN665">
        <v>1</v>
      </c>
      <c r="AO665">
        <v>4.25</v>
      </c>
      <c r="AP665">
        <v>3.7777777777777777</v>
      </c>
      <c r="AQ665">
        <v>0</v>
      </c>
      <c r="AR665">
        <v>0.1111111111111111</v>
      </c>
      <c r="AS665">
        <v>0.88888888888888884</v>
      </c>
      <c r="AT665">
        <v>0</v>
      </c>
      <c r="AU665">
        <v>192016.38331944001</v>
      </c>
      <c r="AV665">
        <v>8</v>
      </c>
      <c r="AW665">
        <f t="shared" si="64"/>
        <v>0</v>
      </c>
      <c r="AX665">
        <v>0</v>
      </c>
      <c r="AY665">
        <f t="shared" si="65"/>
        <v>0</v>
      </c>
      <c r="AZ665" t="e">
        <v>#N/A</v>
      </c>
      <c r="BA665">
        <v>11</v>
      </c>
      <c r="BB665">
        <v>2019</v>
      </c>
      <c r="BC665">
        <v>11</v>
      </c>
      <c r="BD665">
        <v>2019</v>
      </c>
      <c r="BE665">
        <v>1</v>
      </c>
      <c r="BF665">
        <v>2020</v>
      </c>
    </row>
    <row r="666" spans="1:58" x14ac:dyDescent="0.2">
      <c r="A666" s="7">
        <v>0</v>
      </c>
      <c r="B666" s="7">
        <v>2</v>
      </c>
      <c r="C666" s="7">
        <v>0</v>
      </c>
      <c r="D666" s="7">
        <v>0</v>
      </c>
      <c r="E666" s="7">
        <f t="shared" si="60"/>
        <v>2</v>
      </c>
      <c r="F666" s="11" t="s">
        <v>31</v>
      </c>
      <c r="G666">
        <v>0</v>
      </c>
      <c r="H666">
        <v>2</v>
      </c>
      <c r="I666">
        <v>0</v>
      </c>
      <c r="J666">
        <v>0</v>
      </c>
      <c r="K666">
        <f t="shared" si="61"/>
        <v>2</v>
      </c>
      <c r="L666" t="s">
        <v>53</v>
      </c>
      <c r="M666">
        <v>33428.396407810003</v>
      </c>
      <c r="N666" s="7">
        <v>3</v>
      </c>
      <c r="O666" s="7">
        <v>2</v>
      </c>
      <c r="P666" s="7">
        <v>4</v>
      </c>
      <c r="Q666" s="7">
        <v>0</v>
      </c>
      <c r="R666" s="7">
        <f t="shared" si="62"/>
        <v>9</v>
      </c>
      <c r="S666" t="s">
        <v>83</v>
      </c>
      <c r="T666" s="7">
        <v>20</v>
      </c>
      <c r="U666" s="7">
        <v>31</v>
      </c>
      <c r="V666" s="7">
        <v>9</v>
      </c>
      <c r="W666" s="7">
        <v>15</v>
      </c>
      <c r="X666" s="7">
        <f t="shared" si="63"/>
        <v>75</v>
      </c>
      <c r="Y666" t="s">
        <v>36</v>
      </c>
      <c r="Z666">
        <v>86151.609986239986</v>
      </c>
      <c r="AA666" t="s">
        <v>1038</v>
      </c>
      <c r="AB666">
        <v>75</v>
      </c>
      <c r="AC666">
        <v>500</v>
      </c>
      <c r="AD666" t="s">
        <v>253</v>
      </c>
      <c r="AE666" t="s">
        <v>41</v>
      </c>
      <c r="AF666">
        <v>21</v>
      </c>
      <c r="AG666" s="8">
        <v>81</v>
      </c>
      <c r="AH666">
        <v>66</v>
      </c>
      <c r="AI666">
        <v>73</v>
      </c>
      <c r="AJ666">
        <v>0</v>
      </c>
      <c r="AK666">
        <v>0.81481481481481477</v>
      </c>
      <c r="AL666">
        <v>7.333333333333333</v>
      </c>
      <c r="AM666">
        <v>7</v>
      </c>
      <c r="AN666">
        <v>0</v>
      </c>
      <c r="AO666">
        <v>7.333333333333333</v>
      </c>
      <c r="AP666">
        <v>33</v>
      </c>
      <c r="AQ666">
        <v>0</v>
      </c>
      <c r="AR666">
        <v>0</v>
      </c>
      <c r="AS666">
        <v>1</v>
      </c>
      <c r="AT666">
        <v>0</v>
      </c>
      <c r="AU666">
        <v>119580.00639405</v>
      </c>
      <c r="AV666">
        <v>4</v>
      </c>
      <c r="AW666">
        <f t="shared" si="64"/>
        <v>0</v>
      </c>
      <c r="AX666">
        <v>500</v>
      </c>
      <c r="AY666">
        <f t="shared" si="65"/>
        <v>1</v>
      </c>
      <c r="AZ666">
        <v>23.80952380952381</v>
      </c>
      <c r="BA666">
        <v>11</v>
      </c>
      <c r="BB666">
        <v>2019</v>
      </c>
      <c r="BC666">
        <v>12</v>
      </c>
      <c r="BD666">
        <v>2019</v>
      </c>
      <c r="BE666">
        <v>1</v>
      </c>
      <c r="BF666">
        <v>2020</v>
      </c>
    </row>
    <row r="667" spans="1:58" x14ac:dyDescent="0.2">
      <c r="A667" s="7">
        <v>0</v>
      </c>
      <c r="B667" s="7">
        <v>0</v>
      </c>
      <c r="C667" s="7">
        <v>0</v>
      </c>
      <c r="D667" s="7">
        <v>0</v>
      </c>
      <c r="E667" s="7">
        <f t="shared" si="60"/>
        <v>0</v>
      </c>
      <c r="F667" s="11" t="s">
        <v>54</v>
      </c>
      <c r="G667">
        <v>0</v>
      </c>
      <c r="H667">
        <v>0</v>
      </c>
      <c r="I667">
        <v>0</v>
      </c>
      <c r="J667">
        <v>0</v>
      </c>
      <c r="K667">
        <f t="shared" si="61"/>
        <v>0</v>
      </c>
      <c r="L667" t="s">
        <v>54</v>
      </c>
      <c r="M667">
        <v>92271.891774870004</v>
      </c>
      <c r="N667" s="7">
        <v>0</v>
      </c>
      <c r="O667" s="7">
        <v>0</v>
      </c>
      <c r="P667" s="7">
        <v>0</v>
      </c>
      <c r="Q667" s="7">
        <v>0</v>
      </c>
      <c r="R667" s="7">
        <f t="shared" si="62"/>
        <v>0</v>
      </c>
      <c r="S667" t="e">
        <v>#N/A</v>
      </c>
      <c r="T667" s="7">
        <v>0</v>
      </c>
      <c r="U667" s="7">
        <v>6</v>
      </c>
      <c r="V667" s="7">
        <v>0</v>
      </c>
      <c r="W667" s="7">
        <v>0</v>
      </c>
      <c r="X667" s="7">
        <f t="shared" si="63"/>
        <v>6</v>
      </c>
      <c r="Y667" t="e">
        <v>#N/A</v>
      </c>
      <c r="Z667">
        <v>163341.39774941001</v>
      </c>
      <c r="AA667" t="s">
        <v>305</v>
      </c>
      <c r="AB667">
        <v>33</v>
      </c>
      <c r="AC667">
        <v>1517</v>
      </c>
      <c r="AD667" t="s">
        <v>187</v>
      </c>
      <c r="AE667" t="s">
        <v>75</v>
      </c>
      <c r="AF667">
        <v>37</v>
      </c>
      <c r="AG667" s="8">
        <v>248</v>
      </c>
      <c r="AH667">
        <v>6</v>
      </c>
      <c r="AI667">
        <v>6</v>
      </c>
      <c r="AJ667">
        <v>0</v>
      </c>
      <c r="AK667">
        <v>2.4193548387096774E-2</v>
      </c>
      <c r="AL667">
        <v>0.38100038100057149</v>
      </c>
      <c r="AM667">
        <v>0</v>
      </c>
      <c r="AN667">
        <v>0</v>
      </c>
      <c r="AO667" t="e">
        <v>#N/A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>
        <v>255613.28952428</v>
      </c>
      <c r="AV667">
        <v>5</v>
      </c>
      <c r="AW667">
        <f t="shared" si="64"/>
        <v>0</v>
      </c>
      <c r="AX667">
        <v>1517</v>
      </c>
      <c r="AY667">
        <f t="shared" si="65"/>
        <v>1</v>
      </c>
      <c r="AZ667">
        <v>41</v>
      </c>
      <c r="BA667">
        <v>11</v>
      </c>
      <c r="BB667">
        <v>2019</v>
      </c>
      <c r="BC667">
        <v>1</v>
      </c>
      <c r="BD667">
        <v>2020</v>
      </c>
      <c r="BE667">
        <v>1</v>
      </c>
      <c r="BF667">
        <v>2020</v>
      </c>
    </row>
    <row r="668" spans="1:58" x14ac:dyDescent="0.2">
      <c r="A668" s="7">
        <v>0</v>
      </c>
      <c r="B668" s="7">
        <v>0</v>
      </c>
      <c r="C668" s="7">
        <v>0</v>
      </c>
      <c r="D668" s="7">
        <v>0</v>
      </c>
      <c r="E668" s="7">
        <f t="shared" si="60"/>
        <v>0</v>
      </c>
      <c r="F668" s="11" t="s">
        <v>45</v>
      </c>
      <c r="G668">
        <v>0</v>
      </c>
      <c r="H668">
        <v>0</v>
      </c>
      <c r="I668">
        <v>0</v>
      </c>
      <c r="J668">
        <v>0</v>
      </c>
      <c r="K668">
        <f t="shared" si="61"/>
        <v>0</v>
      </c>
      <c r="L668" t="s">
        <v>42</v>
      </c>
      <c r="M668">
        <v>36427.45536811999</v>
      </c>
      <c r="N668" s="7">
        <v>2</v>
      </c>
      <c r="O668" s="7">
        <v>8</v>
      </c>
      <c r="P668" s="7">
        <v>2</v>
      </c>
      <c r="Q668" s="7">
        <v>0</v>
      </c>
      <c r="R668" s="7">
        <f t="shared" si="62"/>
        <v>12</v>
      </c>
      <c r="S668" t="s">
        <v>42</v>
      </c>
      <c r="T668" s="7">
        <v>16</v>
      </c>
      <c r="U668" s="7">
        <v>39</v>
      </c>
      <c r="V668" s="7">
        <v>10</v>
      </c>
      <c r="W668" s="7">
        <v>30</v>
      </c>
      <c r="X668" s="7">
        <f t="shared" si="63"/>
        <v>95</v>
      </c>
      <c r="Y668" t="s">
        <v>39</v>
      </c>
      <c r="Z668">
        <v>104472.69346554999</v>
      </c>
      <c r="AA668" t="s">
        <v>1039</v>
      </c>
      <c r="AB668">
        <v>67</v>
      </c>
      <c r="AC668">
        <v>455</v>
      </c>
      <c r="AD668" t="s">
        <v>140</v>
      </c>
      <c r="AE668" t="s">
        <v>41</v>
      </c>
      <c r="AF668">
        <v>19</v>
      </c>
      <c r="AG668" s="8">
        <v>133</v>
      </c>
      <c r="AH668">
        <v>83</v>
      </c>
      <c r="AI668">
        <v>95</v>
      </c>
      <c r="AJ668">
        <v>0</v>
      </c>
      <c r="AK668">
        <v>0.62406015037593987</v>
      </c>
      <c r="AL668">
        <v>7.1970127470501959</v>
      </c>
      <c r="AM668">
        <v>12</v>
      </c>
      <c r="AN668">
        <v>0</v>
      </c>
      <c r="AO668">
        <v>6.916666666666667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>
        <v>140900.14883366998</v>
      </c>
      <c r="AV668">
        <v>7</v>
      </c>
      <c r="AW668">
        <f t="shared" si="64"/>
        <v>0</v>
      </c>
      <c r="AX668">
        <v>455</v>
      </c>
      <c r="AY668">
        <f t="shared" si="65"/>
        <v>1</v>
      </c>
      <c r="AZ668">
        <v>23.94736842105263</v>
      </c>
      <c r="BA668">
        <v>11</v>
      </c>
      <c r="BB668">
        <v>2019</v>
      </c>
      <c r="BC668">
        <v>12</v>
      </c>
      <c r="BD668">
        <v>2019</v>
      </c>
      <c r="BE668">
        <v>1</v>
      </c>
      <c r="BF668">
        <v>2020</v>
      </c>
    </row>
    <row r="669" spans="1:58" x14ac:dyDescent="0.2">
      <c r="A669" s="7">
        <v>0</v>
      </c>
      <c r="B669" s="7">
        <v>0</v>
      </c>
      <c r="C669" s="7">
        <v>0</v>
      </c>
      <c r="D669" s="7">
        <v>0</v>
      </c>
      <c r="E669" s="7">
        <f t="shared" si="60"/>
        <v>0</v>
      </c>
      <c r="F669" s="11" t="s">
        <v>45</v>
      </c>
      <c r="G669">
        <v>0</v>
      </c>
      <c r="H669">
        <v>0</v>
      </c>
      <c r="I669">
        <v>0</v>
      </c>
      <c r="J669">
        <v>0</v>
      </c>
      <c r="K669">
        <f t="shared" si="61"/>
        <v>0</v>
      </c>
      <c r="L669" t="s">
        <v>54</v>
      </c>
      <c r="M669">
        <v>52059.064769600001</v>
      </c>
      <c r="N669" s="7">
        <v>0</v>
      </c>
      <c r="O669" s="7">
        <v>8</v>
      </c>
      <c r="P669" s="7">
        <v>0</v>
      </c>
      <c r="Q669" s="7">
        <v>0</v>
      </c>
      <c r="R669" s="7">
        <f t="shared" si="62"/>
        <v>8</v>
      </c>
      <c r="S669" t="s">
        <v>54</v>
      </c>
      <c r="T669" s="7">
        <v>0</v>
      </c>
      <c r="U669" s="7">
        <v>19</v>
      </c>
      <c r="V669" s="7">
        <v>0</v>
      </c>
      <c r="W669" s="7">
        <v>0</v>
      </c>
      <c r="X669" s="7">
        <f t="shared" si="63"/>
        <v>19</v>
      </c>
      <c r="Y669" t="e">
        <v>#N/A</v>
      </c>
      <c r="Z669">
        <v>156032.18844753999</v>
      </c>
      <c r="AA669" t="s">
        <v>1040</v>
      </c>
      <c r="AB669">
        <v>71</v>
      </c>
      <c r="AC669">
        <v>575</v>
      </c>
      <c r="AD669" t="s">
        <v>248</v>
      </c>
      <c r="AE669" t="s">
        <v>41</v>
      </c>
      <c r="AF669">
        <v>22</v>
      </c>
      <c r="AG669" s="8">
        <v>146</v>
      </c>
      <c r="AH669">
        <v>11</v>
      </c>
      <c r="AI669">
        <v>19</v>
      </c>
      <c r="AJ669">
        <v>0</v>
      </c>
      <c r="AK669">
        <v>7.5342465753424653E-2</v>
      </c>
      <c r="AL669">
        <v>0.91036647746260468</v>
      </c>
      <c r="AM669">
        <v>8</v>
      </c>
      <c r="AN669">
        <v>0</v>
      </c>
      <c r="AO669">
        <v>1.375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>
        <v>208091.25321713998</v>
      </c>
      <c r="AV669">
        <v>12</v>
      </c>
      <c r="AW669">
        <f t="shared" si="64"/>
        <v>1</v>
      </c>
      <c r="AX669">
        <v>575</v>
      </c>
      <c r="AY669">
        <f t="shared" si="65"/>
        <v>1</v>
      </c>
      <c r="AZ669">
        <v>26.136363636363637</v>
      </c>
      <c r="BA669">
        <v>11</v>
      </c>
      <c r="BB669">
        <v>2019</v>
      </c>
      <c r="BC669">
        <v>12</v>
      </c>
      <c r="BD669">
        <v>2019</v>
      </c>
      <c r="BE669">
        <v>1</v>
      </c>
      <c r="BF669">
        <v>2020</v>
      </c>
    </row>
    <row r="670" spans="1:58" x14ac:dyDescent="0.2">
      <c r="A670" s="7">
        <v>7</v>
      </c>
      <c r="B670" s="7">
        <v>10</v>
      </c>
      <c r="C670" s="7">
        <v>3</v>
      </c>
      <c r="D670" s="7">
        <v>6</v>
      </c>
      <c r="E670" s="7">
        <f t="shared" si="60"/>
        <v>26</v>
      </c>
      <c r="F670" s="11" t="s">
        <v>83</v>
      </c>
      <c r="G670">
        <v>13</v>
      </c>
      <c r="H670">
        <v>10</v>
      </c>
      <c r="I670">
        <v>2</v>
      </c>
      <c r="J670">
        <v>6</v>
      </c>
      <c r="K670">
        <f t="shared" si="61"/>
        <v>31</v>
      </c>
      <c r="L670" t="s">
        <v>54</v>
      </c>
      <c r="M670">
        <v>18223.582190149998</v>
      </c>
      <c r="N670" s="7">
        <v>15</v>
      </c>
      <c r="O670" s="7">
        <v>32</v>
      </c>
      <c r="P670" s="7">
        <v>6</v>
      </c>
      <c r="Q670" s="7">
        <v>7</v>
      </c>
      <c r="R670" s="7">
        <f t="shared" si="62"/>
        <v>60</v>
      </c>
      <c r="S670" t="s">
        <v>54</v>
      </c>
      <c r="T670" s="7">
        <v>15</v>
      </c>
      <c r="U670" s="7">
        <v>31</v>
      </c>
      <c r="V670" s="7">
        <v>6</v>
      </c>
      <c r="W670" s="7">
        <v>7</v>
      </c>
      <c r="X670" s="7">
        <f t="shared" si="63"/>
        <v>59</v>
      </c>
      <c r="Y670" t="s">
        <v>54</v>
      </c>
      <c r="Z670">
        <v>32967.941162540003</v>
      </c>
      <c r="AA670" t="s">
        <v>306</v>
      </c>
      <c r="AB670">
        <v>66</v>
      </c>
      <c r="AC670">
        <v>0</v>
      </c>
      <c r="AD670" t="s">
        <v>131</v>
      </c>
      <c r="AE670" t="s">
        <v>41</v>
      </c>
      <c r="AF670">
        <v>19</v>
      </c>
      <c r="AG670" s="8">
        <v>7</v>
      </c>
      <c r="AH670">
        <v>-1</v>
      </c>
      <c r="AI670">
        <v>33</v>
      </c>
      <c r="AJ670">
        <v>5</v>
      </c>
      <c r="AK670">
        <v>-0.14285714285714285</v>
      </c>
      <c r="AL670">
        <v>-0.3779644730092272</v>
      </c>
      <c r="AM670">
        <v>29</v>
      </c>
      <c r="AN670">
        <v>0</v>
      </c>
      <c r="AO670">
        <v>-1.6666666666666666E-2</v>
      </c>
      <c r="AP670">
        <v>-3.8461538461538464E-2</v>
      </c>
      <c r="AQ670">
        <v>0.23076923076923078</v>
      </c>
      <c r="AR670">
        <v>0.26923076923076922</v>
      </c>
      <c r="AS670">
        <v>0.38461538461538464</v>
      </c>
      <c r="AT670">
        <v>0.11538461538461539</v>
      </c>
      <c r="AU670">
        <v>51191.523352689997</v>
      </c>
      <c r="AV670">
        <v>15</v>
      </c>
      <c r="AW670">
        <f t="shared" si="64"/>
        <v>1</v>
      </c>
      <c r="AX670">
        <v>0</v>
      </c>
      <c r="AY670">
        <f t="shared" si="65"/>
        <v>0</v>
      </c>
      <c r="AZ670">
        <v>0</v>
      </c>
      <c r="BA670">
        <v>12</v>
      </c>
      <c r="BB670">
        <v>2019</v>
      </c>
      <c r="BC670">
        <v>1</v>
      </c>
      <c r="BD670">
        <v>2020</v>
      </c>
      <c r="BE670">
        <v>2</v>
      </c>
      <c r="BF670">
        <v>2020</v>
      </c>
    </row>
    <row r="671" spans="1:58" x14ac:dyDescent="0.2">
      <c r="A671" s="7">
        <v>17</v>
      </c>
      <c r="B671" s="7">
        <v>35</v>
      </c>
      <c r="C671" s="7">
        <v>9</v>
      </c>
      <c r="D671" s="7">
        <v>12</v>
      </c>
      <c r="E671" s="7">
        <f t="shared" si="60"/>
        <v>73</v>
      </c>
      <c r="F671" s="11" t="e">
        <v>#N/A</v>
      </c>
      <c r="G671">
        <v>17</v>
      </c>
      <c r="H671">
        <v>35</v>
      </c>
      <c r="I671">
        <v>9</v>
      </c>
      <c r="J671">
        <v>12</v>
      </c>
      <c r="K671">
        <f t="shared" si="61"/>
        <v>73</v>
      </c>
      <c r="L671" t="e">
        <v>#N/A</v>
      </c>
      <c r="M671">
        <v>19079.375077699999</v>
      </c>
      <c r="N671" s="7">
        <v>20</v>
      </c>
      <c r="O671" s="7">
        <v>40</v>
      </c>
      <c r="P671" s="7">
        <v>6</v>
      </c>
      <c r="Q671" s="7">
        <v>30</v>
      </c>
      <c r="R671" s="7">
        <f t="shared" si="62"/>
        <v>96</v>
      </c>
      <c r="S671" t="s">
        <v>36</v>
      </c>
      <c r="T671" s="7">
        <v>20</v>
      </c>
      <c r="U671" s="7">
        <v>40</v>
      </c>
      <c r="V671" s="7">
        <v>6</v>
      </c>
      <c r="W671" s="7">
        <v>30</v>
      </c>
      <c r="X671" s="7">
        <f t="shared" si="63"/>
        <v>96</v>
      </c>
      <c r="Y671" t="s">
        <v>36</v>
      </c>
      <c r="Z671">
        <v>2262.6629200000002</v>
      </c>
      <c r="AA671" t="s">
        <v>307</v>
      </c>
      <c r="AB671">
        <v>38</v>
      </c>
      <c r="AC671">
        <v>21</v>
      </c>
      <c r="AD671" t="s">
        <v>308</v>
      </c>
      <c r="AE671" t="s">
        <v>41</v>
      </c>
      <c r="AF671" t="e">
        <v>#N/A</v>
      </c>
      <c r="AG671" s="8">
        <v>0</v>
      </c>
      <c r="AH671">
        <v>0</v>
      </c>
      <c r="AI671">
        <v>23</v>
      </c>
      <c r="AJ671">
        <v>0</v>
      </c>
      <c r="AK671" t="e">
        <v>#N/A</v>
      </c>
      <c r="AL671" t="e">
        <v>#N/A</v>
      </c>
      <c r="AM671">
        <v>23</v>
      </c>
      <c r="AN671">
        <v>0</v>
      </c>
      <c r="AO671">
        <v>0</v>
      </c>
      <c r="AP671">
        <v>0</v>
      </c>
      <c r="AQ671">
        <v>0.16438356164383561</v>
      </c>
      <c r="AR671">
        <v>0.23287671232876711</v>
      </c>
      <c r="AS671">
        <v>0.47945205479452052</v>
      </c>
      <c r="AT671">
        <v>0.12328767123287671</v>
      </c>
      <c r="AU671">
        <v>21342.037997699998</v>
      </c>
      <c r="AV671">
        <v>4</v>
      </c>
      <c r="AW671">
        <f t="shared" si="64"/>
        <v>0</v>
      </c>
      <c r="AX671">
        <v>21</v>
      </c>
      <c r="AY671">
        <f t="shared" si="65"/>
        <v>1</v>
      </c>
      <c r="AZ671" t="e">
        <v>#N/A</v>
      </c>
      <c r="BA671">
        <v>1</v>
      </c>
      <c r="BB671">
        <v>2020</v>
      </c>
      <c r="BC671">
        <v>1</v>
      </c>
      <c r="BD671">
        <v>2020</v>
      </c>
      <c r="BE671">
        <v>11</v>
      </c>
      <c r="BF671">
        <v>2020</v>
      </c>
    </row>
    <row r="672" spans="1:58" x14ac:dyDescent="0.2">
      <c r="A672" s="7">
        <v>0</v>
      </c>
      <c r="B672" s="7">
        <v>0</v>
      </c>
      <c r="C672" s="7">
        <v>0</v>
      </c>
      <c r="D672" s="7">
        <v>0</v>
      </c>
      <c r="E672" s="7">
        <f t="shared" si="60"/>
        <v>0</v>
      </c>
      <c r="F672" s="11" t="s">
        <v>44</v>
      </c>
      <c r="G672">
        <v>1</v>
      </c>
      <c r="H672">
        <v>2</v>
      </c>
      <c r="I672">
        <v>1</v>
      </c>
      <c r="J672">
        <v>0</v>
      </c>
      <c r="K672">
        <f t="shared" si="61"/>
        <v>4</v>
      </c>
      <c r="L672" t="e">
        <v>#N/A</v>
      </c>
      <c r="M672">
        <v>111297.72040715</v>
      </c>
      <c r="N672" s="7">
        <v>3</v>
      </c>
      <c r="O672" s="7">
        <v>2</v>
      </c>
      <c r="P672" s="7">
        <v>1</v>
      </c>
      <c r="Q672" s="7">
        <v>0</v>
      </c>
      <c r="R672" s="7">
        <f t="shared" si="62"/>
        <v>6</v>
      </c>
      <c r="S672" t="e">
        <v>#N/A</v>
      </c>
      <c r="T672" s="7">
        <v>1</v>
      </c>
      <c r="U672" s="7">
        <v>2</v>
      </c>
      <c r="V672" s="7">
        <v>0</v>
      </c>
      <c r="W672" s="7">
        <v>0</v>
      </c>
      <c r="X672" s="7">
        <f t="shared" si="63"/>
        <v>3</v>
      </c>
      <c r="Y672" t="e">
        <v>#N/A</v>
      </c>
      <c r="Z672">
        <v>121618.41490149</v>
      </c>
      <c r="AA672" t="s">
        <v>309</v>
      </c>
      <c r="AB672">
        <v>73</v>
      </c>
      <c r="AC672">
        <v>1340</v>
      </c>
      <c r="AD672" t="s">
        <v>131</v>
      </c>
      <c r="AE672" t="s">
        <v>41</v>
      </c>
      <c r="AF672">
        <v>347</v>
      </c>
      <c r="AG672" s="8">
        <v>110</v>
      </c>
      <c r="AH672">
        <v>-3</v>
      </c>
      <c r="AI672">
        <v>3</v>
      </c>
      <c r="AJ672">
        <v>4</v>
      </c>
      <c r="AK672">
        <v>-2.7272727272727271E-2</v>
      </c>
      <c r="AL672">
        <v>-0.28603877677367767</v>
      </c>
      <c r="AM672">
        <v>2</v>
      </c>
      <c r="AN672">
        <v>0</v>
      </c>
      <c r="AO672">
        <v>-0.5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>
        <v>232916.13530864002</v>
      </c>
      <c r="AV672">
        <v>34</v>
      </c>
      <c r="AW672">
        <f t="shared" si="64"/>
        <v>1</v>
      </c>
      <c r="AX672">
        <v>1340</v>
      </c>
      <c r="AY672">
        <f t="shared" si="65"/>
        <v>1</v>
      </c>
      <c r="AZ672">
        <v>3.8616714697406338</v>
      </c>
      <c r="BA672">
        <v>2</v>
      </c>
      <c r="BB672">
        <v>2019</v>
      </c>
      <c r="BC672">
        <v>1</v>
      </c>
      <c r="BD672">
        <v>2020</v>
      </c>
      <c r="BE672">
        <v>1</v>
      </c>
      <c r="BF672">
        <v>2020</v>
      </c>
    </row>
    <row r="673" spans="1:58" x14ac:dyDescent="0.2">
      <c r="A673" s="7">
        <v>4</v>
      </c>
      <c r="B673" s="7">
        <v>10</v>
      </c>
      <c r="C673" s="7">
        <v>0</v>
      </c>
      <c r="D673" s="7">
        <v>0</v>
      </c>
      <c r="E673" s="7">
        <f t="shared" si="60"/>
        <v>14</v>
      </c>
      <c r="F673" s="11" t="s">
        <v>51</v>
      </c>
      <c r="G673">
        <v>4</v>
      </c>
      <c r="H673">
        <v>10</v>
      </c>
      <c r="I673">
        <v>0</v>
      </c>
      <c r="J673">
        <v>0</v>
      </c>
      <c r="K673">
        <f t="shared" si="61"/>
        <v>14</v>
      </c>
      <c r="L673" t="s">
        <v>51</v>
      </c>
      <c r="M673">
        <v>15893.508467359999</v>
      </c>
      <c r="N673" s="7">
        <v>11</v>
      </c>
      <c r="O673" s="7">
        <v>13</v>
      </c>
      <c r="P673" s="7">
        <v>1</v>
      </c>
      <c r="Q673" s="7">
        <v>5</v>
      </c>
      <c r="R673" s="7">
        <f t="shared" si="62"/>
        <v>30</v>
      </c>
      <c r="S673" t="s">
        <v>83</v>
      </c>
      <c r="T673" s="7">
        <v>20</v>
      </c>
      <c r="U673" s="7">
        <v>36</v>
      </c>
      <c r="V673" s="7">
        <v>9</v>
      </c>
      <c r="W673" s="7">
        <v>11</v>
      </c>
      <c r="X673" s="7">
        <f t="shared" si="63"/>
        <v>76</v>
      </c>
      <c r="Y673" t="e">
        <v>#N/A</v>
      </c>
      <c r="Z673">
        <v>107027.86081009</v>
      </c>
      <c r="AA673" t="s">
        <v>1041</v>
      </c>
      <c r="AB673">
        <v>25</v>
      </c>
      <c r="AC673">
        <v>240</v>
      </c>
      <c r="AD673" t="s">
        <v>310</v>
      </c>
      <c r="AE673" t="s">
        <v>41</v>
      </c>
      <c r="AF673" t="e">
        <v>#N/A</v>
      </c>
      <c r="AG673" s="8">
        <v>135</v>
      </c>
      <c r="AH673">
        <v>46</v>
      </c>
      <c r="AI673">
        <v>62</v>
      </c>
      <c r="AJ673">
        <v>0</v>
      </c>
      <c r="AK673">
        <v>0.34074074074074073</v>
      </c>
      <c r="AL673">
        <v>3.9590496427898039</v>
      </c>
      <c r="AM673">
        <v>16</v>
      </c>
      <c r="AN673">
        <v>0</v>
      </c>
      <c r="AO673">
        <v>1.5333333333333334</v>
      </c>
      <c r="AP673">
        <v>3.2857142857142856</v>
      </c>
      <c r="AQ673">
        <v>0</v>
      </c>
      <c r="AR673">
        <v>0.2857142857142857</v>
      </c>
      <c r="AS673">
        <v>0.7142857142857143</v>
      </c>
      <c r="AT673">
        <v>0</v>
      </c>
      <c r="AU673">
        <v>122921.36927744999</v>
      </c>
      <c r="AV673">
        <v>5</v>
      </c>
      <c r="AW673">
        <f t="shared" si="64"/>
        <v>0</v>
      </c>
      <c r="AX673">
        <v>240</v>
      </c>
      <c r="AY673">
        <f t="shared" si="65"/>
        <v>1</v>
      </c>
      <c r="AZ673" t="e">
        <v>#N/A</v>
      </c>
      <c r="BA673">
        <v>3</v>
      </c>
      <c r="BB673">
        <v>2019</v>
      </c>
      <c r="BC673">
        <v>3</v>
      </c>
      <c r="BD673">
        <v>2019</v>
      </c>
      <c r="BE673">
        <v>1</v>
      </c>
      <c r="BF673">
        <v>2020</v>
      </c>
    </row>
    <row r="674" spans="1:58" x14ac:dyDescent="0.2">
      <c r="A674" s="7">
        <v>20</v>
      </c>
      <c r="B674" s="7">
        <v>40</v>
      </c>
      <c r="C674" s="7">
        <v>8</v>
      </c>
      <c r="D674" s="7">
        <v>7</v>
      </c>
      <c r="E674" s="7">
        <f t="shared" si="60"/>
        <v>75</v>
      </c>
      <c r="F674" s="11" t="s">
        <v>36</v>
      </c>
      <c r="G674">
        <v>20</v>
      </c>
      <c r="H674">
        <v>40</v>
      </c>
      <c r="I674">
        <v>8</v>
      </c>
      <c r="J674">
        <v>7</v>
      </c>
      <c r="K674">
        <f t="shared" si="61"/>
        <v>75</v>
      </c>
      <c r="L674" t="s">
        <v>36</v>
      </c>
      <c r="M674">
        <v>7523.4741765600011</v>
      </c>
      <c r="N674" s="7">
        <v>20</v>
      </c>
      <c r="O674" s="7">
        <v>40</v>
      </c>
      <c r="P674" s="7">
        <v>9</v>
      </c>
      <c r="Q674" s="7">
        <v>8</v>
      </c>
      <c r="R674" s="7">
        <f t="shared" si="62"/>
        <v>77</v>
      </c>
      <c r="S674" t="s">
        <v>36</v>
      </c>
      <c r="T674" s="7">
        <v>20</v>
      </c>
      <c r="U674" s="7">
        <v>40</v>
      </c>
      <c r="V674" s="7">
        <v>9</v>
      </c>
      <c r="W674" s="7">
        <v>10</v>
      </c>
      <c r="X674" s="7">
        <f t="shared" si="63"/>
        <v>79</v>
      </c>
      <c r="Y674" t="s">
        <v>36</v>
      </c>
      <c r="Z674">
        <v>16656.919579019999</v>
      </c>
      <c r="AA674" t="s">
        <v>311</v>
      </c>
      <c r="AB674">
        <v>52</v>
      </c>
      <c r="AC674">
        <v>0</v>
      </c>
      <c r="AD674" t="s">
        <v>131</v>
      </c>
      <c r="AE674" t="s">
        <v>75</v>
      </c>
      <c r="AF674" t="e">
        <v>#N/A</v>
      </c>
      <c r="AG674" s="8">
        <v>1</v>
      </c>
      <c r="AH674">
        <v>2</v>
      </c>
      <c r="AI674">
        <v>4</v>
      </c>
      <c r="AJ674">
        <v>0</v>
      </c>
      <c r="AK674">
        <v>2</v>
      </c>
      <c r="AL674">
        <v>2</v>
      </c>
      <c r="AM674">
        <v>2</v>
      </c>
      <c r="AN674">
        <v>0</v>
      </c>
      <c r="AO674">
        <v>2.5974025974025976E-2</v>
      </c>
      <c r="AP674">
        <v>2.6666666666666668E-2</v>
      </c>
      <c r="AQ674">
        <v>9.3333333333333338E-2</v>
      </c>
      <c r="AR674">
        <v>0.26666666666666666</v>
      </c>
      <c r="AS674">
        <v>0.53333333333333333</v>
      </c>
      <c r="AT674">
        <v>0.10666666666666667</v>
      </c>
      <c r="AU674">
        <v>24180.39375558</v>
      </c>
      <c r="AV674">
        <v>4</v>
      </c>
      <c r="AW674">
        <f t="shared" si="64"/>
        <v>0</v>
      </c>
      <c r="AX674">
        <v>0</v>
      </c>
      <c r="AY674">
        <f t="shared" si="65"/>
        <v>0</v>
      </c>
      <c r="AZ674" t="e">
        <v>#N/A</v>
      </c>
      <c r="BA674">
        <v>7</v>
      </c>
      <c r="BB674">
        <v>2020</v>
      </c>
      <c r="BC674">
        <v>7</v>
      </c>
      <c r="BD674">
        <v>2020</v>
      </c>
      <c r="BE674">
        <v>1</v>
      </c>
      <c r="BF674">
        <v>2020</v>
      </c>
    </row>
    <row r="675" spans="1:58" x14ac:dyDescent="0.2">
      <c r="A675" s="7">
        <v>1</v>
      </c>
      <c r="B675" s="7">
        <v>13</v>
      </c>
      <c r="C675" s="7">
        <v>0</v>
      </c>
      <c r="D675" s="7">
        <v>0</v>
      </c>
      <c r="E675" s="7">
        <f t="shared" si="60"/>
        <v>14</v>
      </c>
      <c r="F675" s="11" t="s">
        <v>102</v>
      </c>
      <c r="G675">
        <v>7</v>
      </c>
      <c r="H675">
        <v>11</v>
      </c>
      <c r="I675">
        <v>2</v>
      </c>
      <c r="J675">
        <v>0</v>
      </c>
      <c r="K675">
        <f t="shared" si="61"/>
        <v>20</v>
      </c>
      <c r="L675" t="s">
        <v>80</v>
      </c>
      <c r="M675">
        <v>31863.147225879999</v>
      </c>
      <c r="N675" s="7">
        <v>8</v>
      </c>
      <c r="O675" s="7">
        <v>28</v>
      </c>
      <c r="P675" s="7">
        <v>4</v>
      </c>
      <c r="Q675" s="7">
        <v>1</v>
      </c>
      <c r="R675" s="7">
        <f t="shared" si="62"/>
        <v>41</v>
      </c>
      <c r="S675" t="s">
        <v>80</v>
      </c>
      <c r="T675" s="7">
        <v>19</v>
      </c>
      <c r="U675" s="7">
        <v>38</v>
      </c>
      <c r="V675" s="7">
        <v>8</v>
      </c>
      <c r="W675" s="7">
        <v>1</v>
      </c>
      <c r="X675" s="7">
        <f t="shared" si="63"/>
        <v>66</v>
      </c>
      <c r="Y675" t="e">
        <v>#N/A</v>
      </c>
      <c r="Z675">
        <v>119899.44399637</v>
      </c>
      <c r="AA675" t="s">
        <v>312</v>
      </c>
      <c r="AB675">
        <v>72</v>
      </c>
      <c r="AC675">
        <v>21</v>
      </c>
      <c r="AD675" t="s">
        <v>265</v>
      </c>
      <c r="AE675" t="s">
        <v>41</v>
      </c>
      <c r="AF675">
        <v>16</v>
      </c>
      <c r="AG675" s="8">
        <v>165</v>
      </c>
      <c r="AH675">
        <v>25</v>
      </c>
      <c r="AI675">
        <v>52</v>
      </c>
      <c r="AJ675">
        <v>6</v>
      </c>
      <c r="AK675">
        <v>0.15151515151515152</v>
      </c>
      <c r="AL675">
        <v>1.9462473604038073</v>
      </c>
      <c r="AM675">
        <v>21</v>
      </c>
      <c r="AN675">
        <v>0</v>
      </c>
      <c r="AO675">
        <v>0.6097560975609756</v>
      </c>
      <c r="AP675">
        <v>1.7857142857142858</v>
      </c>
      <c r="AQ675">
        <v>0</v>
      </c>
      <c r="AR675">
        <v>7.1428571428571425E-2</v>
      </c>
      <c r="AS675">
        <v>0.9285714285714286</v>
      </c>
      <c r="AT675">
        <v>0</v>
      </c>
      <c r="AU675">
        <v>151762.59122224999</v>
      </c>
      <c r="AV675">
        <v>14</v>
      </c>
      <c r="AW675">
        <f t="shared" si="64"/>
        <v>1</v>
      </c>
      <c r="AX675">
        <v>21</v>
      </c>
      <c r="AY675">
        <f t="shared" si="65"/>
        <v>1</v>
      </c>
      <c r="AZ675">
        <v>1.3125</v>
      </c>
      <c r="BA675">
        <v>12</v>
      </c>
      <c r="BB675">
        <v>2019</v>
      </c>
      <c r="BC675">
        <v>1</v>
      </c>
      <c r="BD675">
        <v>2020</v>
      </c>
      <c r="BE675">
        <v>1</v>
      </c>
      <c r="BF675">
        <v>2020</v>
      </c>
    </row>
    <row r="676" spans="1:58" x14ac:dyDescent="0.2">
      <c r="A676" s="7">
        <v>13</v>
      </c>
      <c r="B676" s="7">
        <v>10</v>
      </c>
      <c r="C676" s="7">
        <v>2</v>
      </c>
      <c r="D676" s="7">
        <v>5</v>
      </c>
      <c r="E676" s="7">
        <f t="shared" si="60"/>
        <v>30</v>
      </c>
      <c r="F676" s="11" t="s">
        <v>36</v>
      </c>
      <c r="G676">
        <v>12</v>
      </c>
      <c r="H676">
        <v>25</v>
      </c>
      <c r="I676">
        <v>6</v>
      </c>
      <c r="J676">
        <v>5</v>
      </c>
      <c r="K676">
        <f t="shared" si="61"/>
        <v>48</v>
      </c>
      <c r="L676" t="s">
        <v>36</v>
      </c>
      <c r="M676">
        <v>11521.03319679</v>
      </c>
      <c r="N676" s="7">
        <v>10</v>
      </c>
      <c r="O676" s="7">
        <v>31</v>
      </c>
      <c r="P676" s="7">
        <v>4</v>
      </c>
      <c r="Q676" s="7">
        <v>6</v>
      </c>
      <c r="R676" s="7">
        <f t="shared" si="62"/>
        <v>51</v>
      </c>
      <c r="S676" t="e">
        <v>#N/A</v>
      </c>
      <c r="T676" s="7">
        <v>10</v>
      </c>
      <c r="U676" s="7">
        <v>31</v>
      </c>
      <c r="V676" s="7">
        <v>4</v>
      </c>
      <c r="W676" s="7">
        <v>6</v>
      </c>
      <c r="X676" s="7">
        <f t="shared" si="63"/>
        <v>51</v>
      </c>
      <c r="Y676" t="e">
        <v>#N/A</v>
      </c>
      <c r="Z676">
        <v>17385.563830020001</v>
      </c>
      <c r="AA676" t="s">
        <v>313</v>
      </c>
      <c r="AB676">
        <v>45</v>
      </c>
      <c r="AC676">
        <v>0</v>
      </c>
      <c r="AD676" t="s">
        <v>314</v>
      </c>
      <c r="AE676" t="s">
        <v>75</v>
      </c>
      <c r="AF676">
        <v>20</v>
      </c>
      <c r="AG676" s="8">
        <v>0</v>
      </c>
      <c r="AH676">
        <v>0</v>
      </c>
      <c r="AI676">
        <v>21</v>
      </c>
      <c r="AJ676">
        <v>18</v>
      </c>
      <c r="AK676" t="e">
        <v>#N/A</v>
      </c>
      <c r="AL676" t="e">
        <v>#N/A</v>
      </c>
      <c r="AM676">
        <v>3</v>
      </c>
      <c r="AN676">
        <v>0</v>
      </c>
      <c r="AO676">
        <v>0</v>
      </c>
      <c r="AP676">
        <v>0</v>
      </c>
      <c r="AQ676">
        <v>0.16666666666666666</v>
      </c>
      <c r="AR676">
        <v>0.43333333333333335</v>
      </c>
      <c r="AS676">
        <v>0.33333333333333331</v>
      </c>
      <c r="AT676">
        <v>6.6666666666666666E-2</v>
      </c>
      <c r="AU676">
        <v>28906.597026809999</v>
      </c>
      <c r="AV676">
        <v>10</v>
      </c>
      <c r="AW676">
        <f t="shared" si="64"/>
        <v>1</v>
      </c>
      <c r="AX676">
        <v>0</v>
      </c>
      <c r="AY676">
        <f t="shared" si="65"/>
        <v>0</v>
      </c>
      <c r="AZ676">
        <v>0</v>
      </c>
      <c r="BA676">
        <v>12</v>
      </c>
      <c r="BB676">
        <v>2019</v>
      </c>
      <c r="BC676">
        <v>1</v>
      </c>
      <c r="BD676">
        <v>2020</v>
      </c>
      <c r="BE676">
        <v>1</v>
      </c>
      <c r="BF676">
        <v>2020</v>
      </c>
    </row>
    <row r="677" spans="1:58" x14ac:dyDescent="0.2">
      <c r="A677" s="7">
        <v>8</v>
      </c>
      <c r="B677" s="7">
        <v>10</v>
      </c>
      <c r="C677" s="7">
        <v>0</v>
      </c>
      <c r="D677" s="7">
        <v>0</v>
      </c>
      <c r="E677" s="7">
        <f t="shared" si="60"/>
        <v>18</v>
      </c>
      <c r="F677" s="11" t="s">
        <v>36</v>
      </c>
      <c r="G677">
        <v>7</v>
      </c>
      <c r="H677">
        <v>10</v>
      </c>
      <c r="I677">
        <v>0</v>
      </c>
      <c r="J677">
        <v>0</v>
      </c>
      <c r="K677">
        <f t="shared" si="61"/>
        <v>17</v>
      </c>
      <c r="L677" t="s">
        <v>36</v>
      </c>
      <c r="M677">
        <v>18007.052377190001</v>
      </c>
      <c r="N677" s="7">
        <v>7</v>
      </c>
      <c r="O677" s="7">
        <v>10</v>
      </c>
      <c r="P677" s="7">
        <v>0</v>
      </c>
      <c r="Q677" s="7">
        <v>4</v>
      </c>
      <c r="R677" s="7">
        <f t="shared" si="62"/>
        <v>21</v>
      </c>
      <c r="S677" t="s">
        <v>36</v>
      </c>
      <c r="T677" s="7">
        <v>11</v>
      </c>
      <c r="U677" s="7">
        <v>15</v>
      </c>
      <c r="V677" s="7">
        <v>3</v>
      </c>
      <c r="W677" s="7">
        <v>3</v>
      </c>
      <c r="X677" s="7">
        <f t="shared" si="63"/>
        <v>32</v>
      </c>
      <c r="Y677" t="s">
        <v>36</v>
      </c>
      <c r="Z677">
        <v>84196.52539914001</v>
      </c>
      <c r="AA677" t="s">
        <v>315</v>
      </c>
      <c r="AB677">
        <v>76</v>
      </c>
      <c r="AC677">
        <v>0</v>
      </c>
      <c r="AD677" t="s">
        <v>260</v>
      </c>
      <c r="AE677" t="s">
        <v>41</v>
      </c>
      <c r="AF677">
        <v>12</v>
      </c>
      <c r="AG677" s="8">
        <v>102</v>
      </c>
      <c r="AH677">
        <v>11</v>
      </c>
      <c r="AI677">
        <v>14</v>
      </c>
      <c r="AJ677">
        <v>-1</v>
      </c>
      <c r="AK677">
        <v>0.10784313725490197</v>
      </c>
      <c r="AL677">
        <v>1.0891622972743418</v>
      </c>
      <c r="AM677">
        <v>4</v>
      </c>
      <c r="AN677">
        <v>0</v>
      </c>
      <c r="AO677">
        <v>0.52380952380952384</v>
      </c>
      <c r="AP677">
        <v>0.61111111111111116</v>
      </c>
      <c r="AQ677">
        <v>0</v>
      </c>
      <c r="AR677">
        <v>0.44444444444444442</v>
      </c>
      <c r="AS677">
        <v>0.55555555555555558</v>
      </c>
      <c r="AT677">
        <v>0</v>
      </c>
      <c r="AU677">
        <v>102203.57777633001</v>
      </c>
      <c r="AV677">
        <v>9</v>
      </c>
      <c r="AW677">
        <f t="shared" si="64"/>
        <v>0</v>
      </c>
      <c r="AX677">
        <v>0</v>
      </c>
      <c r="AY677">
        <f t="shared" si="65"/>
        <v>0</v>
      </c>
      <c r="AZ677">
        <v>0</v>
      </c>
      <c r="BA677">
        <v>12</v>
      </c>
      <c r="BB677">
        <v>2019</v>
      </c>
      <c r="BC677">
        <v>1</v>
      </c>
      <c r="BD677">
        <v>2020</v>
      </c>
      <c r="BE677">
        <v>1</v>
      </c>
      <c r="BF677">
        <v>2020</v>
      </c>
    </row>
    <row r="678" spans="1:58" x14ac:dyDescent="0.2">
      <c r="A678" s="7">
        <v>3</v>
      </c>
      <c r="B678" s="7">
        <v>4</v>
      </c>
      <c r="C678" s="7">
        <v>0</v>
      </c>
      <c r="D678" s="7">
        <v>0</v>
      </c>
      <c r="E678" s="7">
        <f t="shared" si="60"/>
        <v>7</v>
      </c>
      <c r="F678" s="11" t="s">
        <v>42</v>
      </c>
      <c r="G678">
        <v>8</v>
      </c>
      <c r="H678">
        <v>10</v>
      </c>
      <c r="I678">
        <v>0</v>
      </c>
      <c r="J678">
        <v>0</v>
      </c>
      <c r="K678">
        <f t="shared" si="61"/>
        <v>18</v>
      </c>
      <c r="L678" t="e">
        <v>#N/A</v>
      </c>
      <c r="M678">
        <v>116260.43841418999</v>
      </c>
      <c r="N678" s="7">
        <v>8</v>
      </c>
      <c r="O678" s="7">
        <v>16</v>
      </c>
      <c r="P678" s="7">
        <v>0</v>
      </c>
      <c r="Q678" s="7">
        <v>2</v>
      </c>
      <c r="R678" s="7">
        <f t="shared" si="62"/>
        <v>26</v>
      </c>
      <c r="S678" t="e">
        <v>#N/A</v>
      </c>
      <c r="T678" s="7">
        <v>11</v>
      </c>
      <c r="U678" s="7">
        <v>26</v>
      </c>
      <c r="V678" s="7">
        <v>2</v>
      </c>
      <c r="W678" s="7">
        <v>5</v>
      </c>
      <c r="X678" s="7">
        <f t="shared" si="63"/>
        <v>44</v>
      </c>
      <c r="Y678" t="e">
        <v>#N/A</v>
      </c>
      <c r="Z678">
        <v>65770.201638050523</v>
      </c>
      <c r="AA678" t="s">
        <v>316</v>
      </c>
      <c r="AB678">
        <v>32</v>
      </c>
      <c r="AC678">
        <v>1569</v>
      </c>
      <c r="AD678" t="s">
        <v>317</v>
      </c>
      <c r="AE678" t="s">
        <v>41</v>
      </c>
      <c r="AF678">
        <v>14</v>
      </c>
      <c r="AG678" s="8">
        <v>336</v>
      </c>
      <c r="AH678">
        <v>18</v>
      </c>
      <c r="AI678">
        <v>37</v>
      </c>
      <c r="AJ678">
        <v>11</v>
      </c>
      <c r="AK678">
        <v>5.3571428571428568E-2</v>
      </c>
      <c r="AL678">
        <v>0.98198050606196574</v>
      </c>
      <c r="AM678">
        <v>8</v>
      </c>
      <c r="AN678">
        <v>0</v>
      </c>
      <c r="AO678">
        <v>0.69230769230769229</v>
      </c>
      <c r="AP678">
        <v>2.5714285714285716</v>
      </c>
      <c r="AQ678">
        <v>0</v>
      </c>
      <c r="AR678">
        <v>0.42857142857142855</v>
      </c>
      <c r="AS678">
        <v>0.5714285714285714</v>
      </c>
      <c r="AT678">
        <v>0</v>
      </c>
      <c r="AU678">
        <v>182030.64005224052</v>
      </c>
      <c r="AV678">
        <v>40</v>
      </c>
      <c r="AW678">
        <f t="shared" si="64"/>
        <v>1</v>
      </c>
      <c r="AX678">
        <v>1569</v>
      </c>
      <c r="AY678">
        <f t="shared" si="65"/>
        <v>1</v>
      </c>
      <c r="AZ678">
        <v>112.07142857142857</v>
      </c>
      <c r="BA678">
        <v>12</v>
      </c>
      <c r="BB678">
        <v>2019</v>
      </c>
      <c r="BC678">
        <v>1</v>
      </c>
      <c r="BD678">
        <v>2020</v>
      </c>
      <c r="BE678">
        <v>1</v>
      </c>
      <c r="BF678">
        <v>2020</v>
      </c>
    </row>
    <row r="679" spans="1:58" x14ac:dyDescent="0.2">
      <c r="A679" s="7">
        <v>0</v>
      </c>
      <c r="B679" s="7">
        <v>11</v>
      </c>
      <c r="C679" s="7">
        <v>0</v>
      </c>
      <c r="D679" s="7">
        <v>0</v>
      </c>
      <c r="E679" s="7">
        <f t="shared" si="60"/>
        <v>11</v>
      </c>
      <c r="F679" s="11" t="s">
        <v>36</v>
      </c>
      <c r="G679">
        <v>0</v>
      </c>
      <c r="H679">
        <v>11</v>
      </c>
      <c r="I679">
        <v>0</v>
      </c>
      <c r="J679">
        <v>0</v>
      </c>
      <c r="K679">
        <f t="shared" si="61"/>
        <v>11</v>
      </c>
      <c r="L679" t="s">
        <v>36</v>
      </c>
      <c r="M679">
        <v>18510.734303599998</v>
      </c>
      <c r="N679" s="7">
        <v>4</v>
      </c>
      <c r="O679" s="7">
        <v>16</v>
      </c>
      <c r="P679" s="7">
        <v>1</v>
      </c>
      <c r="Q679" s="7">
        <v>4</v>
      </c>
      <c r="R679" s="7">
        <f t="shared" si="62"/>
        <v>25</v>
      </c>
      <c r="S679" t="s">
        <v>53</v>
      </c>
      <c r="T679" s="7">
        <v>8</v>
      </c>
      <c r="U679" s="7">
        <v>16</v>
      </c>
      <c r="V679" s="7">
        <v>1</v>
      </c>
      <c r="W679" s="7">
        <v>6</v>
      </c>
      <c r="X679" s="7">
        <f t="shared" si="63"/>
        <v>31</v>
      </c>
      <c r="Y679" t="e">
        <v>#N/A</v>
      </c>
      <c r="Z679">
        <v>75194.998224419993</v>
      </c>
      <c r="AA679" t="s">
        <v>318</v>
      </c>
      <c r="AB679">
        <v>27</v>
      </c>
      <c r="AC679">
        <v>0</v>
      </c>
      <c r="AD679" t="s">
        <v>248</v>
      </c>
      <c r="AE679" t="s">
        <v>41</v>
      </c>
      <c r="AF679" t="e">
        <v>#N/A</v>
      </c>
      <c r="AG679" s="8">
        <v>2</v>
      </c>
      <c r="AH679">
        <v>6</v>
      </c>
      <c r="AI679">
        <v>20</v>
      </c>
      <c r="AJ679">
        <v>0</v>
      </c>
      <c r="AK679">
        <v>3</v>
      </c>
      <c r="AL679">
        <v>4.2426406871192848</v>
      </c>
      <c r="AM679">
        <v>14</v>
      </c>
      <c r="AN679">
        <v>0</v>
      </c>
      <c r="AO679">
        <v>0.24</v>
      </c>
      <c r="AP679">
        <v>0.54545454545454541</v>
      </c>
      <c r="AQ679">
        <v>0</v>
      </c>
      <c r="AR679">
        <v>0</v>
      </c>
      <c r="AS679">
        <v>1</v>
      </c>
      <c r="AT679">
        <v>0</v>
      </c>
      <c r="AU679">
        <v>93705.732528019988</v>
      </c>
      <c r="AV679">
        <v>6</v>
      </c>
      <c r="AW679">
        <f t="shared" si="64"/>
        <v>0</v>
      </c>
      <c r="AX679">
        <v>0</v>
      </c>
      <c r="AY679">
        <f t="shared" si="65"/>
        <v>0</v>
      </c>
      <c r="AZ679" t="e">
        <v>#N/A</v>
      </c>
      <c r="BA679">
        <v>8</v>
      </c>
      <c r="BB679">
        <v>2020</v>
      </c>
      <c r="BC679">
        <v>8</v>
      </c>
      <c r="BD679">
        <v>2020</v>
      </c>
      <c r="BE679">
        <v>1</v>
      </c>
      <c r="BF679">
        <v>2020</v>
      </c>
    </row>
    <row r="680" spans="1:58" x14ac:dyDescent="0.2">
      <c r="A680" s="7">
        <v>0</v>
      </c>
      <c r="B680" s="7">
        <v>0</v>
      </c>
      <c r="C680" s="7">
        <v>0</v>
      </c>
      <c r="D680" s="7">
        <v>0</v>
      </c>
      <c r="E680" s="7">
        <f t="shared" si="60"/>
        <v>0</v>
      </c>
      <c r="F680" s="11" t="e">
        <v>#N/A</v>
      </c>
      <c r="G680">
        <v>0</v>
      </c>
      <c r="H680">
        <v>0</v>
      </c>
      <c r="I680">
        <v>0</v>
      </c>
      <c r="J680">
        <v>0</v>
      </c>
      <c r="K680">
        <f t="shared" si="61"/>
        <v>0</v>
      </c>
      <c r="L680" t="e">
        <v>#N/A</v>
      </c>
      <c r="N680" s="7">
        <v>20</v>
      </c>
      <c r="O680" s="7">
        <v>40</v>
      </c>
      <c r="P680" s="7">
        <v>8</v>
      </c>
      <c r="Q680" s="7">
        <v>8</v>
      </c>
      <c r="R680" s="7">
        <f t="shared" si="62"/>
        <v>76</v>
      </c>
      <c r="S680" t="e">
        <v>#N/A</v>
      </c>
      <c r="T680" s="7">
        <v>20</v>
      </c>
      <c r="U680" s="7">
        <v>40</v>
      </c>
      <c r="V680" s="7">
        <v>8</v>
      </c>
      <c r="W680" s="7">
        <v>8</v>
      </c>
      <c r="X680" s="7">
        <f t="shared" si="63"/>
        <v>76</v>
      </c>
      <c r="Y680" t="e">
        <v>#N/A</v>
      </c>
      <c r="Z680">
        <v>4774.9248600000001</v>
      </c>
      <c r="AA680" t="s">
        <v>319</v>
      </c>
      <c r="AB680">
        <v>35</v>
      </c>
      <c r="AC680">
        <v>0</v>
      </c>
      <c r="AD680" t="s">
        <v>244</v>
      </c>
      <c r="AE680" t="s">
        <v>41</v>
      </c>
      <c r="AF680" t="e">
        <v>#N/A</v>
      </c>
      <c r="AG680" s="8">
        <v>0</v>
      </c>
      <c r="AH680">
        <v>0</v>
      </c>
      <c r="AI680">
        <v>76</v>
      </c>
      <c r="AJ680">
        <v>0</v>
      </c>
      <c r="AK680" t="e">
        <v>#N/A</v>
      </c>
      <c r="AL680" t="e">
        <v>#N/A</v>
      </c>
      <c r="AM680">
        <v>76</v>
      </c>
      <c r="AN680">
        <v>0</v>
      </c>
      <c r="AO680">
        <v>0</v>
      </c>
      <c r="AP680" t="e">
        <v>#N/A</v>
      </c>
      <c r="AQ680" t="e">
        <v>#N/A</v>
      </c>
      <c r="AR680" t="e">
        <v>#N/A</v>
      </c>
      <c r="AS680" t="e">
        <v>#N/A</v>
      </c>
      <c r="AT680" t="e">
        <v>#N/A</v>
      </c>
      <c r="AU680">
        <v>4774.9248600000001</v>
      </c>
      <c r="AV680">
        <v>3</v>
      </c>
      <c r="AW680">
        <f t="shared" si="64"/>
        <v>0</v>
      </c>
      <c r="AX680">
        <v>0</v>
      </c>
      <c r="AY680">
        <f t="shared" si="65"/>
        <v>0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>
        <v>1</v>
      </c>
      <c r="BF680">
        <v>2020</v>
      </c>
    </row>
    <row r="681" spans="1:58" x14ac:dyDescent="0.2">
      <c r="A681" s="7">
        <v>0</v>
      </c>
      <c r="B681" s="7">
        <v>6</v>
      </c>
      <c r="C681" s="7">
        <v>0</v>
      </c>
      <c r="D681" s="7">
        <v>0</v>
      </c>
      <c r="E681" s="7">
        <f t="shared" si="60"/>
        <v>6</v>
      </c>
      <c r="F681" s="11" t="s">
        <v>36</v>
      </c>
      <c r="G681">
        <v>0</v>
      </c>
      <c r="H681">
        <v>15</v>
      </c>
      <c r="I681">
        <v>0</v>
      </c>
      <c r="J681">
        <v>0</v>
      </c>
      <c r="K681">
        <f t="shared" si="61"/>
        <v>15</v>
      </c>
      <c r="L681" t="s">
        <v>83</v>
      </c>
      <c r="M681">
        <v>29180.628069229999</v>
      </c>
      <c r="N681" s="7">
        <v>3</v>
      </c>
      <c r="O681" s="7">
        <v>15</v>
      </c>
      <c r="P681" s="7">
        <v>0</v>
      </c>
      <c r="Q681" s="7">
        <v>3</v>
      </c>
      <c r="R681" s="7">
        <f t="shared" si="62"/>
        <v>21</v>
      </c>
      <c r="S681" t="e">
        <v>#N/A</v>
      </c>
      <c r="T681" s="7">
        <v>7</v>
      </c>
      <c r="U681" s="7">
        <v>22</v>
      </c>
      <c r="V681" s="7">
        <v>3</v>
      </c>
      <c r="W681" s="7">
        <v>5</v>
      </c>
      <c r="X681" s="7">
        <f t="shared" si="63"/>
        <v>37</v>
      </c>
      <c r="Y681" t="e">
        <v>#N/A</v>
      </c>
      <c r="Z681">
        <v>231617.55104244</v>
      </c>
      <c r="AA681" t="s">
        <v>320</v>
      </c>
      <c r="AB681">
        <v>28</v>
      </c>
      <c r="AC681">
        <v>139</v>
      </c>
      <c r="AD681" t="s">
        <v>254</v>
      </c>
      <c r="AE681" t="s">
        <v>41</v>
      </c>
      <c r="AF681">
        <v>12</v>
      </c>
      <c r="AG681" s="8">
        <v>227</v>
      </c>
      <c r="AH681">
        <v>16</v>
      </c>
      <c r="AI681">
        <v>31</v>
      </c>
      <c r="AJ681">
        <v>9</v>
      </c>
      <c r="AK681">
        <v>7.0484581497797363E-2</v>
      </c>
      <c r="AL681">
        <v>1.0619572985599552</v>
      </c>
      <c r="AM681">
        <v>6</v>
      </c>
      <c r="AN681">
        <v>0</v>
      </c>
      <c r="AO681">
        <v>0.76190476190476186</v>
      </c>
      <c r="AP681">
        <v>2.6666666666666665</v>
      </c>
      <c r="AQ681">
        <v>0</v>
      </c>
      <c r="AR681">
        <v>0</v>
      </c>
      <c r="AS681">
        <v>1</v>
      </c>
      <c r="AT681">
        <v>0</v>
      </c>
      <c r="AU681">
        <v>260798.17911167</v>
      </c>
      <c r="AV681">
        <v>6</v>
      </c>
      <c r="AW681">
        <f t="shared" si="64"/>
        <v>0</v>
      </c>
      <c r="AX681">
        <v>139</v>
      </c>
      <c r="AY681">
        <f t="shared" si="65"/>
        <v>1</v>
      </c>
      <c r="AZ681">
        <v>11.583333333333334</v>
      </c>
      <c r="BA681">
        <v>12</v>
      </c>
      <c r="BB681">
        <v>2019</v>
      </c>
      <c r="BC681">
        <v>1</v>
      </c>
      <c r="BD681">
        <v>2020</v>
      </c>
      <c r="BE681">
        <v>1</v>
      </c>
      <c r="BF681">
        <v>2020</v>
      </c>
    </row>
    <row r="682" spans="1:58" x14ac:dyDescent="0.2">
      <c r="A682" s="7">
        <v>0</v>
      </c>
      <c r="B682" s="7">
        <v>0</v>
      </c>
      <c r="C682" s="7">
        <v>0</v>
      </c>
      <c r="D682" s="7">
        <v>0</v>
      </c>
      <c r="E682" s="7">
        <f t="shared" si="60"/>
        <v>0</v>
      </c>
      <c r="F682" s="11" t="s">
        <v>66</v>
      </c>
      <c r="G682">
        <v>0</v>
      </c>
      <c r="H682">
        <v>0</v>
      </c>
      <c r="I682">
        <v>0</v>
      </c>
      <c r="J682">
        <v>0</v>
      </c>
      <c r="K682">
        <f t="shared" si="61"/>
        <v>0</v>
      </c>
      <c r="L682" t="s">
        <v>42</v>
      </c>
      <c r="M682">
        <v>34628.833821290013</v>
      </c>
      <c r="N682" s="7">
        <v>0</v>
      </c>
      <c r="O682" s="7">
        <v>8</v>
      </c>
      <c r="P682" s="7">
        <v>0</v>
      </c>
      <c r="Q682" s="7">
        <v>0</v>
      </c>
      <c r="R682" s="7">
        <f t="shared" si="62"/>
        <v>8</v>
      </c>
      <c r="S682" t="s">
        <v>42</v>
      </c>
      <c r="T682" s="7">
        <v>0</v>
      </c>
      <c r="U682" s="7">
        <v>12</v>
      </c>
      <c r="V682" s="7">
        <v>0</v>
      </c>
      <c r="W682" s="7">
        <v>3</v>
      </c>
      <c r="X682" s="7">
        <f t="shared" si="63"/>
        <v>15</v>
      </c>
      <c r="Y682" t="e">
        <v>#N/A</v>
      </c>
      <c r="Z682">
        <v>355129.23844807001</v>
      </c>
      <c r="AA682" t="s">
        <v>321</v>
      </c>
      <c r="AB682">
        <v>50</v>
      </c>
      <c r="AC682">
        <v>435</v>
      </c>
      <c r="AD682" t="s">
        <v>252</v>
      </c>
      <c r="AE682" t="s">
        <v>41</v>
      </c>
      <c r="AF682">
        <v>8</v>
      </c>
      <c r="AG682" s="8">
        <v>292</v>
      </c>
      <c r="AH682">
        <v>7</v>
      </c>
      <c r="AI682">
        <v>15</v>
      </c>
      <c r="AJ682">
        <v>0</v>
      </c>
      <c r="AK682">
        <v>2.3972602739726026E-2</v>
      </c>
      <c r="AL682">
        <v>0.40964401518645699</v>
      </c>
      <c r="AM682">
        <v>8</v>
      </c>
      <c r="AN682">
        <v>0</v>
      </c>
      <c r="AO682">
        <v>0.875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>
        <v>389758.07226936001</v>
      </c>
      <c r="AV682">
        <v>18</v>
      </c>
      <c r="AW682">
        <f t="shared" si="64"/>
        <v>1</v>
      </c>
      <c r="AX682">
        <v>435</v>
      </c>
      <c r="AY682">
        <f t="shared" si="65"/>
        <v>1</v>
      </c>
      <c r="AZ682">
        <v>54.375</v>
      </c>
      <c r="BA682">
        <v>12</v>
      </c>
      <c r="BB682">
        <v>2019</v>
      </c>
      <c r="BC682">
        <v>1</v>
      </c>
      <c r="BD682">
        <v>2020</v>
      </c>
      <c r="BE682">
        <v>1</v>
      </c>
      <c r="BF682">
        <v>2020</v>
      </c>
    </row>
    <row r="683" spans="1:58" x14ac:dyDescent="0.2">
      <c r="A683" s="7">
        <v>0</v>
      </c>
      <c r="B683" s="7">
        <v>0</v>
      </c>
      <c r="C683" s="7">
        <v>0</v>
      </c>
      <c r="D683" s="7">
        <v>0</v>
      </c>
      <c r="E683" s="7">
        <f t="shared" si="60"/>
        <v>0</v>
      </c>
      <c r="F683" s="11" t="s">
        <v>45</v>
      </c>
      <c r="G683">
        <v>0</v>
      </c>
      <c r="H683">
        <v>6</v>
      </c>
      <c r="I683">
        <v>0</v>
      </c>
      <c r="J683">
        <v>0</v>
      </c>
      <c r="K683">
        <f t="shared" si="61"/>
        <v>6</v>
      </c>
      <c r="L683" t="s">
        <v>62</v>
      </c>
      <c r="M683">
        <v>53352.322388880013</v>
      </c>
      <c r="N683" s="7">
        <v>0</v>
      </c>
      <c r="O683" s="7">
        <v>6</v>
      </c>
      <c r="P683" s="7">
        <v>0</v>
      </c>
      <c r="Q683" s="7">
        <v>0</v>
      </c>
      <c r="R683" s="7">
        <f t="shared" si="62"/>
        <v>6</v>
      </c>
      <c r="S683" t="e">
        <v>#N/A</v>
      </c>
      <c r="T683" s="7">
        <v>4</v>
      </c>
      <c r="U683" s="7">
        <v>26</v>
      </c>
      <c r="V683" s="7">
        <v>3</v>
      </c>
      <c r="W683" s="7">
        <v>4</v>
      </c>
      <c r="X683" s="7">
        <f t="shared" si="63"/>
        <v>37</v>
      </c>
      <c r="Y683" t="e">
        <v>#N/A</v>
      </c>
      <c r="Z683">
        <v>117133.54556365</v>
      </c>
      <c r="AA683" t="s">
        <v>322</v>
      </c>
      <c r="AB683">
        <v>81</v>
      </c>
      <c r="AC683">
        <v>579</v>
      </c>
      <c r="AD683" t="s">
        <v>244</v>
      </c>
      <c r="AE683" t="s">
        <v>41</v>
      </c>
      <c r="AF683">
        <v>13</v>
      </c>
      <c r="AG683" s="8">
        <v>3</v>
      </c>
      <c r="AH683">
        <v>31</v>
      </c>
      <c r="AI683">
        <v>37</v>
      </c>
      <c r="AJ683">
        <v>6</v>
      </c>
      <c r="AK683">
        <v>10.333333333333334</v>
      </c>
      <c r="AL683">
        <v>17.897858344878401</v>
      </c>
      <c r="AM683">
        <v>0</v>
      </c>
      <c r="AN683">
        <v>0</v>
      </c>
      <c r="AO683">
        <v>5.166666666666667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>
        <v>170485.86795253001</v>
      </c>
      <c r="AV683">
        <v>36</v>
      </c>
      <c r="AW683">
        <f t="shared" si="64"/>
        <v>1</v>
      </c>
      <c r="AX683">
        <v>579</v>
      </c>
      <c r="AY683">
        <f t="shared" si="65"/>
        <v>1</v>
      </c>
      <c r="AZ683">
        <v>44.53846153846154</v>
      </c>
      <c r="BA683">
        <v>12</v>
      </c>
      <c r="BB683">
        <v>2019</v>
      </c>
      <c r="BC683">
        <v>1</v>
      </c>
      <c r="BD683">
        <v>2020</v>
      </c>
      <c r="BE683">
        <v>1</v>
      </c>
      <c r="BF683">
        <v>2020</v>
      </c>
    </row>
    <row r="684" spans="1:58" x14ac:dyDescent="0.2">
      <c r="A684" s="7">
        <v>4</v>
      </c>
      <c r="B684" s="7">
        <v>10</v>
      </c>
      <c r="C684" s="7">
        <v>0</v>
      </c>
      <c r="D684" s="7">
        <v>0</v>
      </c>
      <c r="E684" s="7">
        <f t="shared" si="60"/>
        <v>14</v>
      </c>
      <c r="F684" s="11" t="s">
        <v>58</v>
      </c>
      <c r="G684">
        <v>4</v>
      </c>
      <c r="H684">
        <v>10</v>
      </c>
      <c r="I684">
        <v>0</v>
      </c>
      <c r="J684">
        <v>0</v>
      </c>
      <c r="K684">
        <f t="shared" si="61"/>
        <v>14</v>
      </c>
      <c r="L684" t="s">
        <v>58</v>
      </c>
      <c r="M684">
        <v>17540.11039596</v>
      </c>
      <c r="N684" s="7">
        <v>4</v>
      </c>
      <c r="O684" s="7">
        <v>10</v>
      </c>
      <c r="P684" s="7">
        <v>0</v>
      </c>
      <c r="Q684" s="7">
        <v>0</v>
      </c>
      <c r="R684" s="7">
        <f t="shared" si="62"/>
        <v>14</v>
      </c>
      <c r="S684" t="e">
        <v>#N/A</v>
      </c>
      <c r="T684" s="7">
        <v>10</v>
      </c>
      <c r="U684" s="7">
        <v>15</v>
      </c>
      <c r="V684" s="7">
        <v>0</v>
      </c>
      <c r="W684" s="7">
        <v>2</v>
      </c>
      <c r="X684" s="7">
        <f t="shared" si="63"/>
        <v>27</v>
      </c>
      <c r="Y684" t="e">
        <v>#N/A</v>
      </c>
      <c r="Z684">
        <v>131701.11710102001</v>
      </c>
      <c r="AA684" t="s">
        <v>323</v>
      </c>
      <c r="AB684">
        <v>78</v>
      </c>
      <c r="AC684">
        <v>0</v>
      </c>
      <c r="AD684" t="s">
        <v>131</v>
      </c>
      <c r="AE684" t="s">
        <v>41</v>
      </c>
      <c r="AF684">
        <v>8</v>
      </c>
      <c r="AG684" s="8">
        <v>248</v>
      </c>
      <c r="AH684">
        <v>13</v>
      </c>
      <c r="AI684">
        <v>13</v>
      </c>
      <c r="AJ684">
        <v>0</v>
      </c>
      <c r="AK684">
        <v>5.2419354838709679E-2</v>
      </c>
      <c r="AL684">
        <v>0.82550082550123827</v>
      </c>
      <c r="AM684">
        <v>0</v>
      </c>
      <c r="AN684">
        <v>0</v>
      </c>
      <c r="AO684">
        <v>0.9285714285714286</v>
      </c>
      <c r="AP684">
        <v>0.9285714285714286</v>
      </c>
      <c r="AQ684">
        <v>0</v>
      </c>
      <c r="AR684">
        <v>0.2857142857142857</v>
      </c>
      <c r="AS684">
        <v>0.7142857142857143</v>
      </c>
      <c r="AT684">
        <v>0</v>
      </c>
      <c r="AU684">
        <v>149241.22749697999</v>
      </c>
      <c r="AV684">
        <v>9</v>
      </c>
      <c r="AW684">
        <f t="shared" si="64"/>
        <v>0</v>
      </c>
      <c r="AX684">
        <v>0</v>
      </c>
      <c r="AY684">
        <f t="shared" si="65"/>
        <v>0</v>
      </c>
      <c r="AZ684">
        <v>0</v>
      </c>
      <c r="BA684">
        <v>12</v>
      </c>
      <c r="BB684">
        <v>2019</v>
      </c>
      <c r="BC684">
        <v>1</v>
      </c>
      <c r="BD684">
        <v>2020</v>
      </c>
      <c r="BE684">
        <v>1</v>
      </c>
      <c r="BF684">
        <v>2020</v>
      </c>
    </row>
    <row r="685" spans="1:58" x14ac:dyDescent="0.2">
      <c r="A685" s="7">
        <v>13</v>
      </c>
      <c r="B685" s="7">
        <v>34</v>
      </c>
      <c r="C685" s="7">
        <v>4</v>
      </c>
      <c r="D685" s="7">
        <v>5</v>
      </c>
      <c r="E685" s="7">
        <f t="shared" si="60"/>
        <v>56</v>
      </c>
      <c r="F685" s="11" t="e">
        <v>#N/A</v>
      </c>
      <c r="G685">
        <v>13</v>
      </c>
      <c r="H685">
        <v>34</v>
      </c>
      <c r="I685">
        <v>4</v>
      </c>
      <c r="J685">
        <v>5</v>
      </c>
      <c r="K685">
        <f t="shared" si="61"/>
        <v>56</v>
      </c>
      <c r="L685" t="e">
        <v>#N/A</v>
      </c>
      <c r="M685">
        <v>9690.3497899999984</v>
      </c>
      <c r="N685" s="7">
        <v>18</v>
      </c>
      <c r="O685" s="7">
        <v>40</v>
      </c>
      <c r="P685" s="7">
        <v>8</v>
      </c>
      <c r="Q685" s="7">
        <v>7</v>
      </c>
      <c r="R685" s="7">
        <f t="shared" si="62"/>
        <v>73</v>
      </c>
      <c r="S685" t="e">
        <v>#N/A</v>
      </c>
      <c r="T685" s="7">
        <v>18</v>
      </c>
      <c r="U685" s="7">
        <v>40</v>
      </c>
      <c r="V685" s="7">
        <v>8</v>
      </c>
      <c r="W685" s="7">
        <v>17</v>
      </c>
      <c r="X685" s="7">
        <f t="shared" si="63"/>
        <v>83</v>
      </c>
      <c r="Y685" t="e">
        <v>#N/A</v>
      </c>
      <c r="Z685">
        <v>29536.90920899</v>
      </c>
      <c r="AA685" t="s">
        <v>324</v>
      </c>
      <c r="AB685">
        <v>70</v>
      </c>
      <c r="AC685">
        <v>21</v>
      </c>
      <c r="AD685" t="s">
        <v>101</v>
      </c>
      <c r="AE685" t="s">
        <v>41</v>
      </c>
      <c r="AF685" t="e">
        <v>#N/A</v>
      </c>
      <c r="AG685" s="8">
        <v>135</v>
      </c>
      <c r="AH685">
        <v>10</v>
      </c>
      <c r="AI685">
        <v>27</v>
      </c>
      <c r="AJ685">
        <v>0</v>
      </c>
      <c r="AK685">
        <v>7.407407407407407E-2</v>
      </c>
      <c r="AL685">
        <v>0.86066296582387047</v>
      </c>
      <c r="AM685">
        <v>17</v>
      </c>
      <c r="AN685">
        <v>0</v>
      </c>
      <c r="AO685">
        <v>0.13698630136986301</v>
      </c>
      <c r="AP685">
        <v>0.17857142857142858</v>
      </c>
      <c r="AQ685">
        <v>8.9285714285714288E-2</v>
      </c>
      <c r="AR685">
        <v>0.23214285714285715</v>
      </c>
      <c r="AS685">
        <v>0.6071428571428571</v>
      </c>
      <c r="AT685">
        <v>7.1428571428571425E-2</v>
      </c>
      <c r="AU685">
        <v>39227.258998990001</v>
      </c>
      <c r="AV685">
        <v>9</v>
      </c>
      <c r="AW685">
        <f t="shared" si="64"/>
        <v>0</v>
      </c>
      <c r="AX685">
        <v>21</v>
      </c>
      <c r="AY685">
        <f t="shared" si="65"/>
        <v>1</v>
      </c>
      <c r="AZ685" t="e">
        <v>#N/A</v>
      </c>
      <c r="BA685">
        <v>3</v>
      </c>
      <c r="BB685">
        <v>2020</v>
      </c>
      <c r="BC685">
        <v>3</v>
      </c>
      <c r="BD685">
        <v>2020</v>
      </c>
      <c r="BE685">
        <v>1</v>
      </c>
      <c r="BF685">
        <v>2020</v>
      </c>
    </row>
    <row r="686" spans="1:58" x14ac:dyDescent="0.2">
      <c r="A686" s="7">
        <v>16</v>
      </c>
      <c r="B686" s="7">
        <v>15</v>
      </c>
      <c r="C686" s="7">
        <v>6</v>
      </c>
      <c r="D686" s="7">
        <v>0</v>
      </c>
      <c r="E686" s="7">
        <f t="shared" si="60"/>
        <v>37</v>
      </c>
      <c r="F686" s="11" t="e">
        <v>#N/A</v>
      </c>
      <c r="G686">
        <v>16</v>
      </c>
      <c r="H686">
        <v>10</v>
      </c>
      <c r="I686">
        <v>6</v>
      </c>
      <c r="J686">
        <v>0</v>
      </c>
      <c r="K686">
        <f t="shared" si="61"/>
        <v>32</v>
      </c>
      <c r="L686" t="e">
        <v>#N/A</v>
      </c>
      <c r="M686">
        <v>11712.72949236</v>
      </c>
      <c r="N686" s="7">
        <v>17</v>
      </c>
      <c r="O686" s="7">
        <v>17</v>
      </c>
      <c r="P686" s="7">
        <v>7</v>
      </c>
      <c r="Q686" s="7">
        <v>3</v>
      </c>
      <c r="R686" s="7">
        <f t="shared" si="62"/>
        <v>44</v>
      </c>
      <c r="S686" t="e">
        <v>#N/A</v>
      </c>
      <c r="T686" s="7">
        <v>16</v>
      </c>
      <c r="U686" s="7">
        <v>17</v>
      </c>
      <c r="V686" s="7">
        <v>7</v>
      </c>
      <c r="W686" s="7">
        <v>4</v>
      </c>
      <c r="X686" s="7">
        <f t="shared" si="63"/>
        <v>44</v>
      </c>
      <c r="Y686" t="e">
        <v>#N/A</v>
      </c>
      <c r="Z686">
        <v>48136.86739693</v>
      </c>
      <c r="AA686" t="s">
        <v>325</v>
      </c>
      <c r="AB686">
        <v>61</v>
      </c>
      <c r="AC686">
        <v>0</v>
      </c>
      <c r="AD686" t="s">
        <v>145</v>
      </c>
      <c r="AE686" t="s">
        <v>41</v>
      </c>
      <c r="AF686">
        <v>47</v>
      </c>
      <c r="AG686" s="8">
        <v>132</v>
      </c>
      <c r="AH686">
        <v>0</v>
      </c>
      <c r="AI686">
        <v>7</v>
      </c>
      <c r="AJ686">
        <v>-5</v>
      </c>
      <c r="AK686">
        <v>0</v>
      </c>
      <c r="AL686">
        <v>0</v>
      </c>
      <c r="AM686">
        <v>12</v>
      </c>
      <c r="AN686">
        <v>0</v>
      </c>
      <c r="AO686">
        <v>0</v>
      </c>
      <c r="AP686">
        <v>0</v>
      </c>
      <c r="AQ686">
        <v>0</v>
      </c>
      <c r="AR686">
        <v>0.43243243243243246</v>
      </c>
      <c r="AS686">
        <v>0.40540540540540543</v>
      </c>
      <c r="AT686">
        <v>0.16216216216216217</v>
      </c>
      <c r="AU686">
        <v>59849.596889289998</v>
      </c>
      <c r="AV686">
        <v>15</v>
      </c>
      <c r="AW686">
        <f t="shared" si="64"/>
        <v>1</v>
      </c>
      <c r="AX686">
        <v>0</v>
      </c>
      <c r="AY686">
        <f t="shared" si="65"/>
        <v>0</v>
      </c>
      <c r="AZ686">
        <v>0</v>
      </c>
      <c r="BA686">
        <v>1</v>
      </c>
      <c r="BB686">
        <v>2020</v>
      </c>
      <c r="BC686">
        <v>2</v>
      </c>
      <c r="BD686">
        <v>2020</v>
      </c>
      <c r="BE686">
        <v>1</v>
      </c>
      <c r="BF686">
        <v>2020</v>
      </c>
    </row>
    <row r="687" spans="1:58" x14ac:dyDescent="0.2">
      <c r="A687" s="7">
        <v>14</v>
      </c>
      <c r="B687" s="7">
        <v>39</v>
      </c>
      <c r="C687" s="7">
        <v>8</v>
      </c>
      <c r="D687" s="7">
        <v>5</v>
      </c>
      <c r="E687" s="7">
        <f t="shared" si="60"/>
        <v>66</v>
      </c>
      <c r="F687" s="11" t="e">
        <v>#N/A</v>
      </c>
      <c r="G687">
        <v>15</v>
      </c>
      <c r="H687">
        <v>39</v>
      </c>
      <c r="I687">
        <v>7</v>
      </c>
      <c r="J687">
        <v>5</v>
      </c>
      <c r="K687">
        <f t="shared" si="61"/>
        <v>66</v>
      </c>
      <c r="L687" t="s">
        <v>36</v>
      </c>
      <c r="M687">
        <v>12359.6569975</v>
      </c>
      <c r="N687" s="7">
        <v>18</v>
      </c>
      <c r="O687" s="7">
        <v>39</v>
      </c>
      <c r="P687" s="7">
        <v>9</v>
      </c>
      <c r="Q687" s="7">
        <v>10</v>
      </c>
      <c r="R687" s="7">
        <f t="shared" si="62"/>
        <v>76</v>
      </c>
      <c r="S687" t="e">
        <v>#N/A</v>
      </c>
      <c r="T687" s="7">
        <v>20</v>
      </c>
      <c r="U687" s="7">
        <v>40</v>
      </c>
      <c r="V687" s="7">
        <v>9</v>
      </c>
      <c r="W687" s="7">
        <v>26</v>
      </c>
      <c r="X687" s="7">
        <f t="shared" si="63"/>
        <v>95</v>
      </c>
      <c r="Y687" t="e">
        <v>#N/A</v>
      </c>
      <c r="Z687">
        <v>47507.951176080001</v>
      </c>
      <c r="AA687" t="s">
        <v>326</v>
      </c>
      <c r="AB687">
        <v>23</v>
      </c>
      <c r="AC687">
        <v>0</v>
      </c>
      <c r="AD687" t="s">
        <v>174</v>
      </c>
      <c r="AE687" t="s">
        <v>41</v>
      </c>
      <c r="AF687">
        <v>13</v>
      </c>
      <c r="AG687" s="8">
        <v>2</v>
      </c>
      <c r="AH687">
        <v>19</v>
      </c>
      <c r="AI687">
        <v>29</v>
      </c>
      <c r="AJ687">
        <v>0</v>
      </c>
      <c r="AK687">
        <v>9.5</v>
      </c>
      <c r="AL687">
        <v>13.435028842544401</v>
      </c>
      <c r="AM687">
        <v>10</v>
      </c>
      <c r="AN687">
        <v>0</v>
      </c>
      <c r="AO687">
        <v>0.25</v>
      </c>
      <c r="AP687">
        <v>0.2878787878787879</v>
      </c>
      <c r="AQ687">
        <v>7.575757575757576E-2</v>
      </c>
      <c r="AR687">
        <v>0.21212121212121213</v>
      </c>
      <c r="AS687">
        <v>0.59090909090909094</v>
      </c>
      <c r="AT687">
        <v>0.12121212121212122</v>
      </c>
      <c r="AU687">
        <v>59867.608173580003</v>
      </c>
      <c r="AV687">
        <v>5</v>
      </c>
      <c r="AW687">
        <f t="shared" si="64"/>
        <v>0</v>
      </c>
      <c r="AX687">
        <v>0</v>
      </c>
      <c r="AY687">
        <f t="shared" si="65"/>
        <v>0</v>
      </c>
      <c r="AZ687">
        <v>0</v>
      </c>
      <c r="BA687">
        <v>1</v>
      </c>
      <c r="BB687">
        <v>2020</v>
      </c>
      <c r="BC687">
        <v>1</v>
      </c>
      <c r="BD687">
        <v>2020</v>
      </c>
      <c r="BE687">
        <v>1</v>
      </c>
      <c r="BF687">
        <v>2020</v>
      </c>
    </row>
    <row r="688" spans="1:58" x14ac:dyDescent="0.2">
      <c r="A688" s="7">
        <v>14</v>
      </c>
      <c r="B688" s="7">
        <v>10</v>
      </c>
      <c r="C688" s="7">
        <v>4</v>
      </c>
      <c r="D688" s="7">
        <v>1</v>
      </c>
      <c r="E688" s="7">
        <f t="shared" si="60"/>
        <v>29</v>
      </c>
      <c r="F688" s="11" t="e">
        <v>#N/A</v>
      </c>
      <c r="G688">
        <v>14</v>
      </c>
      <c r="H688">
        <v>10</v>
      </c>
      <c r="I688">
        <v>4</v>
      </c>
      <c r="J688">
        <v>1</v>
      </c>
      <c r="K688">
        <f t="shared" si="61"/>
        <v>29</v>
      </c>
      <c r="L688" t="e">
        <v>#N/A</v>
      </c>
      <c r="M688">
        <v>15372.10343015</v>
      </c>
      <c r="N688" s="7">
        <v>18</v>
      </c>
      <c r="O688" s="7">
        <v>23</v>
      </c>
      <c r="P688" s="7">
        <v>7</v>
      </c>
      <c r="Q688" s="7">
        <v>6</v>
      </c>
      <c r="R688" s="7">
        <f t="shared" si="62"/>
        <v>54</v>
      </c>
      <c r="S688" t="e">
        <v>#N/A</v>
      </c>
      <c r="T688" s="7">
        <v>18</v>
      </c>
      <c r="U688" s="7">
        <v>26</v>
      </c>
      <c r="V688" s="7">
        <v>9</v>
      </c>
      <c r="W688" s="7">
        <v>10</v>
      </c>
      <c r="X688" s="7">
        <f t="shared" si="63"/>
        <v>63</v>
      </c>
      <c r="Y688" t="e">
        <v>#N/A</v>
      </c>
      <c r="Z688">
        <v>119164.42221498</v>
      </c>
      <c r="AA688" t="s">
        <v>327</v>
      </c>
      <c r="AB688">
        <v>59</v>
      </c>
      <c r="AC688">
        <v>0</v>
      </c>
      <c r="AD688" t="s">
        <v>131</v>
      </c>
      <c r="AE688" t="s">
        <v>41</v>
      </c>
      <c r="AF688" t="e">
        <v>#N/A</v>
      </c>
      <c r="AG688" s="8">
        <v>201</v>
      </c>
      <c r="AH688">
        <v>9</v>
      </c>
      <c r="AI688">
        <v>34</v>
      </c>
      <c r="AJ688">
        <v>0</v>
      </c>
      <c r="AK688">
        <v>4.4776119402985072E-2</v>
      </c>
      <c r="AL688">
        <v>0.63481105427273843</v>
      </c>
      <c r="AM688">
        <v>25</v>
      </c>
      <c r="AN688">
        <v>0</v>
      </c>
      <c r="AO688">
        <v>0.16666666666666666</v>
      </c>
      <c r="AP688">
        <v>0.31034482758620691</v>
      </c>
      <c r="AQ688">
        <v>3.4482758620689655E-2</v>
      </c>
      <c r="AR688">
        <v>0.48275862068965519</v>
      </c>
      <c r="AS688">
        <v>0.34482758620689657</v>
      </c>
      <c r="AT688">
        <v>0.13793103448275862</v>
      </c>
      <c r="AU688">
        <v>134536.52564512999</v>
      </c>
      <c r="AV688">
        <v>17</v>
      </c>
      <c r="AW688">
        <f t="shared" si="64"/>
        <v>1</v>
      </c>
      <c r="AX688">
        <v>0</v>
      </c>
      <c r="AY688">
        <f t="shared" si="65"/>
        <v>0</v>
      </c>
      <c r="AZ688" t="e">
        <v>#N/A</v>
      </c>
      <c r="BA688">
        <v>3</v>
      </c>
      <c r="BB688">
        <v>2020</v>
      </c>
      <c r="BC688">
        <v>3</v>
      </c>
      <c r="BD688">
        <v>2020</v>
      </c>
      <c r="BE688">
        <v>1</v>
      </c>
      <c r="BF688">
        <v>2020</v>
      </c>
    </row>
    <row r="689" spans="1:58" x14ac:dyDescent="0.2">
      <c r="A689" s="7">
        <v>0</v>
      </c>
      <c r="B689" s="7">
        <v>8</v>
      </c>
      <c r="C689" s="7">
        <v>1</v>
      </c>
      <c r="D689" s="7">
        <v>0</v>
      </c>
      <c r="E689" s="7">
        <f t="shared" si="60"/>
        <v>9</v>
      </c>
      <c r="F689" s="11" t="s">
        <v>66</v>
      </c>
      <c r="G689">
        <v>0</v>
      </c>
      <c r="H689">
        <v>8</v>
      </c>
      <c r="I689">
        <v>0</v>
      </c>
      <c r="J689">
        <v>0</v>
      </c>
      <c r="K689">
        <f t="shared" si="61"/>
        <v>8</v>
      </c>
      <c r="L689" t="s">
        <v>36</v>
      </c>
      <c r="M689">
        <v>17357.53470362</v>
      </c>
      <c r="N689" s="7">
        <v>1</v>
      </c>
      <c r="O689" s="7">
        <v>30</v>
      </c>
      <c r="P689" s="7">
        <v>3</v>
      </c>
      <c r="Q689" s="7">
        <v>2</v>
      </c>
      <c r="R689" s="7">
        <f t="shared" si="62"/>
        <v>36</v>
      </c>
      <c r="S689" t="e">
        <v>#N/A</v>
      </c>
      <c r="T689" s="7">
        <v>1</v>
      </c>
      <c r="U689" s="7">
        <v>30</v>
      </c>
      <c r="V689" s="7">
        <v>5</v>
      </c>
      <c r="W689" s="7">
        <v>28</v>
      </c>
      <c r="X689" s="7">
        <f t="shared" si="63"/>
        <v>64</v>
      </c>
      <c r="Y689" t="e">
        <v>#N/A</v>
      </c>
      <c r="Z689">
        <v>167769.59552875001</v>
      </c>
      <c r="AA689" t="s">
        <v>328</v>
      </c>
      <c r="AB689">
        <v>56</v>
      </c>
      <c r="AC689">
        <v>0</v>
      </c>
      <c r="AD689" t="s">
        <v>248</v>
      </c>
      <c r="AE689" t="s">
        <v>41</v>
      </c>
      <c r="AF689">
        <v>15</v>
      </c>
      <c r="AG689" s="8">
        <v>233</v>
      </c>
      <c r="AH689">
        <v>28</v>
      </c>
      <c r="AI689">
        <v>55</v>
      </c>
      <c r="AJ689">
        <v>-1</v>
      </c>
      <c r="AK689">
        <v>0.12017167381974249</v>
      </c>
      <c r="AL689">
        <v>1.8343409898251715</v>
      </c>
      <c r="AM689">
        <v>28</v>
      </c>
      <c r="AN689">
        <v>0</v>
      </c>
      <c r="AO689">
        <v>0.77777777777777779</v>
      </c>
      <c r="AP689">
        <v>3.1111111111111112</v>
      </c>
      <c r="AQ689">
        <v>0</v>
      </c>
      <c r="AR689">
        <v>0</v>
      </c>
      <c r="AS689">
        <v>0.88888888888888884</v>
      </c>
      <c r="AT689">
        <v>0.1111111111111111</v>
      </c>
      <c r="AU689">
        <v>185127.13023237002</v>
      </c>
      <c r="AV689">
        <v>8</v>
      </c>
      <c r="AW689">
        <f t="shared" si="64"/>
        <v>0</v>
      </c>
      <c r="AX689">
        <v>0</v>
      </c>
      <c r="AY689">
        <f t="shared" si="65"/>
        <v>0</v>
      </c>
      <c r="AZ689">
        <v>0</v>
      </c>
      <c r="BA689">
        <v>1</v>
      </c>
      <c r="BB689">
        <v>2020</v>
      </c>
      <c r="BC689">
        <v>1</v>
      </c>
      <c r="BD689">
        <v>2020</v>
      </c>
      <c r="BE689">
        <v>1</v>
      </c>
      <c r="BF689">
        <v>2020</v>
      </c>
    </row>
    <row r="690" spans="1:58" x14ac:dyDescent="0.2">
      <c r="A690" s="7">
        <v>2</v>
      </c>
      <c r="B690" s="7">
        <v>8</v>
      </c>
      <c r="C690" s="7">
        <v>0</v>
      </c>
      <c r="D690" s="7">
        <v>3</v>
      </c>
      <c r="E690" s="7">
        <f t="shared" si="60"/>
        <v>13</v>
      </c>
      <c r="F690" s="11" t="s">
        <v>39</v>
      </c>
      <c r="G690">
        <v>0</v>
      </c>
      <c r="H690">
        <v>0</v>
      </c>
      <c r="I690">
        <v>0</v>
      </c>
      <c r="J690">
        <v>0</v>
      </c>
      <c r="K690">
        <f t="shared" si="61"/>
        <v>0</v>
      </c>
      <c r="L690" t="s">
        <v>51</v>
      </c>
      <c r="M690">
        <v>50843.118621039997</v>
      </c>
      <c r="N690" s="7">
        <v>2</v>
      </c>
      <c r="O690" s="7">
        <v>10</v>
      </c>
      <c r="P690" s="7">
        <v>0</v>
      </c>
      <c r="Q690" s="7">
        <v>5</v>
      </c>
      <c r="R690" s="7">
        <f t="shared" si="62"/>
        <v>17</v>
      </c>
      <c r="S690" t="s">
        <v>36</v>
      </c>
      <c r="T690" s="7">
        <v>8</v>
      </c>
      <c r="U690" s="7">
        <v>21</v>
      </c>
      <c r="V690" s="7">
        <v>8</v>
      </c>
      <c r="W690" s="7">
        <v>6</v>
      </c>
      <c r="X690" s="7">
        <f t="shared" si="63"/>
        <v>43</v>
      </c>
      <c r="Y690" t="s">
        <v>39</v>
      </c>
      <c r="Z690">
        <v>272137.67663508002</v>
      </c>
      <c r="AA690" t="s">
        <v>329</v>
      </c>
      <c r="AB690">
        <v>21</v>
      </c>
      <c r="AC690">
        <v>674</v>
      </c>
      <c r="AD690" t="s">
        <v>248</v>
      </c>
      <c r="AE690" t="s">
        <v>41</v>
      </c>
      <c r="AF690">
        <v>14</v>
      </c>
      <c r="AG690" s="8">
        <v>299</v>
      </c>
      <c r="AH690">
        <v>26</v>
      </c>
      <c r="AI690">
        <v>30</v>
      </c>
      <c r="AJ690">
        <v>-13</v>
      </c>
      <c r="AK690">
        <v>8.6956521739130432E-2</v>
      </c>
      <c r="AL690">
        <v>1.5036188231122245</v>
      </c>
      <c r="AM690">
        <v>17</v>
      </c>
      <c r="AN690">
        <v>0</v>
      </c>
      <c r="AO690">
        <v>1.5294117647058822</v>
      </c>
      <c r="AP690">
        <v>2</v>
      </c>
      <c r="AQ690">
        <v>0.23076923076923078</v>
      </c>
      <c r="AR690">
        <v>0.15384615384615385</v>
      </c>
      <c r="AS690">
        <v>0.61538461538461542</v>
      </c>
      <c r="AT690">
        <v>0</v>
      </c>
      <c r="AU690">
        <v>322980.79525612004</v>
      </c>
      <c r="AV690">
        <v>17</v>
      </c>
      <c r="AW690">
        <f t="shared" si="64"/>
        <v>1</v>
      </c>
      <c r="AX690">
        <v>674</v>
      </c>
      <c r="AY690">
        <f t="shared" si="65"/>
        <v>1</v>
      </c>
      <c r="AZ690">
        <v>48.142857142857146</v>
      </c>
      <c r="BA690">
        <v>1</v>
      </c>
      <c r="BB690">
        <v>2020</v>
      </c>
      <c r="BC690">
        <v>1</v>
      </c>
      <c r="BD690">
        <v>2020</v>
      </c>
      <c r="BE690">
        <v>1</v>
      </c>
      <c r="BF690">
        <v>2020</v>
      </c>
    </row>
    <row r="691" spans="1:58" x14ac:dyDescent="0.2">
      <c r="A691" s="7">
        <v>0</v>
      </c>
      <c r="B691" s="7">
        <v>15</v>
      </c>
      <c r="C691" s="7">
        <v>0</v>
      </c>
      <c r="D691" s="7">
        <v>0</v>
      </c>
      <c r="E691" s="7">
        <f t="shared" si="60"/>
        <v>15</v>
      </c>
      <c r="F691" s="11" t="e">
        <v>#N/A</v>
      </c>
      <c r="G691">
        <v>8</v>
      </c>
      <c r="H691">
        <v>31</v>
      </c>
      <c r="I691">
        <v>4</v>
      </c>
      <c r="J691">
        <v>7</v>
      </c>
      <c r="K691">
        <f t="shared" si="61"/>
        <v>50</v>
      </c>
      <c r="L691" t="e">
        <v>#N/A</v>
      </c>
      <c r="M691">
        <v>17801.36403642</v>
      </c>
      <c r="N691" s="7">
        <v>18</v>
      </c>
      <c r="O691" s="7">
        <v>39</v>
      </c>
      <c r="P691" s="7">
        <v>9</v>
      </c>
      <c r="Q691" s="7">
        <v>23</v>
      </c>
      <c r="R691" s="7">
        <f t="shared" si="62"/>
        <v>89</v>
      </c>
      <c r="S691" t="e">
        <v>#N/A</v>
      </c>
      <c r="T691" s="7">
        <v>20</v>
      </c>
      <c r="U691" s="7">
        <v>40</v>
      </c>
      <c r="V691" s="7">
        <v>9</v>
      </c>
      <c r="W691" s="7">
        <v>30</v>
      </c>
      <c r="X691" s="7">
        <f t="shared" si="63"/>
        <v>99</v>
      </c>
      <c r="Y691" t="e">
        <v>#N/A</v>
      </c>
      <c r="Z691">
        <v>37647.75855387</v>
      </c>
      <c r="AA691" t="s">
        <v>330</v>
      </c>
      <c r="AB691">
        <v>30</v>
      </c>
      <c r="AC691">
        <v>0</v>
      </c>
      <c r="AD691" t="s">
        <v>244</v>
      </c>
      <c r="AE691" t="s">
        <v>75</v>
      </c>
      <c r="AF691">
        <v>8</v>
      </c>
      <c r="AG691" s="8">
        <v>82</v>
      </c>
      <c r="AH691">
        <v>10</v>
      </c>
      <c r="AI691">
        <v>84</v>
      </c>
      <c r="AJ691">
        <v>35</v>
      </c>
      <c r="AK691">
        <v>0.12195121951219512</v>
      </c>
      <c r="AL691">
        <v>1.1043152607484654</v>
      </c>
      <c r="AM691">
        <v>39</v>
      </c>
      <c r="AN691">
        <v>0</v>
      </c>
      <c r="AO691">
        <v>0.11235955056179775</v>
      </c>
      <c r="AP691">
        <v>0.66666666666666663</v>
      </c>
      <c r="AQ691">
        <v>0</v>
      </c>
      <c r="AR691">
        <v>0</v>
      </c>
      <c r="AS691">
        <v>1</v>
      </c>
      <c r="AT691">
        <v>0</v>
      </c>
      <c r="AU691">
        <v>55449.122590290004</v>
      </c>
      <c r="AV691">
        <v>6</v>
      </c>
      <c r="AW691">
        <f t="shared" si="64"/>
        <v>0</v>
      </c>
      <c r="AX691">
        <v>0</v>
      </c>
      <c r="AY691">
        <f t="shared" si="65"/>
        <v>0</v>
      </c>
      <c r="AZ691">
        <v>0</v>
      </c>
      <c r="BA691">
        <v>1</v>
      </c>
      <c r="BB691">
        <v>2020</v>
      </c>
      <c r="BC691">
        <v>1</v>
      </c>
      <c r="BD691">
        <v>2020</v>
      </c>
      <c r="BE691">
        <v>1</v>
      </c>
      <c r="BF691">
        <v>2020</v>
      </c>
    </row>
    <row r="692" spans="1:58" x14ac:dyDescent="0.2">
      <c r="A692" s="7">
        <v>14</v>
      </c>
      <c r="B692" s="7">
        <v>26</v>
      </c>
      <c r="C692" s="7">
        <v>2</v>
      </c>
      <c r="D692" s="7">
        <v>6</v>
      </c>
      <c r="E692" s="7">
        <f t="shared" si="60"/>
        <v>48</v>
      </c>
      <c r="F692" s="11" t="e">
        <v>#N/A</v>
      </c>
      <c r="G692">
        <v>8</v>
      </c>
      <c r="H692">
        <v>30</v>
      </c>
      <c r="I692">
        <v>0</v>
      </c>
      <c r="J692">
        <v>5</v>
      </c>
      <c r="K692">
        <f t="shared" si="61"/>
        <v>43</v>
      </c>
      <c r="L692" t="e">
        <v>#N/A</v>
      </c>
      <c r="M692">
        <v>14276.43924294</v>
      </c>
      <c r="N692" s="7">
        <v>14</v>
      </c>
      <c r="O692" s="7">
        <v>26</v>
      </c>
      <c r="P692" s="7">
        <v>2</v>
      </c>
      <c r="Q692" s="7">
        <v>6</v>
      </c>
      <c r="R692" s="7">
        <f t="shared" si="62"/>
        <v>48</v>
      </c>
      <c r="S692" t="e">
        <v>#N/A</v>
      </c>
      <c r="T692" s="7">
        <v>15</v>
      </c>
      <c r="U692" s="7">
        <v>26</v>
      </c>
      <c r="V692" s="7">
        <v>6</v>
      </c>
      <c r="W692" s="7">
        <v>5</v>
      </c>
      <c r="X692" s="7">
        <f t="shared" si="63"/>
        <v>52</v>
      </c>
      <c r="Y692" t="e">
        <v>#N/A</v>
      </c>
      <c r="Z692">
        <v>79682.322039310005</v>
      </c>
      <c r="AA692" t="s">
        <v>331</v>
      </c>
      <c r="AB692">
        <v>75</v>
      </c>
      <c r="AC692">
        <v>0</v>
      </c>
      <c r="AD692" t="s">
        <v>131</v>
      </c>
      <c r="AE692" t="s">
        <v>41</v>
      </c>
      <c r="AF692">
        <v>28</v>
      </c>
      <c r="AG692" s="8">
        <v>175</v>
      </c>
      <c r="AH692">
        <v>4</v>
      </c>
      <c r="AI692">
        <v>4</v>
      </c>
      <c r="AJ692">
        <v>-5</v>
      </c>
      <c r="AK692">
        <v>2.2857142857142857E-2</v>
      </c>
      <c r="AL692">
        <v>0.30237157840738177</v>
      </c>
      <c r="AM692">
        <v>5</v>
      </c>
      <c r="AN692">
        <v>0</v>
      </c>
      <c r="AO692">
        <v>8.3333333333333329E-2</v>
      </c>
      <c r="AP692">
        <v>8.3333333333333329E-2</v>
      </c>
      <c r="AQ692">
        <v>0.125</v>
      </c>
      <c r="AR692">
        <v>0.29166666666666669</v>
      </c>
      <c r="AS692">
        <v>0.54166666666666663</v>
      </c>
      <c r="AT692">
        <v>4.1666666666666664E-2</v>
      </c>
      <c r="AU692">
        <v>93958.761282250009</v>
      </c>
      <c r="AV692">
        <v>10</v>
      </c>
      <c r="AW692">
        <f t="shared" si="64"/>
        <v>1</v>
      </c>
      <c r="AX692">
        <v>0</v>
      </c>
      <c r="AY692">
        <f t="shared" si="65"/>
        <v>0</v>
      </c>
      <c r="AZ692">
        <v>0</v>
      </c>
      <c r="BA692">
        <v>1</v>
      </c>
      <c r="BB692">
        <v>2020</v>
      </c>
      <c r="BC692">
        <v>1</v>
      </c>
      <c r="BD692">
        <v>2020</v>
      </c>
      <c r="BE692">
        <v>1</v>
      </c>
      <c r="BF692">
        <v>2020</v>
      </c>
    </row>
    <row r="693" spans="1:58" x14ac:dyDescent="0.2">
      <c r="A693" s="7">
        <v>8</v>
      </c>
      <c r="B693" s="7">
        <v>10</v>
      </c>
      <c r="C693" s="7">
        <v>0</v>
      </c>
      <c r="D693" s="7">
        <v>0</v>
      </c>
      <c r="E693" s="7">
        <f t="shared" si="60"/>
        <v>18</v>
      </c>
      <c r="F693" s="11" t="e">
        <v>#N/A</v>
      </c>
      <c r="G693">
        <v>8</v>
      </c>
      <c r="H693">
        <v>10</v>
      </c>
      <c r="I693">
        <v>0</v>
      </c>
      <c r="J693">
        <v>0</v>
      </c>
      <c r="K693">
        <f t="shared" si="61"/>
        <v>18</v>
      </c>
      <c r="L693" t="e">
        <v>#N/A</v>
      </c>
      <c r="M693">
        <v>18932.39267705</v>
      </c>
      <c r="N693" s="7">
        <v>14</v>
      </c>
      <c r="O693" s="7">
        <v>27</v>
      </c>
      <c r="P693" s="7">
        <v>4</v>
      </c>
      <c r="Q693" s="7">
        <v>5</v>
      </c>
      <c r="R693" s="7">
        <f t="shared" si="62"/>
        <v>50</v>
      </c>
      <c r="S693" t="e">
        <v>#N/A</v>
      </c>
      <c r="T693" s="7">
        <v>18</v>
      </c>
      <c r="U693" s="7">
        <v>36</v>
      </c>
      <c r="V693" s="7">
        <v>8</v>
      </c>
      <c r="W693" s="7">
        <v>5</v>
      </c>
      <c r="X693" s="7">
        <f t="shared" si="63"/>
        <v>67</v>
      </c>
      <c r="Y693" t="e">
        <v>#N/A</v>
      </c>
      <c r="Z693">
        <v>110549.43963407</v>
      </c>
      <c r="AA693" t="s">
        <v>332</v>
      </c>
      <c r="AB693">
        <v>29</v>
      </c>
      <c r="AC693">
        <v>0</v>
      </c>
      <c r="AD693" t="s">
        <v>258</v>
      </c>
      <c r="AE693" t="s">
        <v>41</v>
      </c>
      <c r="AF693" t="e">
        <v>#N/A</v>
      </c>
      <c r="AG693" s="8">
        <v>196</v>
      </c>
      <c r="AH693">
        <v>17</v>
      </c>
      <c r="AI693">
        <v>49</v>
      </c>
      <c r="AJ693">
        <v>0</v>
      </c>
      <c r="AK693">
        <v>8.673469387755102E-2</v>
      </c>
      <c r="AL693">
        <v>1.2142857142857142</v>
      </c>
      <c r="AM693">
        <v>32</v>
      </c>
      <c r="AN693">
        <v>0</v>
      </c>
      <c r="AO693">
        <v>0.34</v>
      </c>
      <c r="AP693">
        <v>0.94444444444444442</v>
      </c>
      <c r="AQ693">
        <v>0</v>
      </c>
      <c r="AR693">
        <v>0.44444444444444442</v>
      </c>
      <c r="AS693">
        <v>0.55555555555555558</v>
      </c>
      <c r="AT693">
        <v>0</v>
      </c>
      <c r="AU693">
        <v>129481.83231112</v>
      </c>
      <c r="AV693">
        <v>5</v>
      </c>
      <c r="AW693">
        <f t="shared" si="64"/>
        <v>0</v>
      </c>
      <c r="AX693">
        <v>0</v>
      </c>
      <c r="AY693">
        <f t="shared" si="65"/>
        <v>0</v>
      </c>
      <c r="AZ693" t="e">
        <v>#N/A</v>
      </c>
      <c r="BA693">
        <v>1</v>
      </c>
      <c r="BB693">
        <v>2020</v>
      </c>
      <c r="BC693">
        <v>1</v>
      </c>
      <c r="BD693">
        <v>2020</v>
      </c>
      <c r="BE693">
        <v>1</v>
      </c>
      <c r="BF693">
        <v>2020</v>
      </c>
    </row>
    <row r="694" spans="1:58" x14ac:dyDescent="0.2">
      <c r="A694" s="7">
        <v>15</v>
      </c>
      <c r="B694" s="7">
        <v>40</v>
      </c>
      <c r="C694" s="7">
        <v>9</v>
      </c>
      <c r="D694" s="7">
        <v>10</v>
      </c>
      <c r="E694" s="7">
        <f t="shared" si="60"/>
        <v>74</v>
      </c>
      <c r="F694" s="11" t="e">
        <v>#N/A</v>
      </c>
      <c r="G694">
        <v>15</v>
      </c>
      <c r="H694">
        <v>36</v>
      </c>
      <c r="I694">
        <v>7</v>
      </c>
      <c r="J694">
        <v>4</v>
      </c>
      <c r="K694">
        <f t="shared" si="61"/>
        <v>62</v>
      </c>
      <c r="L694" t="e">
        <v>#N/A</v>
      </c>
      <c r="M694">
        <v>11231.70931169</v>
      </c>
      <c r="N694" s="7">
        <v>20</v>
      </c>
      <c r="O694" s="7">
        <v>39</v>
      </c>
      <c r="P694" s="7">
        <v>9</v>
      </c>
      <c r="Q694" s="7">
        <v>19</v>
      </c>
      <c r="R694" s="7">
        <f t="shared" si="62"/>
        <v>87</v>
      </c>
      <c r="S694" t="e">
        <v>#N/A</v>
      </c>
      <c r="T694" s="7">
        <v>20</v>
      </c>
      <c r="U694" s="7">
        <v>40</v>
      </c>
      <c r="V694" s="7">
        <v>9</v>
      </c>
      <c r="W694" s="7">
        <v>20</v>
      </c>
      <c r="X694" s="7">
        <f t="shared" si="63"/>
        <v>89</v>
      </c>
      <c r="Y694" t="e">
        <v>#N/A</v>
      </c>
      <c r="Z694">
        <v>33403.068166969992</v>
      </c>
      <c r="AA694" t="s">
        <v>333</v>
      </c>
      <c r="AB694">
        <v>64</v>
      </c>
      <c r="AC694">
        <v>0</v>
      </c>
      <c r="AD694" t="s">
        <v>131</v>
      </c>
      <c r="AE694" t="s">
        <v>41</v>
      </c>
      <c r="AF694">
        <v>334</v>
      </c>
      <c r="AG694" s="8">
        <v>115</v>
      </c>
      <c r="AH694">
        <v>2</v>
      </c>
      <c r="AI694">
        <v>15</v>
      </c>
      <c r="AJ694">
        <v>-12</v>
      </c>
      <c r="AK694">
        <v>1.7391304347826087E-2</v>
      </c>
      <c r="AL694">
        <v>0.18650096164806276</v>
      </c>
      <c r="AM694">
        <v>25</v>
      </c>
      <c r="AN694">
        <v>0</v>
      </c>
      <c r="AO694">
        <v>2.2988505747126436E-2</v>
      </c>
      <c r="AP694">
        <v>2.7027027027027029E-2</v>
      </c>
      <c r="AQ694">
        <v>0.13513513513513514</v>
      </c>
      <c r="AR694">
        <v>0.20270270270270271</v>
      </c>
      <c r="AS694">
        <v>0.54054054054054057</v>
      </c>
      <c r="AT694">
        <v>0.12162162162162163</v>
      </c>
      <c r="AU694">
        <v>44634.777478659991</v>
      </c>
      <c r="AV694">
        <v>6</v>
      </c>
      <c r="AW694">
        <f t="shared" si="64"/>
        <v>0</v>
      </c>
      <c r="AX694">
        <v>0</v>
      </c>
      <c r="AY694">
        <f t="shared" si="65"/>
        <v>0</v>
      </c>
      <c r="AZ694">
        <v>0</v>
      </c>
      <c r="BA694">
        <v>1</v>
      </c>
      <c r="BB694">
        <v>2020</v>
      </c>
      <c r="BC694">
        <v>12</v>
      </c>
      <c r="BD694">
        <v>2020</v>
      </c>
      <c r="BE694">
        <v>1</v>
      </c>
      <c r="BF694">
        <v>2020</v>
      </c>
    </row>
    <row r="695" spans="1:58" x14ac:dyDescent="0.2">
      <c r="A695" s="7">
        <v>6</v>
      </c>
      <c r="B695" s="7">
        <v>10</v>
      </c>
      <c r="C695" s="7">
        <v>0</v>
      </c>
      <c r="D695" s="7">
        <v>0</v>
      </c>
      <c r="E695" s="7">
        <f t="shared" si="60"/>
        <v>16</v>
      </c>
      <c r="F695" s="11" t="e">
        <v>#N/A</v>
      </c>
      <c r="G695">
        <v>6</v>
      </c>
      <c r="H695">
        <v>10</v>
      </c>
      <c r="I695">
        <v>0</v>
      </c>
      <c r="J695">
        <v>0</v>
      </c>
      <c r="K695">
        <f t="shared" si="61"/>
        <v>16</v>
      </c>
      <c r="L695" t="e">
        <v>#N/A</v>
      </c>
      <c r="M695">
        <v>31727.078674560002</v>
      </c>
      <c r="N695" s="7">
        <v>5</v>
      </c>
      <c r="O695" s="7">
        <v>10</v>
      </c>
      <c r="P695" s="7">
        <v>0</v>
      </c>
      <c r="Q695" s="7">
        <v>0</v>
      </c>
      <c r="R695" s="7">
        <f t="shared" si="62"/>
        <v>15</v>
      </c>
      <c r="S695" t="e">
        <v>#N/A</v>
      </c>
      <c r="T695" s="7">
        <v>7</v>
      </c>
      <c r="U695" s="7">
        <v>26</v>
      </c>
      <c r="V695" s="7">
        <v>0</v>
      </c>
      <c r="W695" s="7">
        <v>0</v>
      </c>
      <c r="X695" s="7">
        <f t="shared" si="63"/>
        <v>33</v>
      </c>
      <c r="Y695" t="e">
        <v>#N/A</v>
      </c>
      <c r="Z695">
        <v>210923.16926266</v>
      </c>
      <c r="AA695" t="s">
        <v>334</v>
      </c>
      <c r="AB695">
        <v>73</v>
      </c>
      <c r="AC695">
        <v>0</v>
      </c>
      <c r="AD695" t="s">
        <v>119</v>
      </c>
      <c r="AE695" t="s">
        <v>41</v>
      </c>
      <c r="AF695" t="e">
        <v>#N/A</v>
      </c>
      <c r="AG695" s="8">
        <v>250</v>
      </c>
      <c r="AH695">
        <v>18</v>
      </c>
      <c r="AI695">
        <v>17</v>
      </c>
      <c r="AJ695">
        <v>0</v>
      </c>
      <c r="AK695">
        <v>7.1999999999999995E-2</v>
      </c>
      <c r="AL695">
        <v>1.1384199576606167</v>
      </c>
      <c r="AM695">
        <v>-1</v>
      </c>
      <c r="AN695">
        <v>1</v>
      </c>
      <c r="AO695">
        <v>1.2</v>
      </c>
      <c r="AP695">
        <v>1.125</v>
      </c>
      <c r="AQ695">
        <v>0</v>
      </c>
      <c r="AR695">
        <v>0.375</v>
      </c>
      <c r="AS695">
        <v>0.625</v>
      </c>
      <c r="AT695">
        <v>0</v>
      </c>
      <c r="AU695">
        <v>242650.24793722</v>
      </c>
      <c r="AV695">
        <v>18</v>
      </c>
      <c r="AW695">
        <f t="shared" si="64"/>
        <v>1</v>
      </c>
      <c r="AX695">
        <v>0</v>
      </c>
      <c r="AY695">
        <f t="shared" si="65"/>
        <v>0</v>
      </c>
      <c r="AZ695" t="e">
        <v>#N/A</v>
      </c>
      <c r="BA695">
        <v>2</v>
      </c>
      <c r="BB695">
        <v>2020</v>
      </c>
      <c r="BC695">
        <v>2</v>
      </c>
      <c r="BD695">
        <v>2020</v>
      </c>
      <c r="BE695">
        <v>1</v>
      </c>
      <c r="BF695">
        <v>2020</v>
      </c>
    </row>
    <row r="696" spans="1:58" x14ac:dyDescent="0.2">
      <c r="A696" s="7">
        <v>10</v>
      </c>
      <c r="B696" s="7">
        <v>13</v>
      </c>
      <c r="C696" s="7">
        <v>0</v>
      </c>
      <c r="D696" s="7">
        <v>0</v>
      </c>
      <c r="E696" s="7">
        <f t="shared" si="60"/>
        <v>23</v>
      </c>
      <c r="F696" s="11" t="s">
        <v>36</v>
      </c>
      <c r="G696">
        <v>10</v>
      </c>
      <c r="H696">
        <v>13</v>
      </c>
      <c r="I696">
        <v>0</v>
      </c>
      <c r="J696">
        <v>0</v>
      </c>
      <c r="K696">
        <f t="shared" si="61"/>
        <v>23</v>
      </c>
      <c r="L696" t="s">
        <v>36</v>
      </c>
      <c r="M696">
        <v>14510.919549280001</v>
      </c>
      <c r="N696" s="7">
        <v>12</v>
      </c>
      <c r="O696" s="7">
        <v>20</v>
      </c>
      <c r="P696" s="7">
        <v>5</v>
      </c>
      <c r="Q696" s="7">
        <v>5</v>
      </c>
      <c r="R696" s="7">
        <f t="shared" si="62"/>
        <v>42</v>
      </c>
      <c r="S696" t="e">
        <v>#N/A</v>
      </c>
      <c r="T696" s="7">
        <v>18</v>
      </c>
      <c r="U696" s="7">
        <v>33</v>
      </c>
      <c r="V696" s="7">
        <v>9</v>
      </c>
      <c r="W696" s="7">
        <v>10</v>
      </c>
      <c r="X696" s="7">
        <f t="shared" si="63"/>
        <v>70</v>
      </c>
      <c r="Y696" t="e">
        <v>#N/A</v>
      </c>
      <c r="Z696">
        <v>143954.87909537001</v>
      </c>
      <c r="AA696" t="s">
        <v>335</v>
      </c>
      <c r="AB696">
        <v>34</v>
      </c>
      <c r="AC696">
        <v>0</v>
      </c>
      <c r="AD696" t="s">
        <v>244</v>
      </c>
      <c r="AE696" t="s">
        <v>75</v>
      </c>
      <c r="AF696" t="e">
        <v>#N/A</v>
      </c>
      <c r="AG696" s="8">
        <v>227</v>
      </c>
      <c r="AH696">
        <v>28</v>
      </c>
      <c r="AI696">
        <v>47</v>
      </c>
      <c r="AJ696">
        <v>0</v>
      </c>
      <c r="AK696">
        <v>0.12334801762114538</v>
      </c>
      <c r="AL696">
        <v>1.8584252724799215</v>
      </c>
      <c r="AM696">
        <v>19</v>
      </c>
      <c r="AN696">
        <v>0</v>
      </c>
      <c r="AO696">
        <v>0.66666666666666663</v>
      </c>
      <c r="AP696">
        <v>1.2173913043478262</v>
      </c>
      <c r="AQ696">
        <v>0</v>
      </c>
      <c r="AR696">
        <v>0.43478260869565216</v>
      </c>
      <c r="AS696">
        <v>0.56521739130434778</v>
      </c>
      <c r="AT696">
        <v>0</v>
      </c>
      <c r="AU696">
        <v>158465.79864465</v>
      </c>
      <c r="AV696">
        <v>6</v>
      </c>
      <c r="AW696">
        <f t="shared" si="64"/>
        <v>0</v>
      </c>
      <c r="AX696">
        <v>0</v>
      </c>
      <c r="AY696">
        <f t="shared" si="65"/>
        <v>0</v>
      </c>
      <c r="AZ696" t="e">
        <v>#N/A</v>
      </c>
      <c r="BA696">
        <v>1</v>
      </c>
      <c r="BB696">
        <v>2020</v>
      </c>
      <c r="BC696">
        <v>1</v>
      </c>
      <c r="BD696">
        <v>2020</v>
      </c>
      <c r="BE696">
        <v>1</v>
      </c>
      <c r="BF696">
        <v>2020</v>
      </c>
    </row>
    <row r="697" spans="1:58" x14ac:dyDescent="0.2">
      <c r="A697" s="7">
        <v>10</v>
      </c>
      <c r="B697" s="7">
        <v>15</v>
      </c>
      <c r="C697" s="7">
        <v>0</v>
      </c>
      <c r="D697" s="7">
        <v>0</v>
      </c>
      <c r="E697" s="7">
        <f t="shared" si="60"/>
        <v>25</v>
      </c>
      <c r="F697" s="11" t="e">
        <v>#N/A</v>
      </c>
      <c r="G697">
        <v>10</v>
      </c>
      <c r="H697">
        <v>18</v>
      </c>
      <c r="I697">
        <v>0</v>
      </c>
      <c r="J697">
        <v>5</v>
      </c>
      <c r="K697">
        <f t="shared" si="61"/>
        <v>33</v>
      </c>
      <c r="L697" t="s">
        <v>36</v>
      </c>
      <c r="M697">
        <v>17009.348948219998</v>
      </c>
      <c r="N697" s="7">
        <v>14</v>
      </c>
      <c r="O697" s="7">
        <v>22</v>
      </c>
      <c r="P697" s="7">
        <v>4</v>
      </c>
      <c r="Q697" s="7">
        <v>5</v>
      </c>
      <c r="R697" s="7">
        <f t="shared" si="62"/>
        <v>45</v>
      </c>
      <c r="S697" t="s">
        <v>36</v>
      </c>
      <c r="T697" s="7">
        <v>20</v>
      </c>
      <c r="U697" s="7">
        <v>36</v>
      </c>
      <c r="V697" s="7">
        <v>8</v>
      </c>
      <c r="W697" s="7">
        <v>5</v>
      </c>
      <c r="X697" s="7">
        <f t="shared" si="63"/>
        <v>69</v>
      </c>
      <c r="Y697" t="e">
        <v>#N/A</v>
      </c>
      <c r="Z697">
        <v>100184.61977284</v>
      </c>
      <c r="AA697" t="s">
        <v>336</v>
      </c>
      <c r="AB697">
        <v>32</v>
      </c>
      <c r="AC697">
        <v>74</v>
      </c>
      <c r="AD697" t="s">
        <v>260</v>
      </c>
      <c r="AE697" t="s">
        <v>41</v>
      </c>
      <c r="AF697">
        <v>124</v>
      </c>
      <c r="AG697" s="8">
        <v>196</v>
      </c>
      <c r="AH697">
        <v>24</v>
      </c>
      <c r="AI697">
        <v>44</v>
      </c>
      <c r="AJ697">
        <v>8</v>
      </c>
      <c r="AK697">
        <v>0.12244897959183673</v>
      </c>
      <c r="AL697">
        <v>1.7142857142857142</v>
      </c>
      <c r="AM697">
        <v>12</v>
      </c>
      <c r="AN697">
        <v>0</v>
      </c>
      <c r="AO697">
        <v>0.53333333333333333</v>
      </c>
      <c r="AP697">
        <v>0.96</v>
      </c>
      <c r="AQ697">
        <v>0</v>
      </c>
      <c r="AR697">
        <v>0.4</v>
      </c>
      <c r="AS697">
        <v>0.6</v>
      </c>
      <c r="AT697">
        <v>0</v>
      </c>
      <c r="AU697">
        <v>117193.96872106</v>
      </c>
      <c r="AV697">
        <v>21</v>
      </c>
      <c r="AW697">
        <f t="shared" si="64"/>
        <v>1</v>
      </c>
      <c r="AX697">
        <v>74</v>
      </c>
      <c r="AY697">
        <f t="shared" si="65"/>
        <v>1</v>
      </c>
      <c r="AZ697">
        <v>0.59677419354838712</v>
      </c>
      <c r="BA697">
        <v>1</v>
      </c>
      <c r="BB697">
        <v>2020</v>
      </c>
      <c r="BC697">
        <v>6</v>
      </c>
      <c r="BD697">
        <v>2020</v>
      </c>
      <c r="BE697">
        <v>1</v>
      </c>
      <c r="BF697">
        <v>2020</v>
      </c>
    </row>
    <row r="698" spans="1:58" x14ac:dyDescent="0.2">
      <c r="A698" s="7">
        <v>0</v>
      </c>
      <c r="B698" s="7">
        <v>0</v>
      </c>
      <c r="C698" s="7">
        <v>0</v>
      </c>
      <c r="D698" s="7">
        <v>0</v>
      </c>
      <c r="E698" s="7">
        <f t="shared" si="60"/>
        <v>0</v>
      </c>
      <c r="F698" s="11" t="e">
        <v>#N/A</v>
      </c>
      <c r="G698">
        <v>0</v>
      </c>
      <c r="H698">
        <v>0</v>
      </c>
      <c r="I698">
        <v>0</v>
      </c>
      <c r="J698">
        <v>0</v>
      </c>
      <c r="K698">
        <f t="shared" si="61"/>
        <v>0</v>
      </c>
      <c r="L698" t="e">
        <v>#N/A</v>
      </c>
      <c r="N698" s="7">
        <v>12</v>
      </c>
      <c r="O698" s="7">
        <v>11</v>
      </c>
      <c r="P698" s="7">
        <v>2</v>
      </c>
      <c r="Q698" s="7">
        <v>5</v>
      </c>
      <c r="R698" s="7">
        <f t="shared" si="62"/>
        <v>30</v>
      </c>
      <c r="S698" t="e">
        <v>#N/A</v>
      </c>
      <c r="T698" s="7">
        <v>13</v>
      </c>
      <c r="U698" s="7">
        <v>36</v>
      </c>
      <c r="V698" s="7">
        <v>7</v>
      </c>
      <c r="W698" s="7">
        <v>10</v>
      </c>
      <c r="X698" s="7">
        <f t="shared" si="63"/>
        <v>66</v>
      </c>
      <c r="Y698" t="e">
        <v>#N/A</v>
      </c>
      <c r="Z698">
        <v>124540.15469573</v>
      </c>
      <c r="AA698" t="s">
        <v>337</v>
      </c>
      <c r="AB698">
        <v>74</v>
      </c>
      <c r="AC698">
        <v>0</v>
      </c>
      <c r="AD698" t="s">
        <v>284</v>
      </c>
      <c r="AE698" t="s">
        <v>75</v>
      </c>
      <c r="AF698" t="e">
        <v>#N/A</v>
      </c>
      <c r="AG698" s="8">
        <v>162</v>
      </c>
      <c r="AH698">
        <v>36</v>
      </c>
      <c r="AI698">
        <v>66</v>
      </c>
      <c r="AJ698">
        <v>0</v>
      </c>
      <c r="AK698">
        <v>0.22222222222222221</v>
      </c>
      <c r="AL698">
        <v>2.8284271247461903</v>
      </c>
      <c r="AM698">
        <v>30</v>
      </c>
      <c r="AN698">
        <v>0</v>
      </c>
      <c r="AO698">
        <v>1.2</v>
      </c>
      <c r="AP698" t="e">
        <v>#N/A</v>
      </c>
      <c r="AQ698" t="e">
        <v>#N/A</v>
      </c>
      <c r="AR698" t="e">
        <v>#N/A</v>
      </c>
      <c r="AS698" t="e">
        <v>#N/A</v>
      </c>
      <c r="AT698" t="e">
        <v>#N/A</v>
      </c>
      <c r="AU698">
        <v>124540.15469573</v>
      </c>
      <c r="AV698">
        <v>14</v>
      </c>
      <c r="AW698">
        <f t="shared" si="64"/>
        <v>1</v>
      </c>
      <c r="AX698">
        <v>0</v>
      </c>
      <c r="AY698">
        <f t="shared" si="65"/>
        <v>0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>
        <v>3</v>
      </c>
      <c r="BF698">
        <v>2020</v>
      </c>
    </row>
    <row r="699" spans="1:58" x14ac:dyDescent="0.2">
      <c r="A699" s="7">
        <v>14</v>
      </c>
      <c r="B699" s="7">
        <v>35</v>
      </c>
      <c r="C699" s="7">
        <v>8</v>
      </c>
      <c r="D699" s="7">
        <v>6</v>
      </c>
      <c r="E699" s="7">
        <f t="shared" si="60"/>
        <v>63</v>
      </c>
      <c r="F699" s="11" t="e">
        <v>#N/A</v>
      </c>
      <c r="G699">
        <v>0</v>
      </c>
      <c r="H699">
        <v>11</v>
      </c>
      <c r="I699">
        <v>2</v>
      </c>
      <c r="J699">
        <v>3</v>
      </c>
      <c r="K699">
        <f t="shared" si="61"/>
        <v>16</v>
      </c>
      <c r="L699" t="e">
        <v>#N/A</v>
      </c>
      <c r="M699">
        <v>11378.244332</v>
      </c>
      <c r="N699" s="7">
        <v>19</v>
      </c>
      <c r="O699" s="7">
        <v>35</v>
      </c>
      <c r="P699" s="7">
        <v>9</v>
      </c>
      <c r="Q699" s="7">
        <v>20</v>
      </c>
      <c r="R699" s="7">
        <f t="shared" si="62"/>
        <v>83</v>
      </c>
      <c r="S699" t="e">
        <v>#N/A</v>
      </c>
      <c r="T699" s="7">
        <v>19</v>
      </c>
      <c r="U699" s="7">
        <v>35</v>
      </c>
      <c r="V699" s="7">
        <v>9</v>
      </c>
      <c r="W699" s="7">
        <v>20</v>
      </c>
      <c r="X699" s="7">
        <f t="shared" si="63"/>
        <v>83</v>
      </c>
      <c r="Y699" t="e">
        <v>#N/A</v>
      </c>
      <c r="Z699">
        <v>14570.09909356</v>
      </c>
      <c r="AA699" t="s">
        <v>338</v>
      </c>
      <c r="AB699">
        <v>64</v>
      </c>
      <c r="AC699">
        <v>0</v>
      </c>
      <c r="AD699" t="s">
        <v>131</v>
      </c>
      <c r="AE699" t="s">
        <v>41</v>
      </c>
      <c r="AF699">
        <v>49</v>
      </c>
      <c r="AG699" s="8">
        <v>0</v>
      </c>
      <c r="AH699">
        <v>0</v>
      </c>
      <c r="AI699">
        <v>20</v>
      </c>
      <c r="AJ699">
        <v>-47</v>
      </c>
      <c r="AK699" t="e">
        <v>#N/A</v>
      </c>
      <c r="AL699" t="e">
        <v>#N/A</v>
      </c>
      <c r="AM699">
        <v>67</v>
      </c>
      <c r="AN699">
        <v>0</v>
      </c>
      <c r="AO699">
        <v>0</v>
      </c>
      <c r="AP699">
        <v>0</v>
      </c>
      <c r="AQ699">
        <v>9.5238095238095233E-2</v>
      </c>
      <c r="AR699">
        <v>0.22222222222222221</v>
      </c>
      <c r="AS699">
        <v>0.55555555555555558</v>
      </c>
      <c r="AT699">
        <v>0.12698412698412698</v>
      </c>
      <c r="AU699">
        <v>25948.34342556</v>
      </c>
      <c r="AV699">
        <v>8</v>
      </c>
      <c r="AW699">
        <f t="shared" si="64"/>
        <v>0</v>
      </c>
      <c r="AX699">
        <v>0</v>
      </c>
      <c r="AY699">
        <f t="shared" si="65"/>
        <v>0</v>
      </c>
      <c r="AZ699">
        <v>0</v>
      </c>
      <c r="BA699">
        <v>1</v>
      </c>
      <c r="BB699">
        <v>2020</v>
      </c>
      <c r="BC699">
        <v>2</v>
      </c>
      <c r="BD699">
        <v>2020</v>
      </c>
      <c r="BE699">
        <v>3</v>
      </c>
      <c r="BF699">
        <v>2020</v>
      </c>
    </row>
    <row r="700" spans="1:58" x14ac:dyDescent="0.2">
      <c r="A700" s="7">
        <v>3</v>
      </c>
      <c r="B700" s="7">
        <v>10</v>
      </c>
      <c r="C700" s="7">
        <v>0</v>
      </c>
      <c r="D700" s="7">
        <v>0</v>
      </c>
      <c r="E700" s="7">
        <f t="shared" si="60"/>
        <v>13</v>
      </c>
      <c r="F700" s="11" t="s">
        <v>36</v>
      </c>
      <c r="G700">
        <v>3</v>
      </c>
      <c r="H700">
        <v>10</v>
      </c>
      <c r="I700">
        <v>0</v>
      </c>
      <c r="J700">
        <v>0</v>
      </c>
      <c r="K700">
        <f t="shared" si="61"/>
        <v>13</v>
      </c>
      <c r="L700" t="e">
        <v>#N/A</v>
      </c>
      <c r="M700">
        <v>29082.869345759998</v>
      </c>
      <c r="N700" s="7">
        <v>3</v>
      </c>
      <c r="O700" s="7">
        <v>18</v>
      </c>
      <c r="P700" s="7">
        <v>0</v>
      </c>
      <c r="Q700" s="7">
        <v>4</v>
      </c>
      <c r="R700" s="7">
        <f t="shared" si="62"/>
        <v>25</v>
      </c>
      <c r="S700" t="s">
        <v>36</v>
      </c>
      <c r="T700" s="7">
        <v>5</v>
      </c>
      <c r="U700" s="7">
        <v>21</v>
      </c>
      <c r="V700" s="7">
        <v>3</v>
      </c>
      <c r="W700" s="7">
        <v>6</v>
      </c>
      <c r="X700" s="7">
        <f t="shared" si="63"/>
        <v>35</v>
      </c>
      <c r="Y700" t="e">
        <v>#N/A</v>
      </c>
      <c r="Z700">
        <v>251046.96073610999</v>
      </c>
      <c r="AA700" t="s">
        <v>339</v>
      </c>
      <c r="AB700">
        <v>22</v>
      </c>
      <c r="AC700">
        <v>384</v>
      </c>
      <c r="AD700" t="s">
        <v>254</v>
      </c>
      <c r="AE700" t="s">
        <v>41</v>
      </c>
      <c r="AF700">
        <v>334</v>
      </c>
      <c r="AG700" s="8">
        <v>313</v>
      </c>
      <c r="AH700">
        <v>10</v>
      </c>
      <c r="AI700">
        <v>22</v>
      </c>
      <c r="AJ700">
        <v>0</v>
      </c>
      <c r="AK700">
        <v>3.1948881789137379E-2</v>
      </c>
      <c r="AL700">
        <v>0.56523341894422152</v>
      </c>
      <c r="AM700">
        <v>12</v>
      </c>
      <c r="AN700">
        <v>0</v>
      </c>
      <c r="AO700">
        <v>0.4</v>
      </c>
      <c r="AP700">
        <v>0.76923076923076927</v>
      </c>
      <c r="AQ700">
        <v>0</v>
      </c>
      <c r="AR700">
        <v>0.23076923076923078</v>
      </c>
      <c r="AS700">
        <v>0.76923076923076927</v>
      </c>
      <c r="AT700">
        <v>0</v>
      </c>
      <c r="AU700">
        <v>280129.83008186996</v>
      </c>
      <c r="AV700">
        <v>11</v>
      </c>
      <c r="AW700">
        <f t="shared" si="64"/>
        <v>1</v>
      </c>
      <c r="AX700">
        <v>384</v>
      </c>
      <c r="AY700">
        <f t="shared" si="65"/>
        <v>1</v>
      </c>
      <c r="AZ700">
        <v>1.1497005988023952</v>
      </c>
      <c r="BA700">
        <v>1</v>
      </c>
      <c r="BB700">
        <v>2020</v>
      </c>
      <c r="BC700">
        <v>12</v>
      </c>
      <c r="BD700">
        <v>2020</v>
      </c>
      <c r="BE700">
        <v>1</v>
      </c>
      <c r="BF700">
        <v>2020</v>
      </c>
    </row>
    <row r="701" spans="1:58" x14ac:dyDescent="0.2">
      <c r="A701" s="7">
        <v>4</v>
      </c>
      <c r="B701" s="7">
        <v>8</v>
      </c>
      <c r="C701" s="7">
        <v>0</v>
      </c>
      <c r="D701" s="7">
        <v>0</v>
      </c>
      <c r="E701" s="7">
        <f t="shared" si="60"/>
        <v>12</v>
      </c>
      <c r="F701" s="11" t="s">
        <v>55</v>
      </c>
      <c r="G701">
        <v>6</v>
      </c>
      <c r="H701">
        <v>6</v>
      </c>
      <c r="I701">
        <v>0</v>
      </c>
      <c r="J701">
        <v>0</v>
      </c>
      <c r="K701">
        <f t="shared" si="61"/>
        <v>12</v>
      </c>
      <c r="L701" t="e">
        <v>#N/A</v>
      </c>
      <c r="M701">
        <v>34484.837681330013</v>
      </c>
      <c r="N701" s="7">
        <v>4</v>
      </c>
      <c r="O701" s="7">
        <v>10</v>
      </c>
      <c r="P701" s="7">
        <v>0</v>
      </c>
      <c r="Q701" s="7">
        <v>0</v>
      </c>
      <c r="R701" s="7">
        <f t="shared" si="62"/>
        <v>14</v>
      </c>
      <c r="S701" t="e">
        <v>#N/A</v>
      </c>
      <c r="T701" s="7">
        <v>9</v>
      </c>
      <c r="U701" s="7">
        <v>10</v>
      </c>
      <c r="V701" s="7">
        <v>0</v>
      </c>
      <c r="W701" s="7">
        <v>5</v>
      </c>
      <c r="X701" s="7">
        <f t="shared" si="63"/>
        <v>24</v>
      </c>
      <c r="Y701" t="e">
        <v>#N/A</v>
      </c>
      <c r="Z701">
        <v>281022.65761276003</v>
      </c>
      <c r="AA701" t="s">
        <v>340</v>
      </c>
      <c r="AB701">
        <v>68</v>
      </c>
      <c r="AC701">
        <v>25</v>
      </c>
      <c r="AD701" t="s">
        <v>241</v>
      </c>
      <c r="AE701" t="s">
        <v>41</v>
      </c>
      <c r="AF701">
        <v>72</v>
      </c>
      <c r="AG701" s="8">
        <v>158</v>
      </c>
      <c r="AH701">
        <v>10</v>
      </c>
      <c r="AI701">
        <v>12</v>
      </c>
      <c r="AJ701">
        <v>0</v>
      </c>
      <c r="AK701">
        <v>6.3291139240506333E-2</v>
      </c>
      <c r="AL701">
        <v>0.79555728417573002</v>
      </c>
      <c r="AM701">
        <v>2</v>
      </c>
      <c r="AN701">
        <v>0</v>
      </c>
      <c r="AO701">
        <v>0.7142857142857143</v>
      </c>
      <c r="AP701">
        <v>0.83333333333333337</v>
      </c>
      <c r="AQ701">
        <v>0</v>
      </c>
      <c r="AR701">
        <v>0.33333333333333331</v>
      </c>
      <c r="AS701">
        <v>0.66666666666666663</v>
      </c>
      <c r="AT701">
        <v>0</v>
      </c>
      <c r="AU701">
        <v>315507.49529409001</v>
      </c>
      <c r="AV701">
        <v>22</v>
      </c>
      <c r="AW701">
        <f t="shared" si="64"/>
        <v>1</v>
      </c>
      <c r="AX701">
        <v>25</v>
      </c>
      <c r="AY701">
        <f t="shared" si="65"/>
        <v>1</v>
      </c>
      <c r="AZ701">
        <v>0.34722222222222221</v>
      </c>
      <c r="BA701">
        <v>1</v>
      </c>
      <c r="BB701">
        <v>2020</v>
      </c>
      <c r="BC701">
        <v>3</v>
      </c>
      <c r="BD701">
        <v>2020</v>
      </c>
      <c r="BE701">
        <v>1</v>
      </c>
      <c r="BF701">
        <v>2020</v>
      </c>
    </row>
    <row r="702" spans="1:58" x14ac:dyDescent="0.2">
      <c r="A702" s="7">
        <v>8</v>
      </c>
      <c r="B702" s="7">
        <v>10</v>
      </c>
      <c r="C702" s="7">
        <v>0</v>
      </c>
      <c r="D702" s="7">
        <v>0</v>
      </c>
      <c r="E702" s="7">
        <f t="shared" si="60"/>
        <v>18</v>
      </c>
      <c r="F702" s="11" t="e">
        <v>#N/A</v>
      </c>
      <c r="G702">
        <v>8</v>
      </c>
      <c r="H702">
        <v>10</v>
      </c>
      <c r="I702">
        <v>0</v>
      </c>
      <c r="J702">
        <v>0</v>
      </c>
      <c r="K702">
        <f t="shared" si="61"/>
        <v>18</v>
      </c>
      <c r="L702" t="e">
        <v>#N/A</v>
      </c>
      <c r="M702">
        <v>19563.584763610001</v>
      </c>
      <c r="N702" s="7">
        <v>8</v>
      </c>
      <c r="O702" s="7">
        <v>6</v>
      </c>
      <c r="P702" s="7">
        <v>0</v>
      </c>
      <c r="Q702" s="7">
        <v>0</v>
      </c>
      <c r="R702" s="7">
        <f t="shared" si="62"/>
        <v>14</v>
      </c>
      <c r="S702" t="e">
        <v>#N/A</v>
      </c>
      <c r="T702" s="7">
        <v>11</v>
      </c>
      <c r="U702" s="7">
        <v>21</v>
      </c>
      <c r="V702" s="7">
        <v>8</v>
      </c>
      <c r="W702" s="7">
        <v>3</v>
      </c>
      <c r="X702" s="7">
        <f t="shared" si="63"/>
        <v>43</v>
      </c>
      <c r="Y702" t="e">
        <v>#N/A</v>
      </c>
      <c r="Z702">
        <v>160847.99892332</v>
      </c>
      <c r="AA702" t="s">
        <v>341</v>
      </c>
      <c r="AB702">
        <v>66</v>
      </c>
      <c r="AC702">
        <v>0</v>
      </c>
      <c r="AD702" t="s">
        <v>241</v>
      </c>
      <c r="AE702" t="s">
        <v>41</v>
      </c>
      <c r="AF702">
        <v>75</v>
      </c>
      <c r="AG702" s="8">
        <v>6</v>
      </c>
      <c r="AH702">
        <v>29</v>
      </c>
      <c r="AI702">
        <v>25</v>
      </c>
      <c r="AJ702">
        <v>0</v>
      </c>
      <c r="AK702">
        <v>4.833333333333333</v>
      </c>
      <c r="AL702">
        <v>11.839200423452029</v>
      </c>
      <c r="AM702">
        <v>-4</v>
      </c>
      <c r="AN702">
        <v>1</v>
      </c>
      <c r="AO702">
        <v>2.0714285714285716</v>
      </c>
      <c r="AP702">
        <v>1.6111111111111112</v>
      </c>
      <c r="AQ702">
        <v>0</v>
      </c>
      <c r="AR702">
        <v>0.44444444444444442</v>
      </c>
      <c r="AS702">
        <v>0.55555555555555558</v>
      </c>
      <c r="AT702">
        <v>0</v>
      </c>
      <c r="AU702">
        <v>180411.58368693001</v>
      </c>
      <c r="AV702">
        <v>11</v>
      </c>
      <c r="AW702">
        <f t="shared" si="64"/>
        <v>1</v>
      </c>
      <c r="AX702">
        <v>0</v>
      </c>
      <c r="AY702">
        <f t="shared" si="65"/>
        <v>0</v>
      </c>
      <c r="AZ702">
        <v>0</v>
      </c>
      <c r="BA702">
        <v>1</v>
      </c>
      <c r="BB702">
        <v>2020</v>
      </c>
      <c r="BC702">
        <v>3</v>
      </c>
      <c r="BD702">
        <v>2020</v>
      </c>
      <c r="BE702">
        <v>1</v>
      </c>
      <c r="BF702">
        <v>2020</v>
      </c>
    </row>
    <row r="703" spans="1:58" x14ac:dyDescent="0.2">
      <c r="A703" s="7">
        <v>0</v>
      </c>
      <c r="B703" s="7">
        <v>4</v>
      </c>
      <c r="C703" s="7">
        <v>0</v>
      </c>
      <c r="D703" s="7">
        <v>0</v>
      </c>
      <c r="E703" s="7">
        <f t="shared" si="60"/>
        <v>4</v>
      </c>
      <c r="F703" s="11" t="e">
        <v>#N/A</v>
      </c>
      <c r="G703">
        <v>0</v>
      </c>
      <c r="H703">
        <v>4</v>
      </c>
      <c r="I703">
        <v>0</v>
      </c>
      <c r="J703">
        <v>0</v>
      </c>
      <c r="K703">
        <f t="shared" si="61"/>
        <v>4</v>
      </c>
      <c r="L703" t="e">
        <v>#N/A</v>
      </c>
      <c r="M703">
        <v>51374.624687210002</v>
      </c>
      <c r="N703" s="7">
        <v>20</v>
      </c>
      <c r="O703" s="7">
        <v>36</v>
      </c>
      <c r="P703" s="7">
        <v>8</v>
      </c>
      <c r="Q703" s="7">
        <v>6</v>
      </c>
      <c r="R703" s="7">
        <f t="shared" si="62"/>
        <v>70</v>
      </c>
      <c r="S703" t="e">
        <v>#N/A</v>
      </c>
      <c r="T703" s="7">
        <v>20</v>
      </c>
      <c r="U703" s="7">
        <v>36</v>
      </c>
      <c r="V703" s="7">
        <v>9</v>
      </c>
      <c r="W703" s="7">
        <v>27</v>
      </c>
      <c r="X703" s="7">
        <f t="shared" si="63"/>
        <v>92</v>
      </c>
      <c r="Y703" t="e">
        <v>#N/A</v>
      </c>
      <c r="Z703">
        <v>31663.153417730009</v>
      </c>
      <c r="AA703" t="s">
        <v>342</v>
      </c>
      <c r="AB703">
        <v>56</v>
      </c>
      <c r="AC703">
        <v>599</v>
      </c>
      <c r="AD703" t="s">
        <v>187</v>
      </c>
      <c r="AE703" t="s">
        <v>75</v>
      </c>
      <c r="AF703">
        <v>11</v>
      </c>
      <c r="AG703" s="8">
        <v>117</v>
      </c>
      <c r="AH703">
        <v>22</v>
      </c>
      <c r="AI703">
        <v>88</v>
      </c>
      <c r="AJ703">
        <v>0</v>
      </c>
      <c r="AK703">
        <v>0.18803418803418803</v>
      </c>
      <c r="AL703">
        <v>2.0339007194925065</v>
      </c>
      <c r="AM703">
        <v>66</v>
      </c>
      <c r="AN703">
        <v>0</v>
      </c>
      <c r="AO703">
        <v>0.31428571428571428</v>
      </c>
      <c r="AP703">
        <v>5.5</v>
      </c>
      <c r="AQ703">
        <v>0</v>
      </c>
      <c r="AR703">
        <v>0</v>
      </c>
      <c r="AS703">
        <v>1</v>
      </c>
      <c r="AT703">
        <v>0</v>
      </c>
      <c r="AU703">
        <v>83037.778104940007</v>
      </c>
      <c r="AV703">
        <v>7</v>
      </c>
      <c r="AW703">
        <f t="shared" si="64"/>
        <v>0</v>
      </c>
      <c r="AX703">
        <v>599</v>
      </c>
      <c r="AY703">
        <f t="shared" si="65"/>
        <v>1</v>
      </c>
      <c r="AZ703">
        <v>54.454545454545453</v>
      </c>
      <c r="BA703">
        <v>2</v>
      </c>
      <c r="BB703">
        <v>2020</v>
      </c>
      <c r="BC703">
        <v>2</v>
      </c>
      <c r="BD703">
        <v>2020</v>
      </c>
      <c r="BE703">
        <v>1</v>
      </c>
      <c r="BF703">
        <v>2020</v>
      </c>
    </row>
    <row r="704" spans="1:58" x14ac:dyDescent="0.2">
      <c r="A704" s="7">
        <v>0</v>
      </c>
      <c r="B704" s="7">
        <v>8</v>
      </c>
      <c r="C704" s="7">
        <v>0</v>
      </c>
      <c r="D704" s="7">
        <v>0</v>
      </c>
      <c r="E704" s="7">
        <f t="shared" si="60"/>
        <v>8</v>
      </c>
      <c r="F704" s="11" t="e">
        <v>#N/A</v>
      </c>
      <c r="G704">
        <v>0</v>
      </c>
      <c r="H704">
        <v>8</v>
      </c>
      <c r="I704">
        <v>0</v>
      </c>
      <c r="J704">
        <v>0</v>
      </c>
      <c r="K704">
        <f t="shared" si="61"/>
        <v>8</v>
      </c>
      <c r="L704" t="e">
        <v>#N/A</v>
      </c>
      <c r="M704">
        <v>32412.713064420001</v>
      </c>
      <c r="N704" s="7">
        <v>0</v>
      </c>
      <c r="O704" s="7">
        <v>16</v>
      </c>
      <c r="P704" s="7">
        <v>0</v>
      </c>
      <c r="Q704" s="7">
        <v>2</v>
      </c>
      <c r="R704" s="7">
        <f t="shared" si="62"/>
        <v>18</v>
      </c>
      <c r="S704" t="e">
        <v>#N/A</v>
      </c>
      <c r="T704" s="7">
        <v>2</v>
      </c>
      <c r="U704" s="7">
        <v>16</v>
      </c>
      <c r="V704" s="7">
        <v>0</v>
      </c>
      <c r="W704" s="7">
        <v>5</v>
      </c>
      <c r="X704" s="7">
        <f t="shared" si="63"/>
        <v>23</v>
      </c>
      <c r="Y704" t="e">
        <v>#N/A</v>
      </c>
      <c r="Z704">
        <v>213131.77987326999</v>
      </c>
      <c r="AA704" t="s">
        <v>343</v>
      </c>
      <c r="AB704">
        <v>48</v>
      </c>
      <c r="AC704">
        <v>227</v>
      </c>
      <c r="AD704" t="s">
        <v>344</v>
      </c>
      <c r="AE704" t="s">
        <v>41</v>
      </c>
      <c r="AF704" t="e">
        <v>#N/A</v>
      </c>
      <c r="AG704" s="8">
        <v>269</v>
      </c>
      <c r="AH704">
        <v>5</v>
      </c>
      <c r="AI704">
        <v>15</v>
      </c>
      <c r="AJ704">
        <v>0</v>
      </c>
      <c r="AK704">
        <v>1.858736059479554E-2</v>
      </c>
      <c r="AL704">
        <v>0.30485538042484617</v>
      </c>
      <c r="AM704">
        <v>10</v>
      </c>
      <c r="AN704">
        <v>0</v>
      </c>
      <c r="AO704">
        <v>0.27777777777777779</v>
      </c>
      <c r="AP704">
        <v>0.625</v>
      </c>
      <c r="AQ704">
        <v>0</v>
      </c>
      <c r="AR704">
        <v>0</v>
      </c>
      <c r="AS704">
        <v>1</v>
      </c>
      <c r="AT704">
        <v>0</v>
      </c>
      <c r="AU704">
        <v>245544.49293769</v>
      </c>
      <c r="AV704">
        <v>19</v>
      </c>
      <c r="AW704">
        <f t="shared" si="64"/>
        <v>1</v>
      </c>
      <c r="AX704">
        <v>227</v>
      </c>
      <c r="AY704">
        <f t="shared" si="65"/>
        <v>1</v>
      </c>
      <c r="AZ704" t="e">
        <v>#N/A</v>
      </c>
      <c r="BA704">
        <v>2</v>
      </c>
      <c r="BB704">
        <v>2020</v>
      </c>
      <c r="BC704">
        <v>2</v>
      </c>
      <c r="BD704">
        <v>2020</v>
      </c>
      <c r="BE704">
        <v>1</v>
      </c>
      <c r="BF704">
        <v>2020</v>
      </c>
    </row>
    <row r="705" spans="1:58" x14ac:dyDescent="0.2">
      <c r="A705" s="7">
        <v>2</v>
      </c>
      <c r="B705" s="7">
        <v>15</v>
      </c>
      <c r="C705" s="7">
        <v>0</v>
      </c>
      <c r="D705" s="7">
        <v>0</v>
      </c>
      <c r="E705" s="7">
        <f t="shared" si="60"/>
        <v>17</v>
      </c>
      <c r="F705" s="11" t="e">
        <v>#N/A</v>
      </c>
      <c r="G705">
        <v>2</v>
      </c>
      <c r="H705">
        <v>15</v>
      </c>
      <c r="I705">
        <v>0</v>
      </c>
      <c r="J705">
        <v>0</v>
      </c>
      <c r="K705">
        <f t="shared" si="61"/>
        <v>17</v>
      </c>
      <c r="L705" t="e">
        <v>#N/A</v>
      </c>
      <c r="M705">
        <v>17190.75446163</v>
      </c>
      <c r="N705" s="7">
        <v>6</v>
      </c>
      <c r="O705" s="7">
        <v>15</v>
      </c>
      <c r="P705" s="7">
        <v>5</v>
      </c>
      <c r="Q705" s="7">
        <v>3</v>
      </c>
      <c r="R705" s="7">
        <f t="shared" si="62"/>
        <v>29</v>
      </c>
      <c r="S705" t="e">
        <v>#N/A</v>
      </c>
      <c r="T705" s="7">
        <v>20</v>
      </c>
      <c r="U705" s="7">
        <v>40</v>
      </c>
      <c r="V705" s="7">
        <v>9</v>
      </c>
      <c r="W705" s="7">
        <v>10</v>
      </c>
      <c r="X705" s="7">
        <f t="shared" si="63"/>
        <v>79</v>
      </c>
      <c r="Y705" t="e">
        <v>#N/A</v>
      </c>
      <c r="Z705">
        <v>149510.69972460001</v>
      </c>
      <c r="AA705" t="s">
        <v>345</v>
      </c>
      <c r="AB705">
        <v>71</v>
      </c>
      <c r="AC705">
        <v>0</v>
      </c>
      <c r="AD705" t="s">
        <v>254</v>
      </c>
      <c r="AE705" t="s">
        <v>41</v>
      </c>
      <c r="AF705">
        <v>72</v>
      </c>
      <c r="AG705" s="8">
        <v>256</v>
      </c>
      <c r="AH705">
        <v>50</v>
      </c>
      <c r="AI705">
        <v>62</v>
      </c>
      <c r="AJ705">
        <v>0</v>
      </c>
      <c r="AK705">
        <v>0.1953125</v>
      </c>
      <c r="AL705">
        <v>3.125</v>
      </c>
      <c r="AM705">
        <v>12</v>
      </c>
      <c r="AN705">
        <v>0</v>
      </c>
      <c r="AO705">
        <v>1.7241379310344827</v>
      </c>
      <c r="AP705">
        <v>2.9411764705882355</v>
      </c>
      <c r="AQ705">
        <v>0</v>
      </c>
      <c r="AR705">
        <v>0.11764705882352941</v>
      </c>
      <c r="AS705">
        <v>0.88235294117647056</v>
      </c>
      <c r="AT705">
        <v>0</v>
      </c>
      <c r="AU705">
        <v>166701.45418623002</v>
      </c>
      <c r="AV705">
        <v>9</v>
      </c>
      <c r="AW705">
        <f t="shared" si="64"/>
        <v>0</v>
      </c>
      <c r="AX705">
        <v>0</v>
      </c>
      <c r="AY705">
        <f t="shared" si="65"/>
        <v>0</v>
      </c>
      <c r="AZ705">
        <v>0</v>
      </c>
      <c r="BA705">
        <v>2</v>
      </c>
      <c r="BB705">
        <v>2020</v>
      </c>
      <c r="BC705">
        <v>5</v>
      </c>
      <c r="BD705">
        <v>2020</v>
      </c>
      <c r="BE705">
        <v>1</v>
      </c>
      <c r="BF705">
        <v>2020</v>
      </c>
    </row>
    <row r="706" spans="1:58" x14ac:dyDescent="0.2">
      <c r="A706" s="7">
        <v>8</v>
      </c>
      <c r="B706" s="7">
        <v>30</v>
      </c>
      <c r="C706" s="7">
        <v>6</v>
      </c>
      <c r="D706" s="7">
        <v>0</v>
      </c>
      <c r="E706" s="7">
        <f t="shared" ref="E706:E769" si="66">SUM(A706,B706,C706,D706)</f>
        <v>44</v>
      </c>
      <c r="F706" s="11" t="e">
        <v>#N/A</v>
      </c>
      <c r="G706">
        <v>9</v>
      </c>
      <c r="H706">
        <v>30</v>
      </c>
      <c r="I706">
        <v>8</v>
      </c>
      <c r="J706">
        <v>1</v>
      </c>
      <c r="K706">
        <f t="shared" ref="K706:K769" si="67">SUM(G706,H706,I706,J706)</f>
        <v>48</v>
      </c>
      <c r="L706" t="s">
        <v>36</v>
      </c>
      <c r="M706">
        <v>17129.106380000001</v>
      </c>
      <c r="N706" s="7">
        <v>10</v>
      </c>
      <c r="O706" s="7">
        <v>30</v>
      </c>
      <c r="P706" s="7">
        <v>8</v>
      </c>
      <c r="Q706" s="7">
        <v>6</v>
      </c>
      <c r="R706" s="7">
        <f t="shared" ref="R706:R769" si="68">SUM(N706,O706,P706,Q706)</f>
        <v>54</v>
      </c>
      <c r="S706" t="s">
        <v>39</v>
      </c>
      <c r="T706" s="7">
        <v>9</v>
      </c>
      <c r="U706" s="7">
        <v>30</v>
      </c>
      <c r="V706" s="7">
        <v>8</v>
      </c>
      <c r="W706" s="7">
        <v>6</v>
      </c>
      <c r="X706" s="7">
        <f t="shared" ref="X706:X769" si="69">SUM(T706,U706,V706,W706)</f>
        <v>53</v>
      </c>
      <c r="Y706" t="s">
        <v>36</v>
      </c>
      <c r="Z706">
        <v>58324.711788340013</v>
      </c>
      <c r="AA706" t="s">
        <v>346</v>
      </c>
      <c r="AB706">
        <v>60</v>
      </c>
      <c r="AC706">
        <v>122</v>
      </c>
      <c r="AD706" t="s">
        <v>46</v>
      </c>
      <c r="AE706" t="s">
        <v>41</v>
      </c>
      <c r="AF706">
        <v>89</v>
      </c>
      <c r="AG706" s="8">
        <v>1</v>
      </c>
      <c r="AH706">
        <v>-1</v>
      </c>
      <c r="AI706">
        <v>9</v>
      </c>
      <c r="AJ706">
        <v>4</v>
      </c>
      <c r="AK706">
        <v>-1</v>
      </c>
      <c r="AL706">
        <v>-1</v>
      </c>
      <c r="AM706">
        <v>6</v>
      </c>
      <c r="AN706">
        <v>0</v>
      </c>
      <c r="AO706">
        <v>-1.8518518518518517E-2</v>
      </c>
      <c r="AP706">
        <v>-2.2727272727272728E-2</v>
      </c>
      <c r="AQ706">
        <v>0</v>
      </c>
      <c r="AR706">
        <v>0.18181818181818182</v>
      </c>
      <c r="AS706">
        <v>0.68181818181818177</v>
      </c>
      <c r="AT706">
        <v>0.13636363636363635</v>
      </c>
      <c r="AU706">
        <v>75453.818168340018</v>
      </c>
      <c r="AV706">
        <v>16</v>
      </c>
      <c r="AW706">
        <f t="shared" si="64"/>
        <v>1</v>
      </c>
      <c r="AX706">
        <v>122</v>
      </c>
      <c r="AY706">
        <f t="shared" si="65"/>
        <v>1</v>
      </c>
      <c r="AZ706">
        <v>1.3707865168539326</v>
      </c>
      <c r="BA706">
        <v>2</v>
      </c>
      <c r="BB706">
        <v>2020</v>
      </c>
      <c r="BC706">
        <v>5</v>
      </c>
      <c r="BD706">
        <v>2020</v>
      </c>
      <c r="BE706">
        <v>1</v>
      </c>
      <c r="BF706">
        <v>2020</v>
      </c>
    </row>
    <row r="707" spans="1:58" x14ac:dyDescent="0.2">
      <c r="A707" s="7">
        <v>0</v>
      </c>
      <c r="B707" s="7">
        <v>0</v>
      </c>
      <c r="C707" s="7">
        <v>0</v>
      </c>
      <c r="D707" s="7">
        <v>0</v>
      </c>
      <c r="E707" s="7">
        <f t="shared" si="66"/>
        <v>0</v>
      </c>
      <c r="F707" s="11" t="e">
        <v>#N/A</v>
      </c>
      <c r="G707">
        <v>0</v>
      </c>
      <c r="H707">
        <v>0</v>
      </c>
      <c r="I707">
        <v>0</v>
      </c>
      <c r="J707">
        <v>0</v>
      </c>
      <c r="K707">
        <f t="shared" si="67"/>
        <v>0</v>
      </c>
      <c r="L707" t="e">
        <v>#N/A</v>
      </c>
      <c r="M707">
        <v>40247.668036659998</v>
      </c>
      <c r="N707" s="7">
        <v>0</v>
      </c>
      <c r="O707" s="7">
        <v>9</v>
      </c>
      <c r="P707" s="7">
        <v>0</v>
      </c>
      <c r="Q707" s="7">
        <v>0</v>
      </c>
      <c r="R707" s="7">
        <f t="shared" si="68"/>
        <v>9</v>
      </c>
      <c r="S707" t="e">
        <v>#N/A</v>
      </c>
      <c r="T707" s="7">
        <v>3</v>
      </c>
      <c r="U707" s="7">
        <v>17</v>
      </c>
      <c r="V707" s="7">
        <v>0</v>
      </c>
      <c r="W707" s="7">
        <v>3</v>
      </c>
      <c r="X707" s="7">
        <f t="shared" si="69"/>
        <v>23</v>
      </c>
      <c r="Y707" t="e">
        <v>#N/A</v>
      </c>
      <c r="Z707">
        <v>259069.58966974</v>
      </c>
      <c r="AA707" t="s">
        <v>347</v>
      </c>
      <c r="AB707">
        <v>51</v>
      </c>
      <c r="AC707">
        <v>402</v>
      </c>
      <c r="AD707" t="s">
        <v>248</v>
      </c>
      <c r="AE707" t="s">
        <v>41</v>
      </c>
      <c r="AF707">
        <v>21</v>
      </c>
      <c r="AG707" s="8">
        <v>318</v>
      </c>
      <c r="AH707">
        <v>14</v>
      </c>
      <c r="AI707">
        <v>23</v>
      </c>
      <c r="AJ707">
        <v>0</v>
      </c>
      <c r="AK707">
        <v>4.40251572327044E-2</v>
      </c>
      <c r="AL707">
        <v>0.78508101572886202</v>
      </c>
      <c r="AM707">
        <v>9</v>
      </c>
      <c r="AN707">
        <v>0</v>
      </c>
      <c r="AO707">
        <v>1.5555555555555556</v>
      </c>
      <c r="AP707" t="e">
        <v>#N/A</v>
      </c>
      <c r="AQ707" t="e">
        <v>#N/A</v>
      </c>
      <c r="AR707" t="e">
        <v>#N/A</v>
      </c>
      <c r="AS707" t="e">
        <v>#N/A</v>
      </c>
      <c r="AT707" t="e">
        <v>#N/A</v>
      </c>
      <c r="AU707">
        <v>299317.25770640001</v>
      </c>
      <c r="AV707">
        <v>12</v>
      </c>
      <c r="AW707">
        <f t="shared" ref="AW707:AW770" si="70">IF(AV707="n/a","n/a",IF(AV707&gt;=10,1,0))</f>
        <v>1</v>
      </c>
      <c r="AX707">
        <v>402</v>
      </c>
      <c r="AY707">
        <f t="shared" ref="AY707:AY770" si="71">IF(
  ISBLANK(AX707),
  NA(),
  IF(AX707&gt;0, 1, 0)
)</f>
        <v>1</v>
      </c>
      <c r="AZ707">
        <v>19.142857142857142</v>
      </c>
      <c r="BA707">
        <v>2</v>
      </c>
      <c r="BB707">
        <v>2020</v>
      </c>
      <c r="BC707">
        <v>2</v>
      </c>
      <c r="BD707">
        <v>2020</v>
      </c>
      <c r="BE707">
        <v>1</v>
      </c>
      <c r="BF707">
        <v>2020</v>
      </c>
    </row>
    <row r="708" spans="1:58" x14ac:dyDescent="0.2">
      <c r="A708" s="7">
        <v>7</v>
      </c>
      <c r="B708" s="7">
        <v>20</v>
      </c>
      <c r="C708" s="7">
        <v>0</v>
      </c>
      <c r="D708" s="7">
        <v>0</v>
      </c>
      <c r="E708" s="7">
        <f t="shared" si="66"/>
        <v>27</v>
      </c>
      <c r="F708" s="11" t="e">
        <v>#N/A</v>
      </c>
      <c r="G708">
        <v>0</v>
      </c>
      <c r="H708">
        <v>8</v>
      </c>
      <c r="I708">
        <v>2</v>
      </c>
      <c r="J708">
        <v>0</v>
      </c>
      <c r="K708">
        <f t="shared" si="67"/>
        <v>10</v>
      </c>
      <c r="L708" t="e">
        <v>#N/A</v>
      </c>
      <c r="M708">
        <v>20628.689557230002</v>
      </c>
      <c r="N708" s="7">
        <v>10</v>
      </c>
      <c r="O708" s="7">
        <v>31</v>
      </c>
      <c r="P708" s="7">
        <v>9</v>
      </c>
      <c r="Q708" s="7">
        <v>5</v>
      </c>
      <c r="R708" s="7">
        <f t="shared" si="68"/>
        <v>55</v>
      </c>
      <c r="S708" t="e">
        <v>#N/A</v>
      </c>
      <c r="T708" s="7">
        <v>20</v>
      </c>
      <c r="U708" s="7">
        <v>40</v>
      </c>
      <c r="V708" s="7">
        <v>9</v>
      </c>
      <c r="W708" s="7">
        <v>30</v>
      </c>
      <c r="X708" s="7">
        <f t="shared" si="69"/>
        <v>99</v>
      </c>
      <c r="Y708" t="e">
        <v>#N/A</v>
      </c>
      <c r="Z708">
        <v>87084.36102365001</v>
      </c>
      <c r="AA708" t="s">
        <v>348</v>
      </c>
      <c r="AB708">
        <v>64</v>
      </c>
      <c r="AC708">
        <v>166</v>
      </c>
      <c r="AD708" t="s">
        <v>254</v>
      </c>
      <c r="AE708" t="s">
        <v>41</v>
      </c>
      <c r="AF708">
        <v>24</v>
      </c>
      <c r="AG708" s="8">
        <v>155</v>
      </c>
      <c r="AH708">
        <v>44</v>
      </c>
      <c r="AI708">
        <v>72</v>
      </c>
      <c r="AJ708">
        <v>-17</v>
      </c>
      <c r="AK708">
        <v>0.28387096774193549</v>
      </c>
      <c r="AL708">
        <v>3.5341650471709949</v>
      </c>
      <c r="AM708">
        <v>45</v>
      </c>
      <c r="AN708">
        <v>0</v>
      </c>
      <c r="AO708">
        <v>0.8</v>
      </c>
      <c r="AP708">
        <v>1.6296296296296295</v>
      </c>
      <c r="AQ708">
        <v>0</v>
      </c>
      <c r="AR708">
        <v>0.25925925925925924</v>
      </c>
      <c r="AS708">
        <v>0.7407407407407407</v>
      </c>
      <c r="AT708">
        <v>0</v>
      </c>
      <c r="AU708">
        <v>107713.05058088001</v>
      </c>
      <c r="AV708">
        <v>7</v>
      </c>
      <c r="AW708">
        <f t="shared" si="70"/>
        <v>0</v>
      </c>
      <c r="AX708">
        <v>166</v>
      </c>
      <c r="AY708">
        <f t="shared" si="71"/>
        <v>1</v>
      </c>
      <c r="AZ708">
        <v>6.916666666666667</v>
      </c>
      <c r="BA708">
        <v>2</v>
      </c>
      <c r="BB708">
        <v>2020</v>
      </c>
      <c r="BC708">
        <v>2</v>
      </c>
      <c r="BD708">
        <v>2020</v>
      </c>
      <c r="BE708">
        <v>1</v>
      </c>
      <c r="BF708">
        <v>2020</v>
      </c>
    </row>
    <row r="709" spans="1:58" x14ac:dyDescent="0.2">
      <c r="A709" s="7">
        <v>0</v>
      </c>
      <c r="B709" s="7">
        <v>0</v>
      </c>
      <c r="C709" s="7">
        <v>0</v>
      </c>
      <c r="D709" s="7">
        <v>0</v>
      </c>
      <c r="E709" s="7">
        <f t="shared" si="66"/>
        <v>0</v>
      </c>
      <c r="F709" s="11" t="e">
        <v>#N/A</v>
      </c>
      <c r="G709">
        <v>0</v>
      </c>
      <c r="H709">
        <v>0</v>
      </c>
      <c r="I709">
        <v>0</v>
      </c>
      <c r="J709">
        <v>0</v>
      </c>
      <c r="K709">
        <f t="shared" si="67"/>
        <v>0</v>
      </c>
      <c r="L709" t="e">
        <v>#N/A</v>
      </c>
      <c r="M709">
        <v>58178.422258999999</v>
      </c>
      <c r="N709" s="7">
        <v>1</v>
      </c>
      <c r="O709" s="7">
        <v>13</v>
      </c>
      <c r="P709" s="7">
        <v>0</v>
      </c>
      <c r="Q709" s="7">
        <v>0</v>
      </c>
      <c r="R709" s="7">
        <f t="shared" si="68"/>
        <v>14</v>
      </c>
      <c r="S709" t="s">
        <v>36</v>
      </c>
      <c r="T709" s="7">
        <v>7</v>
      </c>
      <c r="U709" s="7">
        <v>26</v>
      </c>
      <c r="V709" s="7">
        <v>6</v>
      </c>
      <c r="W709" s="7">
        <v>6</v>
      </c>
      <c r="X709" s="7">
        <f t="shared" si="69"/>
        <v>45</v>
      </c>
      <c r="Y709" t="e">
        <v>#N/A</v>
      </c>
      <c r="Z709">
        <v>211976.08223570001</v>
      </c>
      <c r="AA709" t="s">
        <v>349</v>
      </c>
      <c r="AB709">
        <v>15</v>
      </c>
      <c r="AC709">
        <v>422</v>
      </c>
      <c r="AD709" t="s">
        <v>248</v>
      </c>
      <c r="AE709" t="s">
        <v>41</v>
      </c>
      <c r="AF709" t="e">
        <v>#N/A</v>
      </c>
      <c r="AG709" s="8">
        <v>325</v>
      </c>
      <c r="AH709">
        <v>31</v>
      </c>
      <c r="AI709">
        <v>45</v>
      </c>
      <c r="AJ709">
        <v>0</v>
      </c>
      <c r="AK709">
        <v>9.5384615384615387E-2</v>
      </c>
      <c r="AL709">
        <v>1.7195706082982103</v>
      </c>
      <c r="AM709">
        <v>14</v>
      </c>
      <c r="AN709">
        <v>0</v>
      </c>
      <c r="AO709">
        <v>2.2142857142857144</v>
      </c>
      <c r="AP709" t="e">
        <v>#N/A</v>
      </c>
      <c r="AQ709" t="e">
        <v>#N/A</v>
      </c>
      <c r="AR709" t="e">
        <v>#N/A</v>
      </c>
      <c r="AS709" t="e">
        <v>#N/A</v>
      </c>
      <c r="AT709" t="e">
        <v>#N/A</v>
      </c>
      <c r="AU709">
        <v>270154.5044947</v>
      </c>
      <c r="AV709">
        <v>31</v>
      </c>
      <c r="AW709">
        <f t="shared" si="70"/>
        <v>1</v>
      </c>
      <c r="AX709">
        <v>422</v>
      </c>
      <c r="AY709">
        <f t="shared" si="71"/>
        <v>1</v>
      </c>
      <c r="AZ709" t="e">
        <v>#N/A</v>
      </c>
      <c r="BA709">
        <v>2</v>
      </c>
      <c r="BB709">
        <v>2020</v>
      </c>
      <c r="BC709">
        <v>2</v>
      </c>
      <c r="BD709">
        <v>2020</v>
      </c>
      <c r="BE709">
        <v>1</v>
      </c>
      <c r="BF709">
        <v>2020</v>
      </c>
    </row>
    <row r="710" spans="1:58" x14ac:dyDescent="0.2">
      <c r="A710" s="7">
        <v>4</v>
      </c>
      <c r="B710" s="7">
        <v>18</v>
      </c>
      <c r="C710" s="7">
        <v>1</v>
      </c>
      <c r="D710" s="7">
        <v>0</v>
      </c>
      <c r="E710" s="7">
        <f t="shared" si="66"/>
        <v>23</v>
      </c>
      <c r="F710" s="11" t="e">
        <v>#N/A</v>
      </c>
      <c r="G710">
        <v>2</v>
      </c>
      <c r="H710">
        <v>18</v>
      </c>
      <c r="I710">
        <v>1</v>
      </c>
      <c r="J710">
        <v>0</v>
      </c>
      <c r="K710">
        <f t="shared" si="67"/>
        <v>21</v>
      </c>
      <c r="L710" t="e">
        <v>#N/A</v>
      </c>
      <c r="M710">
        <v>28457.66859084</v>
      </c>
      <c r="N710" s="7">
        <v>0</v>
      </c>
      <c r="O710" s="7">
        <v>0</v>
      </c>
      <c r="P710" s="7">
        <v>0</v>
      </c>
      <c r="Q710" s="7">
        <v>0</v>
      </c>
      <c r="R710" s="7">
        <f t="shared" si="68"/>
        <v>0</v>
      </c>
      <c r="S710" t="e">
        <v>#N/A</v>
      </c>
      <c r="T710" s="7">
        <v>0</v>
      </c>
      <c r="U710" s="7">
        <v>0</v>
      </c>
      <c r="V710" s="7">
        <v>0</v>
      </c>
      <c r="W710" s="7">
        <v>0</v>
      </c>
      <c r="X710" s="7">
        <f t="shared" si="69"/>
        <v>0</v>
      </c>
      <c r="Y710" t="e">
        <v>#N/A</v>
      </c>
      <c r="AA710" t="s">
        <v>350</v>
      </c>
      <c r="AB710">
        <v>50</v>
      </c>
      <c r="AC710">
        <v>0</v>
      </c>
      <c r="AD710" t="s">
        <v>99</v>
      </c>
      <c r="AE710" t="s">
        <v>41</v>
      </c>
      <c r="AF710">
        <v>320</v>
      </c>
      <c r="AG710" s="8"/>
      <c r="AH710">
        <v>0</v>
      </c>
      <c r="AI710">
        <v>-23</v>
      </c>
      <c r="AJ710">
        <v>-2</v>
      </c>
      <c r="AK710" t="e">
        <v>#N/A</v>
      </c>
      <c r="AL710" t="e">
        <v>#N/A</v>
      </c>
      <c r="AM710">
        <v>-21</v>
      </c>
      <c r="AN710">
        <v>1</v>
      </c>
      <c r="AO710" t="e">
        <v>#N/A</v>
      </c>
      <c r="AP710">
        <v>0</v>
      </c>
      <c r="AQ710">
        <v>0</v>
      </c>
      <c r="AR710">
        <v>0.17391304347826086</v>
      </c>
      <c r="AS710">
        <v>0.78260869565217395</v>
      </c>
      <c r="AT710">
        <v>4.3478260869565216E-2</v>
      </c>
      <c r="AU710">
        <v>28457.66859084</v>
      </c>
      <c r="AV710">
        <v>6</v>
      </c>
      <c r="AW710">
        <f t="shared" si="70"/>
        <v>0</v>
      </c>
      <c r="AX710">
        <v>0</v>
      </c>
      <c r="AY710">
        <f t="shared" si="71"/>
        <v>0</v>
      </c>
      <c r="AZ710">
        <v>0</v>
      </c>
      <c r="BA710">
        <v>1</v>
      </c>
      <c r="BB710">
        <v>2020</v>
      </c>
      <c r="BC710">
        <v>11</v>
      </c>
      <c r="BD710">
        <v>2020</v>
      </c>
      <c r="BE710" t="e">
        <v>#N/A</v>
      </c>
      <c r="BF710" t="e">
        <v>#N/A</v>
      </c>
    </row>
    <row r="711" spans="1:58" x14ac:dyDescent="0.2">
      <c r="A711" s="7">
        <v>0</v>
      </c>
      <c r="B711" s="7">
        <v>2</v>
      </c>
      <c r="C711" s="7">
        <v>0</v>
      </c>
      <c r="D711" s="7">
        <v>0</v>
      </c>
      <c r="E711" s="7">
        <f t="shared" si="66"/>
        <v>2</v>
      </c>
      <c r="F711" s="11" t="e">
        <v>#N/A</v>
      </c>
      <c r="G711">
        <v>0</v>
      </c>
      <c r="H711">
        <v>0</v>
      </c>
      <c r="I711">
        <v>0</v>
      </c>
      <c r="J711">
        <v>0</v>
      </c>
      <c r="K711">
        <f t="shared" si="67"/>
        <v>0</v>
      </c>
      <c r="L711" t="e">
        <v>#N/A</v>
      </c>
      <c r="M711">
        <v>45555.634033089998</v>
      </c>
      <c r="N711" s="7">
        <v>2</v>
      </c>
      <c r="O711" s="7">
        <v>14</v>
      </c>
      <c r="P711" s="7">
        <v>0</v>
      </c>
      <c r="Q711" s="7">
        <v>2</v>
      </c>
      <c r="R711" s="7">
        <f t="shared" si="68"/>
        <v>18</v>
      </c>
      <c r="S711" t="e">
        <v>#N/A</v>
      </c>
      <c r="T711" s="7">
        <v>8</v>
      </c>
      <c r="U711" s="7">
        <v>13</v>
      </c>
      <c r="V711" s="7">
        <v>5</v>
      </c>
      <c r="W711" s="7">
        <v>3</v>
      </c>
      <c r="X711" s="7">
        <f t="shared" si="69"/>
        <v>29</v>
      </c>
      <c r="Y711" t="e">
        <v>#N/A</v>
      </c>
      <c r="Z711">
        <v>202933.00405063</v>
      </c>
      <c r="AA711" t="s">
        <v>351</v>
      </c>
      <c r="AB711">
        <v>81</v>
      </c>
      <c r="AC711">
        <v>550</v>
      </c>
      <c r="AD711" t="s">
        <v>254</v>
      </c>
      <c r="AE711" t="s">
        <v>41</v>
      </c>
      <c r="AF711">
        <v>273</v>
      </c>
      <c r="AG711" s="8">
        <v>288</v>
      </c>
      <c r="AH711">
        <v>11</v>
      </c>
      <c r="AI711">
        <v>27</v>
      </c>
      <c r="AJ711">
        <v>-2</v>
      </c>
      <c r="AK711">
        <v>3.8194444444444448E-2</v>
      </c>
      <c r="AL711">
        <v>0.64818121608766865</v>
      </c>
      <c r="AM711">
        <v>18</v>
      </c>
      <c r="AN711">
        <v>0</v>
      </c>
      <c r="AO711">
        <v>0.61111111111111116</v>
      </c>
      <c r="AP711">
        <v>5.5</v>
      </c>
      <c r="AQ711">
        <v>0</v>
      </c>
      <c r="AR711">
        <v>0</v>
      </c>
      <c r="AS711">
        <v>1</v>
      </c>
      <c r="AT711">
        <v>0</v>
      </c>
      <c r="AU711">
        <v>248488.63808372</v>
      </c>
      <c r="AV711">
        <v>14</v>
      </c>
      <c r="AW711">
        <f t="shared" si="70"/>
        <v>1</v>
      </c>
      <c r="AX711">
        <v>550</v>
      </c>
      <c r="AY711">
        <f t="shared" si="71"/>
        <v>1</v>
      </c>
      <c r="AZ711">
        <v>2.0146520146520146</v>
      </c>
      <c r="BA711">
        <v>1</v>
      </c>
      <c r="BB711">
        <v>2020</v>
      </c>
      <c r="BC711">
        <v>10</v>
      </c>
      <c r="BD711">
        <v>2020</v>
      </c>
      <c r="BE711">
        <v>1</v>
      </c>
      <c r="BF711">
        <v>2020</v>
      </c>
    </row>
    <row r="712" spans="1:58" x14ac:dyDescent="0.2">
      <c r="A712" s="7">
        <v>0</v>
      </c>
      <c r="B712" s="7">
        <v>4</v>
      </c>
      <c r="C712" s="7">
        <v>0</v>
      </c>
      <c r="D712" s="7">
        <v>0</v>
      </c>
      <c r="E712" s="7">
        <f t="shared" si="66"/>
        <v>4</v>
      </c>
      <c r="F712" s="11" t="e">
        <v>#N/A</v>
      </c>
      <c r="G712">
        <v>0</v>
      </c>
      <c r="H712">
        <v>0</v>
      </c>
      <c r="I712">
        <v>0</v>
      </c>
      <c r="J712">
        <v>0</v>
      </c>
      <c r="K712">
        <f t="shared" si="67"/>
        <v>0</v>
      </c>
      <c r="L712" t="e">
        <v>#N/A</v>
      </c>
      <c r="M712">
        <v>42580.665350509997</v>
      </c>
      <c r="N712" s="7">
        <v>3</v>
      </c>
      <c r="O712" s="7">
        <v>9</v>
      </c>
      <c r="P712" s="7">
        <v>0</v>
      </c>
      <c r="Q712" s="7">
        <v>2</v>
      </c>
      <c r="R712" s="7">
        <f t="shared" si="68"/>
        <v>14</v>
      </c>
      <c r="S712" t="e">
        <v>#N/A</v>
      </c>
      <c r="T712" s="7">
        <v>20</v>
      </c>
      <c r="U712" s="7">
        <v>40</v>
      </c>
      <c r="V712" s="7">
        <v>10</v>
      </c>
      <c r="W712" s="7">
        <v>3</v>
      </c>
      <c r="X712" s="7">
        <f t="shared" si="69"/>
        <v>73</v>
      </c>
      <c r="Y712" t="e">
        <v>#N/A</v>
      </c>
      <c r="Z712">
        <v>132960.69077571001</v>
      </c>
      <c r="AA712" t="s">
        <v>352</v>
      </c>
      <c r="AB712">
        <v>85</v>
      </c>
      <c r="AC712">
        <v>578</v>
      </c>
      <c r="AD712" t="s">
        <v>72</v>
      </c>
      <c r="AE712" t="s">
        <v>75</v>
      </c>
      <c r="AF712">
        <v>72</v>
      </c>
      <c r="AG712" s="8">
        <v>262</v>
      </c>
      <c r="AH712">
        <v>59</v>
      </c>
      <c r="AI712">
        <v>69</v>
      </c>
      <c r="AJ712">
        <v>-4</v>
      </c>
      <c r="AK712">
        <v>0.22519083969465647</v>
      </c>
      <c r="AL712">
        <v>3.645032172969771</v>
      </c>
      <c r="AM712">
        <v>14</v>
      </c>
      <c r="AN712">
        <v>0</v>
      </c>
      <c r="AO712">
        <v>4.2142857142857144</v>
      </c>
      <c r="AP712">
        <v>14.75</v>
      </c>
      <c r="AQ712">
        <v>0</v>
      </c>
      <c r="AR712">
        <v>0</v>
      </c>
      <c r="AS712">
        <v>1</v>
      </c>
      <c r="AT712">
        <v>0</v>
      </c>
      <c r="AU712">
        <v>175541.35612622002</v>
      </c>
      <c r="AV712">
        <v>24</v>
      </c>
      <c r="AW712">
        <f t="shared" si="70"/>
        <v>1</v>
      </c>
      <c r="AX712">
        <v>578</v>
      </c>
      <c r="AY712">
        <f t="shared" si="71"/>
        <v>1</v>
      </c>
      <c r="AZ712">
        <v>8.0277777777777786</v>
      </c>
      <c r="BA712">
        <v>1</v>
      </c>
      <c r="BB712">
        <v>2020</v>
      </c>
      <c r="BC712">
        <v>3</v>
      </c>
      <c r="BD712">
        <v>2020</v>
      </c>
      <c r="BE712">
        <v>1</v>
      </c>
      <c r="BF712">
        <v>2020</v>
      </c>
    </row>
    <row r="713" spans="1:58" x14ac:dyDescent="0.2">
      <c r="A713" s="7">
        <v>9</v>
      </c>
      <c r="B713" s="7">
        <v>15</v>
      </c>
      <c r="C713" s="7">
        <v>2</v>
      </c>
      <c r="D713" s="7">
        <v>5</v>
      </c>
      <c r="E713" s="7">
        <f t="shared" si="66"/>
        <v>31</v>
      </c>
      <c r="F713" s="11" t="s">
        <v>36</v>
      </c>
      <c r="G713">
        <v>9</v>
      </c>
      <c r="H713">
        <v>15</v>
      </c>
      <c r="I713">
        <v>2</v>
      </c>
      <c r="J713">
        <v>0</v>
      </c>
      <c r="K713">
        <f t="shared" si="67"/>
        <v>26</v>
      </c>
      <c r="L713" t="e">
        <v>#N/A</v>
      </c>
      <c r="M713">
        <v>14753.49376327</v>
      </c>
      <c r="N713" s="7">
        <v>15</v>
      </c>
      <c r="O713" s="7">
        <v>30</v>
      </c>
      <c r="P713" s="7">
        <v>5</v>
      </c>
      <c r="Q713" s="7">
        <v>5</v>
      </c>
      <c r="R713" s="7">
        <f t="shared" si="68"/>
        <v>55</v>
      </c>
      <c r="S713" t="e">
        <v>#N/A</v>
      </c>
      <c r="T713" s="7">
        <v>20</v>
      </c>
      <c r="U713" s="7">
        <v>36</v>
      </c>
      <c r="V713" s="7">
        <v>9</v>
      </c>
      <c r="W713" s="7">
        <v>26</v>
      </c>
      <c r="X713" s="7">
        <f t="shared" si="69"/>
        <v>91</v>
      </c>
      <c r="Y713" t="e">
        <v>#N/A</v>
      </c>
      <c r="Z713">
        <v>105951.62293409</v>
      </c>
      <c r="AA713" t="s">
        <v>353</v>
      </c>
      <c r="AB713">
        <v>47</v>
      </c>
      <c r="AC713">
        <v>0</v>
      </c>
      <c r="AD713" t="s">
        <v>131</v>
      </c>
      <c r="AE713" t="s">
        <v>41</v>
      </c>
      <c r="AF713">
        <v>72</v>
      </c>
      <c r="AG713" s="8">
        <v>309</v>
      </c>
      <c r="AH713">
        <v>36</v>
      </c>
      <c r="AI713">
        <v>60</v>
      </c>
      <c r="AJ713">
        <v>-5</v>
      </c>
      <c r="AK713">
        <v>0.11650485436893204</v>
      </c>
      <c r="AL713">
        <v>2.0479684463588672</v>
      </c>
      <c r="AM713">
        <v>29</v>
      </c>
      <c r="AN713">
        <v>0</v>
      </c>
      <c r="AO713">
        <v>0.65454545454545454</v>
      </c>
      <c r="AP713">
        <v>1.1612903225806452</v>
      </c>
      <c r="AQ713">
        <v>0.16129032258064516</v>
      </c>
      <c r="AR713">
        <v>0.29032258064516131</v>
      </c>
      <c r="AS713">
        <v>0.4838709677419355</v>
      </c>
      <c r="AT713">
        <v>6.4516129032258063E-2</v>
      </c>
      <c r="AU713">
        <v>120705.11669736</v>
      </c>
      <c r="AV713">
        <v>15</v>
      </c>
      <c r="AW713">
        <f t="shared" si="70"/>
        <v>1</v>
      </c>
      <c r="AX713">
        <v>0</v>
      </c>
      <c r="AY713">
        <f t="shared" si="71"/>
        <v>0</v>
      </c>
      <c r="AZ713">
        <v>0</v>
      </c>
      <c r="BA713">
        <v>1</v>
      </c>
      <c r="BB713">
        <v>2020</v>
      </c>
      <c r="BC713">
        <v>3</v>
      </c>
      <c r="BD713">
        <v>2020</v>
      </c>
      <c r="BE713">
        <v>1</v>
      </c>
      <c r="BF713">
        <v>2020</v>
      </c>
    </row>
    <row r="714" spans="1:58" x14ac:dyDescent="0.2">
      <c r="A714" s="7">
        <v>0</v>
      </c>
      <c r="B714" s="7">
        <v>0</v>
      </c>
      <c r="C714" s="7">
        <v>0</v>
      </c>
      <c r="D714" s="7">
        <v>0</v>
      </c>
      <c r="E714" s="7">
        <f t="shared" si="66"/>
        <v>0</v>
      </c>
      <c r="F714" s="11" t="e">
        <v>#N/A</v>
      </c>
      <c r="G714">
        <v>0</v>
      </c>
      <c r="H714">
        <v>0</v>
      </c>
      <c r="I714">
        <v>0</v>
      </c>
      <c r="J714">
        <v>0</v>
      </c>
      <c r="K714">
        <f t="shared" si="67"/>
        <v>0</v>
      </c>
      <c r="L714" t="e">
        <v>#N/A</v>
      </c>
      <c r="M714">
        <v>43531.958900979997</v>
      </c>
      <c r="N714" s="7">
        <v>0</v>
      </c>
      <c r="O714" s="7">
        <v>3</v>
      </c>
      <c r="P714" s="7">
        <v>0</v>
      </c>
      <c r="Q714" s="7">
        <v>1</v>
      </c>
      <c r="R714" s="7">
        <f t="shared" si="68"/>
        <v>4</v>
      </c>
      <c r="S714" t="e">
        <v>#N/A</v>
      </c>
      <c r="T714" s="7">
        <v>1</v>
      </c>
      <c r="U714" s="7">
        <v>16</v>
      </c>
      <c r="V714" s="7">
        <v>0</v>
      </c>
      <c r="W714" s="7">
        <v>3</v>
      </c>
      <c r="X714" s="7">
        <f t="shared" si="69"/>
        <v>20</v>
      </c>
      <c r="Y714" t="e">
        <v>#N/A</v>
      </c>
      <c r="Z714">
        <v>87250.292511629988</v>
      </c>
      <c r="AA714" t="s">
        <v>354</v>
      </c>
      <c r="AB714">
        <v>29</v>
      </c>
      <c r="AC714">
        <v>401</v>
      </c>
      <c r="AD714" t="s">
        <v>254</v>
      </c>
      <c r="AE714" t="s">
        <v>41</v>
      </c>
      <c r="AF714">
        <v>72</v>
      </c>
      <c r="AG714" s="8">
        <v>214</v>
      </c>
      <c r="AH714">
        <v>16</v>
      </c>
      <c r="AI714">
        <v>20</v>
      </c>
      <c r="AJ714">
        <v>0</v>
      </c>
      <c r="AK714">
        <v>7.476635514018691E-2</v>
      </c>
      <c r="AL714">
        <v>1.0937374832394613</v>
      </c>
      <c r="AM714">
        <v>4</v>
      </c>
      <c r="AN714">
        <v>0</v>
      </c>
      <c r="AO714">
        <v>4</v>
      </c>
      <c r="AP714" t="e">
        <v>#N/A</v>
      </c>
      <c r="AQ714" t="e">
        <v>#N/A</v>
      </c>
      <c r="AR714" t="e">
        <v>#N/A</v>
      </c>
      <c r="AS714" t="e">
        <v>#N/A</v>
      </c>
      <c r="AT714" t="e">
        <v>#N/A</v>
      </c>
      <c r="AU714">
        <v>130782.25141260998</v>
      </c>
      <c r="AV714">
        <v>14</v>
      </c>
      <c r="AW714">
        <f t="shared" si="70"/>
        <v>1</v>
      </c>
      <c r="AX714">
        <v>401</v>
      </c>
      <c r="AY714">
        <f t="shared" si="71"/>
        <v>1</v>
      </c>
      <c r="AZ714">
        <v>5.5694444444444446</v>
      </c>
      <c r="BA714">
        <v>1</v>
      </c>
      <c r="BB714">
        <v>2020</v>
      </c>
      <c r="BC714">
        <v>3</v>
      </c>
      <c r="BD714">
        <v>2020</v>
      </c>
      <c r="BE714">
        <v>1</v>
      </c>
      <c r="BF714">
        <v>2020</v>
      </c>
    </row>
    <row r="715" spans="1:58" x14ac:dyDescent="0.2">
      <c r="A715" s="7">
        <v>10</v>
      </c>
      <c r="B715" s="7">
        <v>13</v>
      </c>
      <c r="C715" s="7">
        <v>0</v>
      </c>
      <c r="D715" s="7">
        <v>6</v>
      </c>
      <c r="E715" s="7">
        <f t="shared" si="66"/>
        <v>29</v>
      </c>
      <c r="F715" s="11" t="e">
        <v>#N/A</v>
      </c>
      <c r="G715">
        <v>5</v>
      </c>
      <c r="H715">
        <v>10</v>
      </c>
      <c r="I715">
        <v>0</v>
      </c>
      <c r="J715">
        <v>6</v>
      </c>
      <c r="K715">
        <f t="shared" si="67"/>
        <v>21</v>
      </c>
      <c r="L715" t="e">
        <v>#N/A</v>
      </c>
      <c r="M715">
        <v>23035.794572579998</v>
      </c>
      <c r="N715" s="7">
        <v>14</v>
      </c>
      <c r="O715" s="7">
        <v>21</v>
      </c>
      <c r="P715" s="7">
        <v>5</v>
      </c>
      <c r="Q715" s="7">
        <v>7</v>
      </c>
      <c r="R715" s="7">
        <f t="shared" si="68"/>
        <v>47</v>
      </c>
      <c r="S715" t="e">
        <v>#N/A</v>
      </c>
      <c r="T715" s="7">
        <v>20</v>
      </c>
      <c r="U715" s="7">
        <v>34</v>
      </c>
      <c r="V715" s="7">
        <v>9</v>
      </c>
      <c r="W715" s="7">
        <v>11</v>
      </c>
      <c r="X715" s="7">
        <f t="shared" si="69"/>
        <v>74</v>
      </c>
      <c r="Y715" t="e">
        <v>#N/A</v>
      </c>
      <c r="Z715">
        <v>105763.52402968</v>
      </c>
      <c r="AA715" t="s">
        <v>355</v>
      </c>
      <c r="AB715">
        <v>61</v>
      </c>
      <c r="AC715">
        <v>0</v>
      </c>
      <c r="AD715" t="s">
        <v>174</v>
      </c>
      <c r="AE715" t="s">
        <v>41</v>
      </c>
      <c r="AF715">
        <v>74</v>
      </c>
      <c r="AG715" s="8">
        <v>186</v>
      </c>
      <c r="AH715">
        <v>27</v>
      </c>
      <c r="AI715">
        <v>45</v>
      </c>
      <c r="AJ715">
        <v>-8</v>
      </c>
      <c r="AK715">
        <v>0.14516129032258066</v>
      </c>
      <c r="AL715">
        <v>1.9797360527882695</v>
      </c>
      <c r="AM715">
        <v>26</v>
      </c>
      <c r="AN715">
        <v>0</v>
      </c>
      <c r="AO715">
        <v>0.57446808510638303</v>
      </c>
      <c r="AP715">
        <v>0.93103448275862066</v>
      </c>
      <c r="AQ715">
        <v>0.20689655172413793</v>
      </c>
      <c r="AR715">
        <v>0.34482758620689657</v>
      </c>
      <c r="AS715">
        <v>0.44827586206896552</v>
      </c>
      <c r="AT715">
        <v>0</v>
      </c>
      <c r="AU715">
        <v>128799.31860226</v>
      </c>
      <c r="AV715">
        <v>13</v>
      </c>
      <c r="AW715">
        <f t="shared" si="70"/>
        <v>1</v>
      </c>
      <c r="AX715">
        <v>0</v>
      </c>
      <c r="AY715">
        <f t="shared" si="71"/>
        <v>0</v>
      </c>
      <c r="AZ715">
        <v>0</v>
      </c>
      <c r="BA715">
        <v>1</v>
      </c>
      <c r="BB715">
        <v>2020</v>
      </c>
      <c r="BC715">
        <v>3</v>
      </c>
      <c r="BD715">
        <v>2020</v>
      </c>
      <c r="BE715">
        <v>1</v>
      </c>
      <c r="BF715">
        <v>2020</v>
      </c>
    </row>
    <row r="716" spans="1:58" x14ac:dyDescent="0.2">
      <c r="A716" s="7">
        <v>0</v>
      </c>
      <c r="B716" s="7">
        <v>8</v>
      </c>
      <c r="C716" s="7">
        <v>0</v>
      </c>
      <c r="D716" s="7">
        <v>0</v>
      </c>
      <c r="E716" s="7">
        <f t="shared" si="66"/>
        <v>8</v>
      </c>
      <c r="F716" s="11" t="e">
        <v>#N/A</v>
      </c>
      <c r="G716">
        <v>0</v>
      </c>
      <c r="H716">
        <v>8</v>
      </c>
      <c r="I716">
        <v>0</v>
      </c>
      <c r="J716">
        <v>0</v>
      </c>
      <c r="K716">
        <f t="shared" si="67"/>
        <v>8</v>
      </c>
      <c r="L716" t="e">
        <v>#N/A</v>
      </c>
      <c r="M716">
        <v>20398.34919691</v>
      </c>
      <c r="N716" s="7">
        <v>0</v>
      </c>
      <c r="O716" s="7">
        <v>9</v>
      </c>
      <c r="P716" s="7">
        <v>0</v>
      </c>
      <c r="Q716" s="7">
        <v>0</v>
      </c>
      <c r="R716" s="7">
        <f t="shared" si="68"/>
        <v>9</v>
      </c>
      <c r="S716" t="s">
        <v>36</v>
      </c>
      <c r="T716" s="7">
        <v>16</v>
      </c>
      <c r="U716" s="7">
        <v>32</v>
      </c>
      <c r="V716" s="7">
        <v>8</v>
      </c>
      <c r="W716" s="7">
        <v>7</v>
      </c>
      <c r="X716" s="7">
        <f t="shared" si="69"/>
        <v>63</v>
      </c>
      <c r="Y716" t="e">
        <v>#N/A</v>
      </c>
      <c r="Z716">
        <v>157968.08452428001</v>
      </c>
      <c r="AA716" t="s">
        <v>356</v>
      </c>
      <c r="AB716">
        <v>68</v>
      </c>
      <c r="AC716">
        <v>167</v>
      </c>
      <c r="AD716" t="s">
        <v>254</v>
      </c>
      <c r="AE716" t="s">
        <v>41</v>
      </c>
      <c r="AF716" t="e">
        <v>#N/A</v>
      </c>
      <c r="AG716" s="8">
        <v>5</v>
      </c>
      <c r="AH716">
        <v>54</v>
      </c>
      <c r="AI716">
        <v>55</v>
      </c>
      <c r="AJ716">
        <v>0</v>
      </c>
      <c r="AK716">
        <v>10.8</v>
      </c>
      <c r="AL716">
        <v>24.149534156997728</v>
      </c>
      <c r="AM716">
        <v>1</v>
      </c>
      <c r="AN716">
        <v>0</v>
      </c>
      <c r="AO716">
        <v>6</v>
      </c>
      <c r="AP716">
        <v>6.75</v>
      </c>
      <c r="AQ716">
        <v>0</v>
      </c>
      <c r="AR716">
        <v>0</v>
      </c>
      <c r="AS716">
        <v>1</v>
      </c>
      <c r="AT716">
        <v>0</v>
      </c>
      <c r="AU716">
        <v>178366.43372119003</v>
      </c>
      <c r="AV716">
        <v>13</v>
      </c>
      <c r="AW716">
        <f t="shared" si="70"/>
        <v>1</v>
      </c>
      <c r="AX716">
        <v>167</v>
      </c>
      <c r="AY716">
        <f t="shared" si="71"/>
        <v>1</v>
      </c>
      <c r="AZ716" t="e">
        <v>#N/A</v>
      </c>
      <c r="BA716">
        <v>1</v>
      </c>
      <c r="BB716">
        <v>2020</v>
      </c>
      <c r="BC716">
        <v>1</v>
      </c>
      <c r="BD716">
        <v>2020</v>
      </c>
      <c r="BE716">
        <v>1</v>
      </c>
      <c r="BF716">
        <v>2020</v>
      </c>
    </row>
    <row r="717" spans="1:58" x14ac:dyDescent="0.2">
      <c r="A717" s="7">
        <v>10</v>
      </c>
      <c r="B717" s="7">
        <v>13</v>
      </c>
      <c r="C717" s="7">
        <v>2</v>
      </c>
      <c r="D717" s="7">
        <v>5</v>
      </c>
      <c r="E717" s="7">
        <f t="shared" si="66"/>
        <v>30</v>
      </c>
      <c r="F717" s="11" t="e">
        <v>#N/A</v>
      </c>
      <c r="G717">
        <v>10</v>
      </c>
      <c r="H717">
        <v>15</v>
      </c>
      <c r="I717">
        <v>2</v>
      </c>
      <c r="J717">
        <v>0</v>
      </c>
      <c r="K717">
        <f t="shared" si="67"/>
        <v>27</v>
      </c>
      <c r="L717" t="e">
        <v>#N/A</v>
      </c>
      <c r="M717">
        <v>29562.1631318</v>
      </c>
      <c r="N717" s="7">
        <v>10</v>
      </c>
      <c r="O717" s="7">
        <v>18</v>
      </c>
      <c r="P717" s="7">
        <v>3</v>
      </c>
      <c r="Q717" s="7">
        <v>5</v>
      </c>
      <c r="R717" s="7">
        <f t="shared" si="68"/>
        <v>36</v>
      </c>
      <c r="S717" t="e">
        <v>#N/A</v>
      </c>
      <c r="T717" s="7">
        <v>17</v>
      </c>
      <c r="U717" s="7">
        <v>33</v>
      </c>
      <c r="V717" s="7">
        <v>8</v>
      </c>
      <c r="W717" s="7">
        <v>7</v>
      </c>
      <c r="X717" s="7">
        <f t="shared" si="69"/>
        <v>65</v>
      </c>
      <c r="Y717" t="e">
        <v>#N/A</v>
      </c>
      <c r="Z717">
        <v>116462.83519673</v>
      </c>
      <c r="AA717" t="s">
        <v>357</v>
      </c>
      <c r="AB717">
        <v>42</v>
      </c>
      <c r="AC717">
        <v>0</v>
      </c>
      <c r="AD717" t="s">
        <v>358</v>
      </c>
      <c r="AE717" t="s">
        <v>41</v>
      </c>
      <c r="AF717">
        <v>113</v>
      </c>
      <c r="AG717" s="8">
        <v>288</v>
      </c>
      <c r="AH717">
        <v>29</v>
      </c>
      <c r="AI717">
        <v>35</v>
      </c>
      <c r="AJ717">
        <v>-3</v>
      </c>
      <c r="AK717">
        <v>0.10069444444444445</v>
      </c>
      <c r="AL717">
        <v>1.70884138786749</v>
      </c>
      <c r="AM717">
        <v>9</v>
      </c>
      <c r="AN717">
        <v>0</v>
      </c>
      <c r="AO717">
        <v>0.80555555555555558</v>
      </c>
      <c r="AP717">
        <v>0.96666666666666667</v>
      </c>
      <c r="AQ717">
        <v>0.16666666666666666</v>
      </c>
      <c r="AR717">
        <v>0.33333333333333331</v>
      </c>
      <c r="AS717">
        <v>0.43333333333333335</v>
      </c>
      <c r="AT717">
        <v>6.6666666666666666E-2</v>
      </c>
      <c r="AU717">
        <v>146024.99832853</v>
      </c>
      <c r="AV717">
        <v>21</v>
      </c>
      <c r="AW717">
        <f t="shared" si="70"/>
        <v>1</v>
      </c>
      <c r="AX717">
        <v>0</v>
      </c>
      <c r="AY717">
        <f t="shared" si="71"/>
        <v>0</v>
      </c>
      <c r="AZ717">
        <v>0</v>
      </c>
      <c r="BA717">
        <v>1</v>
      </c>
      <c r="BB717">
        <v>2020</v>
      </c>
      <c r="BC717">
        <v>4</v>
      </c>
      <c r="BD717">
        <v>2020</v>
      </c>
      <c r="BE717">
        <v>1</v>
      </c>
      <c r="BF717">
        <v>2020</v>
      </c>
    </row>
    <row r="718" spans="1:58" x14ac:dyDescent="0.2">
      <c r="A718" s="7">
        <v>4</v>
      </c>
      <c r="B718" s="7">
        <v>13</v>
      </c>
      <c r="C718" s="7">
        <v>0</v>
      </c>
      <c r="D718" s="7">
        <v>0</v>
      </c>
      <c r="E718" s="7">
        <f t="shared" si="66"/>
        <v>17</v>
      </c>
      <c r="F718" s="11" t="e">
        <v>#N/A</v>
      </c>
      <c r="G718">
        <v>4</v>
      </c>
      <c r="H718">
        <v>6</v>
      </c>
      <c r="I718">
        <v>0</v>
      </c>
      <c r="J718">
        <v>0</v>
      </c>
      <c r="K718">
        <f t="shared" si="67"/>
        <v>10</v>
      </c>
      <c r="L718" t="s">
        <v>36</v>
      </c>
      <c r="M718">
        <v>35646.539029860003</v>
      </c>
      <c r="N718" s="7">
        <v>8</v>
      </c>
      <c r="O718" s="7">
        <v>18</v>
      </c>
      <c r="P718" s="7">
        <v>0</v>
      </c>
      <c r="Q718" s="7">
        <v>3</v>
      </c>
      <c r="R718" s="7">
        <f t="shared" si="68"/>
        <v>29</v>
      </c>
      <c r="S718" t="e">
        <v>#N/A</v>
      </c>
      <c r="T718" s="7">
        <v>15</v>
      </c>
      <c r="U718" s="7">
        <v>15</v>
      </c>
      <c r="V718" s="7">
        <v>5</v>
      </c>
      <c r="W718" s="7">
        <v>6</v>
      </c>
      <c r="X718" s="7">
        <f t="shared" si="69"/>
        <v>41</v>
      </c>
      <c r="Y718" t="e">
        <v>#N/A</v>
      </c>
      <c r="Z718">
        <v>214586.89303514</v>
      </c>
      <c r="AA718" t="s">
        <v>359</v>
      </c>
      <c r="AB718">
        <v>66</v>
      </c>
      <c r="AC718">
        <v>0</v>
      </c>
      <c r="AD718" t="s">
        <v>241</v>
      </c>
      <c r="AE718" t="s">
        <v>75</v>
      </c>
      <c r="AF718">
        <v>212</v>
      </c>
      <c r="AG718" s="8">
        <v>316</v>
      </c>
      <c r="AH718">
        <v>12</v>
      </c>
      <c r="AI718">
        <v>24</v>
      </c>
      <c r="AJ718">
        <v>-7</v>
      </c>
      <c r="AK718">
        <v>3.7974683544303799E-2</v>
      </c>
      <c r="AL718">
        <v>0.67505274055561437</v>
      </c>
      <c r="AM718">
        <v>19</v>
      </c>
      <c r="AN718">
        <v>0</v>
      </c>
      <c r="AO718">
        <v>0.41379310344827586</v>
      </c>
      <c r="AP718">
        <v>0.70588235294117652</v>
      </c>
      <c r="AQ718">
        <v>0</v>
      </c>
      <c r="AR718">
        <v>0.23529411764705882</v>
      </c>
      <c r="AS718">
        <v>0.76470588235294112</v>
      </c>
      <c r="AT718">
        <v>0</v>
      </c>
      <c r="AU718">
        <v>250233.432065</v>
      </c>
      <c r="AV718">
        <v>22</v>
      </c>
      <c r="AW718">
        <f t="shared" si="70"/>
        <v>1</v>
      </c>
      <c r="AX718">
        <v>0</v>
      </c>
      <c r="AY718">
        <f t="shared" si="71"/>
        <v>0</v>
      </c>
      <c r="AZ718">
        <v>0</v>
      </c>
      <c r="BA718">
        <v>1</v>
      </c>
      <c r="BB718">
        <v>2020</v>
      </c>
      <c r="BC718">
        <v>8</v>
      </c>
      <c r="BD718">
        <v>2020</v>
      </c>
      <c r="BE718">
        <v>1</v>
      </c>
      <c r="BF718">
        <v>2020</v>
      </c>
    </row>
    <row r="719" spans="1:58" x14ac:dyDescent="0.2">
      <c r="A719" s="7">
        <v>0</v>
      </c>
      <c r="B719" s="7">
        <v>0</v>
      </c>
      <c r="C719" s="7">
        <v>0</v>
      </c>
      <c r="D719" s="7">
        <v>0</v>
      </c>
      <c r="E719" s="7">
        <f t="shared" si="66"/>
        <v>0</v>
      </c>
      <c r="F719" s="11" t="e">
        <v>#N/A</v>
      </c>
      <c r="G719">
        <v>0</v>
      </c>
      <c r="H719">
        <v>15</v>
      </c>
      <c r="I719">
        <v>0</v>
      </c>
      <c r="J719">
        <v>0</v>
      </c>
      <c r="K719">
        <f t="shared" si="67"/>
        <v>15</v>
      </c>
      <c r="L719" t="e">
        <v>#N/A</v>
      </c>
      <c r="M719">
        <v>93232.697325450004</v>
      </c>
      <c r="N719" s="7">
        <v>1</v>
      </c>
      <c r="O719" s="7">
        <v>18</v>
      </c>
      <c r="P719" s="7">
        <v>0</v>
      </c>
      <c r="Q719" s="7">
        <v>3</v>
      </c>
      <c r="R719" s="7">
        <f t="shared" si="68"/>
        <v>22</v>
      </c>
      <c r="S719" t="e">
        <v>#N/A</v>
      </c>
      <c r="T719" s="7">
        <v>16</v>
      </c>
      <c r="U719" s="7">
        <v>32</v>
      </c>
      <c r="V719" s="7">
        <v>9</v>
      </c>
      <c r="W719" s="7">
        <v>11</v>
      </c>
      <c r="X719" s="7">
        <f t="shared" si="69"/>
        <v>68</v>
      </c>
      <c r="Y719" t="e">
        <v>#N/A</v>
      </c>
      <c r="Z719">
        <v>152179.04074711999</v>
      </c>
      <c r="AA719" t="s">
        <v>360</v>
      </c>
      <c r="AB719">
        <v>26</v>
      </c>
      <c r="AC719">
        <v>571</v>
      </c>
      <c r="AD719" t="s">
        <v>254</v>
      </c>
      <c r="AE719" t="s">
        <v>41</v>
      </c>
      <c r="AF719">
        <v>1</v>
      </c>
      <c r="AG719" s="8">
        <v>6</v>
      </c>
      <c r="AH719">
        <v>46</v>
      </c>
      <c r="AI719">
        <v>68</v>
      </c>
      <c r="AJ719">
        <v>15</v>
      </c>
      <c r="AK719">
        <v>7.666666666666667</v>
      </c>
      <c r="AL719">
        <v>18.7794213613377</v>
      </c>
      <c r="AM719">
        <v>7</v>
      </c>
      <c r="AN719">
        <v>0</v>
      </c>
      <c r="AO719">
        <v>2.0909090909090908</v>
      </c>
      <c r="AP719" t="e">
        <v>#N/A</v>
      </c>
      <c r="AQ719" t="e">
        <v>#N/A</v>
      </c>
      <c r="AR719" t="e">
        <v>#N/A</v>
      </c>
      <c r="AS719" t="e">
        <v>#N/A</v>
      </c>
      <c r="AT719" t="e">
        <v>#N/A</v>
      </c>
      <c r="AU719">
        <v>245411.73807257001</v>
      </c>
      <c r="AV719">
        <v>27</v>
      </c>
      <c r="AW719">
        <f t="shared" si="70"/>
        <v>1</v>
      </c>
      <c r="AX719">
        <v>571</v>
      </c>
      <c r="AY719">
        <f t="shared" si="71"/>
        <v>1</v>
      </c>
      <c r="AZ719">
        <v>571</v>
      </c>
      <c r="BA719">
        <v>1</v>
      </c>
      <c r="BB719">
        <v>2020</v>
      </c>
      <c r="BC719">
        <v>1</v>
      </c>
      <c r="BD719">
        <v>2020</v>
      </c>
      <c r="BE719">
        <v>1</v>
      </c>
      <c r="BF719">
        <v>2020</v>
      </c>
    </row>
    <row r="720" spans="1:58" x14ac:dyDescent="0.2">
      <c r="A720" s="7">
        <v>6</v>
      </c>
      <c r="B720" s="7">
        <v>6</v>
      </c>
      <c r="C720" s="7">
        <v>0</v>
      </c>
      <c r="D720" s="7">
        <v>0</v>
      </c>
      <c r="E720" s="7">
        <f t="shared" si="66"/>
        <v>12</v>
      </c>
      <c r="F720" s="11" t="e">
        <v>#N/A</v>
      </c>
      <c r="G720">
        <v>6</v>
      </c>
      <c r="H720">
        <v>6</v>
      </c>
      <c r="I720">
        <v>0</v>
      </c>
      <c r="J720">
        <v>0</v>
      </c>
      <c r="K720">
        <f t="shared" si="67"/>
        <v>12</v>
      </c>
      <c r="L720" t="e">
        <v>#N/A</v>
      </c>
      <c r="M720">
        <v>26592.339951260001</v>
      </c>
      <c r="N720" s="7">
        <v>7</v>
      </c>
      <c r="O720" s="7">
        <v>6</v>
      </c>
      <c r="P720" s="7">
        <v>0</v>
      </c>
      <c r="Q720" s="7">
        <v>2</v>
      </c>
      <c r="R720" s="7">
        <f t="shared" si="68"/>
        <v>15</v>
      </c>
      <c r="S720" t="e">
        <v>#N/A</v>
      </c>
      <c r="T720" s="7">
        <v>9</v>
      </c>
      <c r="U720" s="7">
        <v>26</v>
      </c>
      <c r="V720" s="7">
        <v>6</v>
      </c>
      <c r="W720" s="7">
        <v>6</v>
      </c>
      <c r="X720" s="7">
        <f t="shared" si="69"/>
        <v>47</v>
      </c>
      <c r="Y720" t="e">
        <v>#N/A</v>
      </c>
      <c r="Z720">
        <v>146346.93234363</v>
      </c>
      <c r="AA720" t="s">
        <v>361</v>
      </c>
      <c r="AB720">
        <v>76</v>
      </c>
      <c r="AC720">
        <v>0</v>
      </c>
      <c r="AD720" t="s">
        <v>119</v>
      </c>
      <c r="AE720" t="s">
        <v>41</v>
      </c>
      <c r="AF720" t="e">
        <v>#N/A</v>
      </c>
      <c r="AG720" s="8">
        <v>266</v>
      </c>
      <c r="AH720">
        <v>32</v>
      </c>
      <c r="AI720">
        <v>35</v>
      </c>
      <c r="AJ720">
        <v>0</v>
      </c>
      <c r="AK720">
        <v>0.12030075187969924</v>
      </c>
      <c r="AL720">
        <v>1.9620458863518906</v>
      </c>
      <c r="AM720">
        <v>3</v>
      </c>
      <c r="AN720">
        <v>0</v>
      </c>
      <c r="AO720">
        <v>2.1333333333333333</v>
      </c>
      <c r="AP720">
        <v>2.6666666666666665</v>
      </c>
      <c r="AQ720">
        <v>0</v>
      </c>
      <c r="AR720">
        <v>0.5</v>
      </c>
      <c r="AS720">
        <v>0.5</v>
      </c>
      <c r="AT720">
        <v>0</v>
      </c>
      <c r="AU720">
        <v>172939.27229489002</v>
      </c>
      <c r="AV720">
        <v>17</v>
      </c>
      <c r="AW720">
        <f t="shared" si="70"/>
        <v>1</v>
      </c>
      <c r="AX720">
        <v>0</v>
      </c>
      <c r="AY720">
        <f t="shared" si="71"/>
        <v>0</v>
      </c>
      <c r="AZ720" t="e">
        <v>#N/A</v>
      </c>
      <c r="BA720">
        <v>5</v>
      </c>
      <c r="BB720">
        <v>2020</v>
      </c>
      <c r="BC720">
        <v>5</v>
      </c>
      <c r="BD720">
        <v>2020</v>
      </c>
      <c r="BE720">
        <v>1</v>
      </c>
      <c r="BF720">
        <v>2020</v>
      </c>
    </row>
    <row r="721" spans="1:58" x14ac:dyDescent="0.2">
      <c r="A721" s="7">
        <v>0</v>
      </c>
      <c r="B721" s="7">
        <v>12</v>
      </c>
      <c r="C721" s="7">
        <v>0</v>
      </c>
      <c r="D721" s="7">
        <v>2</v>
      </c>
      <c r="E721" s="7">
        <f t="shared" si="66"/>
        <v>14</v>
      </c>
      <c r="F721" s="11" t="e">
        <v>#N/A</v>
      </c>
      <c r="G721">
        <v>0</v>
      </c>
      <c r="H721">
        <v>0</v>
      </c>
      <c r="I721">
        <v>0</v>
      </c>
      <c r="J721">
        <v>0</v>
      </c>
      <c r="K721">
        <f t="shared" si="67"/>
        <v>0</v>
      </c>
      <c r="L721" t="e">
        <v>#N/A</v>
      </c>
      <c r="M721">
        <v>78111.327927580001</v>
      </c>
      <c r="N721" s="7">
        <v>20</v>
      </c>
      <c r="O721" s="7">
        <v>40</v>
      </c>
      <c r="P721" s="7">
        <v>8</v>
      </c>
      <c r="Q721" s="7">
        <v>19</v>
      </c>
      <c r="R721" s="7">
        <f t="shared" si="68"/>
        <v>87</v>
      </c>
      <c r="S721" t="e">
        <v>#N/A</v>
      </c>
      <c r="T721" s="7">
        <v>20</v>
      </c>
      <c r="U721" s="7">
        <v>40</v>
      </c>
      <c r="V721" s="7">
        <v>9</v>
      </c>
      <c r="W721" s="7">
        <v>26</v>
      </c>
      <c r="X721" s="7">
        <f t="shared" si="69"/>
        <v>95</v>
      </c>
      <c r="Y721" t="e">
        <v>#N/A</v>
      </c>
      <c r="Z721">
        <v>33147.5470489</v>
      </c>
      <c r="AA721" t="s">
        <v>362</v>
      </c>
      <c r="AB721">
        <v>54</v>
      </c>
      <c r="AC721">
        <v>595</v>
      </c>
      <c r="AD721" t="s">
        <v>253</v>
      </c>
      <c r="AE721" t="s">
        <v>41</v>
      </c>
      <c r="AF721">
        <v>59</v>
      </c>
      <c r="AG721" s="8">
        <v>193</v>
      </c>
      <c r="AH721">
        <v>8</v>
      </c>
      <c r="AI721">
        <v>81</v>
      </c>
      <c r="AJ721">
        <v>-14</v>
      </c>
      <c r="AK721">
        <v>4.145077720207254E-2</v>
      </c>
      <c r="AL721">
        <v>0.5758526005989556</v>
      </c>
      <c r="AM721">
        <v>87</v>
      </c>
      <c r="AN721">
        <v>0</v>
      </c>
      <c r="AO721">
        <v>9.1954022988505746E-2</v>
      </c>
      <c r="AP721">
        <v>0.5714285714285714</v>
      </c>
      <c r="AQ721">
        <v>0.14285714285714285</v>
      </c>
      <c r="AR721">
        <v>0</v>
      </c>
      <c r="AS721">
        <v>0.8571428571428571</v>
      </c>
      <c r="AT721">
        <v>0</v>
      </c>
      <c r="AU721">
        <v>111258.87497648</v>
      </c>
      <c r="AV721">
        <v>33</v>
      </c>
      <c r="AW721">
        <f t="shared" si="70"/>
        <v>1</v>
      </c>
      <c r="AX721">
        <v>595</v>
      </c>
      <c r="AY721">
        <f t="shared" si="71"/>
        <v>1</v>
      </c>
      <c r="AZ721">
        <v>10.084745762711865</v>
      </c>
      <c r="BA721">
        <v>1</v>
      </c>
      <c r="BB721">
        <v>2020</v>
      </c>
      <c r="BC721">
        <v>3</v>
      </c>
      <c r="BD721">
        <v>2020</v>
      </c>
      <c r="BE721">
        <v>1</v>
      </c>
      <c r="BF721">
        <v>2020</v>
      </c>
    </row>
    <row r="722" spans="1:58" x14ac:dyDescent="0.2">
      <c r="A722" s="7">
        <v>0</v>
      </c>
      <c r="B722" s="7">
        <v>0</v>
      </c>
      <c r="C722" s="7">
        <v>0</v>
      </c>
      <c r="D722" s="7">
        <v>0</v>
      </c>
      <c r="E722" s="7">
        <f t="shared" si="66"/>
        <v>0</v>
      </c>
      <c r="F722" s="11" t="e">
        <v>#N/A</v>
      </c>
      <c r="G722">
        <v>0</v>
      </c>
      <c r="H722">
        <v>0</v>
      </c>
      <c r="I722">
        <v>0</v>
      </c>
      <c r="J722">
        <v>0</v>
      </c>
      <c r="K722">
        <f t="shared" si="67"/>
        <v>0</v>
      </c>
      <c r="L722" t="e">
        <v>#N/A</v>
      </c>
      <c r="N722" s="7">
        <v>0</v>
      </c>
      <c r="O722" s="7">
        <v>0</v>
      </c>
      <c r="P722" s="7">
        <v>0</v>
      </c>
      <c r="Q722" s="7">
        <v>0</v>
      </c>
      <c r="R722" s="7">
        <f t="shared" si="68"/>
        <v>0</v>
      </c>
      <c r="S722" t="e">
        <v>#N/A</v>
      </c>
      <c r="T722" s="7">
        <v>0</v>
      </c>
      <c r="U722" s="7">
        <v>0</v>
      </c>
      <c r="V722" s="7">
        <v>0</v>
      </c>
      <c r="W722" s="7">
        <v>0</v>
      </c>
      <c r="X722" s="7">
        <f t="shared" si="69"/>
        <v>0</v>
      </c>
      <c r="Y722" t="e">
        <v>#N/A</v>
      </c>
      <c r="Z722">
        <v>267258.65903335001</v>
      </c>
      <c r="AA722" t="s">
        <v>363</v>
      </c>
      <c r="AB722">
        <v>45</v>
      </c>
      <c r="AC722">
        <v>629</v>
      </c>
      <c r="AD722" t="s">
        <v>72</v>
      </c>
      <c r="AE722" t="s">
        <v>41</v>
      </c>
      <c r="AF722" t="e">
        <v>#N/A</v>
      </c>
      <c r="AG722" s="8">
        <v>0</v>
      </c>
      <c r="AH722">
        <v>0</v>
      </c>
      <c r="AI722">
        <v>0</v>
      </c>
      <c r="AJ722">
        <v>0</v>
      </c>
      <c r="AK722" t="e">
        <v>#N/A</v>
      </c>
      <c r="AL722" t="e">
        <v>#N/A</v>
      </c>
      <c r="AM722">
        <v>0</v>
      </c>
      <c r="AN722">
        <v>0</v>
      </c>
      <c r="AO722" t="e">
        <v>#N/A</v>
      </c>
      <c r="AP722" t="e">
        <v>#N/A</v>
      </c>
      <c r="AQ722" t="e">
        <v>#N/A</v>
      </c>
      <c r="AR722" t="e">
        <v>#N/A</v>
      </c>
      <c r="AS722" t="e">
        <v>#N/A</v>
      </c>
      <c r="AT722" t="e">
        <v>#N/A</v>
      </c>
      <c r="AU722">
        <v>267258.65903335001</v>
      </c>
      <c r="AV722">
        <v>31</v>
      </c>
      <c r="AW722">
        <f t="shared" si="70"/>
        <v>1</v>
      </c>
      <c r="AX722">
        <v>629</v>
      </c>
      <c r="AY722">
        <f t="shared" si="71"/>
        <v>1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>
        <v>1</v>
      </c>
      <c r="BF722">
        <v>2020</v>
      </c>
    </row>
    <row r="723" spans="1:58" x14ac:dyDescent="0.2">
      <c r="A723" s="7">
        <v>11</v>
      </c>
      <c r="B723" s="7">
        <v>10</v>
      </c>
      <c r="C723" s="7">
        <v>0</v>
      </c>
      <c r="D723" s="7">
        <v>5</v>
      </c>
      <c r="E723" s="7">
        <f t="shared" si="66"/>
        <v>26</v>
      </c>
      <c r="F723" s="11" t="s">
        <v>36</v>
      </c>
      <c r="G723">
        <v>10</v>
      </c>
      <c r="H723">
        <v>10</v>
      </c>
      <c r="I723">
        <v>0</v>
      </c>
      <c r="J723">
        <v>0</v>
      </c>
      <c r="K723">
        <f t="shared" si="67"/>
        <v>20</v>
      </c>
      <c r="L723" t="s">
        <v>36</v>
      </c>
      <c r="M723">
        <v>41242.163391100003</v>
      </c>
      <c r="N723" s="7">
        <v>13</v>
      </c>
      <c r="O723" s="7">
        <v>26</v>
      </c>
      <c r="P723" s="7">
        <v>4</v>
      </c>
      <c r="Q723" s="7">
        <v>6</v>
      </c>
      <c r="R723" s="7">
        <f t="shared" si="68"/>
        <v>49</v>
      </c>
      <c r="S723" t="e">
        <v>#N/A</v>
      </c>
      <c r="T723" s="7">
        <v>19</v>
      </c>
      <c r="U723" s="7">
        <v>31</v>
      </c>
      <c r="V723" s="7">
        <v>9</v>
      </c>
      <c r="W723" s="7">
        <v>6</v>
      </c>
      <c r="X723" s="7">
        <f t="shared" si="69"/>
        <v>65</v>
      </c>
      <c r="Y723" t="e">
        <v>#N/A</v>
      </c>
      <c r="Z723">
        <v>91369.685687720004</v>
      </c>
      <c r="AA723" t="s">
        <v>364</v>
      </c>
      <c r="AB723">
        <v>51</v>
      </c>
      <c r="AC723">
        <v>0</v>
      </c>
      <c r="AD723" t="s">
        <v>258</v>
      </c>
      <c r="AE723" t="s">
        <v>41</v>
      </c>
      <c r="AF723">
        <v>243</v>
      </c>
      <c r="AG723" s="8">
        <v>267</v>
      </c>
      <c r="AH723">
        <v>16</v>
      </c>
      <c r="AI723">
        <v>39</v>
      </c>
      <c r="AJ723">
        <v>-6</v>
      </c>
      <c r="AK723">
        <v>5.9925093632958802E-2</v>
      </c>
      <c r="AL723">
        <v>0.97918409817936736</v>
      </c>
      <c r="AM723">
        <v>29</v>
      </c>
      <c r="AN723">
        <v>0</v>
      </c>
      <c r="AO723">
        <v>0.32653061224489793</v>
      </c>
      <c r="AP723">
        <v>0.61538461538461542</v>
      </c>
      <c r="AQ723">
        <v>0.19230769230769232</v>
      </c>
      <c r="AR723">
        <v>0.42307692307692307</v>
      </c>
      <c r="AS723">
        <v>0.38461538461538464</v>
      </c>
      <c r="AT723">
        <v>0</v>
      </c>
      <c r="AU723">
        <v>132611.84907882</v>
      </c>
      <c r="AV723">
        <v>15</v>
      </c>
      <c r="AW723">
        <f t="shared" si="70"/>
        <v>1</v>
      </c>
      <c r="AX723">
        <v>0</v>
      </c>
      <c r="AY723">
        <f t="shared" si="71"/>
        <v>0</v>
      </c>
      <c r="AZ723">
        <v>0</v>
      </c>
      <c r="BA723">
        <v>1</v>
      </c>
      <c r="BB723">
        <v>2020</v>
      </c>
      <c r="BC723">
        <v>9</v>
      </c>
      <c r="BD723">
        <v>2020</v>
      </c>
      <c r="BE723">
        <v>1</v>
      </c>
      <c r="BF723">
        <v>2020</v>
      </c>
    </row>
    <row r="724" spans="1:58" x14ac:dyDescent="0.2">
      <c r="A724" s="7">
        <v>9</v>
      </c>
      <c r="B724" s="7">
        <v>15</v>
      </c>
      <c r="C724" s="7">
        <v>2</v>
      </c>
      <c r="D724" s="7">
        <v>4</v>
      </c>
      <c r="E724" s="7">
        <f t="shared" si="66"/>
        <v>30</v>
      </c>
      <c r="F724" s="11" t="e">
        <v>#N/A</v>
      </c>
      <c r="G724">
        <v>9</v>
      </c>
      <c r="H724">
        <v>15</v>
      </c>
      <c r="I724">
        <v>2</v>
      </c>
      <c r="J724">
        <v>4</v>
      </c>
      <c r="K724">
        <f t="shared" si="67"/>
        <v>30</v>
      </c>
      <c r="L724" t="e">
        <v>#N/A</v>
      </c>
      <c r="M724">
        <v>16923.659464870001</v>
      </c>
      <c r="N724" s="7">
        <v>9</v>
      </c>
      <c r="O724" s="7">
        <v>15</v>
      </c>
      <c r="P724" s="7">
        <v>2</v>
      </c>
      <c r="Q724" s="7">
        <v>0</v>
      </c>
      <c r="R724" s="7">
        <f t="shared" si="68"/>
        <v>26</v>
      </c>
      <c r="S724" t="e">
        <v>#N/A</v>
      </c>
      <c r="T724" s="7">
        <v>13</v>
      </c>
      <c r="U724" s="7">
        <v>15</v>
      </c>
      <c r="V724" s="7">
        <v>5</v>
      </c>
      <c r="W724" s="7">
        <v>7</v>
      </c>
      <c r="X724" s="7">
        <f t="shared" si="69"/>
        <v>40</v>
      </c>
      <c r="Y724" t="e">
        <v>#N/A</v>
      </c>
      <c r="Z724">
        <v>105469.49677789</v>
      </c>
      <c r="AA724" t="s">
        <v>365</v>
      </c>
      <c r="AB724">
        <v>66</v>
      </c>
      <c r="AC724">
        <v>0</v>
      </c>
      <c r="AD724" t="s">
        <v>366</v>
      </c>
      <c r="AE724" t="s">
        <v>41</v>
      </c>
      <c r="AF724" t="e">
        <v>#N/A</v>
      </c>
      <c r="AG724" s="8">
        <v>4</v>
      </c>
      <c r="AH724">
        <v>14</v>
      </c>
      <c r="AI724">
        <v>10</v>
      </c>
      <c r="AJ724">
        <v>0</v>
      </c>
      <c r="AK724">
        <v>3.5</v>
      </c>
      <c r="AL724">
        <v>7</v>
      </c>
      <c r="AM724">
        <v>-4</v>
      </c>
      <c r="AN724">
        <v>1</v>
      </c>
      <c r="AO724">
        <v>0.53846153846153844</v>
      </c>
      <c r="AP724">
        <v>0.46666666666666667</v>
      </c>
      <c r="AQ724">
        <v>0.13333333333333333</v>
      </c>
      <c r="AR724">
        <v>0.3</v>
      </c>
      <c r="AS724">
        <v>0.5</v>
      </c>
      <c r="AT724">
        <v>6.6666666666666666E-2</v>
      </c>
      <c r="AU724">
        <v>122393.15624276</v>
      </c>
      <c r="AV724">
        <v>16</v>
      </c>
      <c r="AW724">
        <f t="shared" si="70"/>
        <v>1</v>
      </c>
      <c r="AX724">
        <v>0</v>
      </c>
      <c r="AY724">
        <f t="shared" si="71"/>
        <v>0</v>
      </c>
      <c r="AZ724" t="e">
        <v>#N/A</v>
      </c>
      <c r="BA724">
        <v>4</v>
      </c>
      <c r="BB724">
        <v>2020</v>
      </c>
      <c r="BC724">
        <v>4</v>
      </c>
      <c r="BD724">
        <v>2020</v>
      </c>
      <c r="BE724">
        <v>1</v>
      </c>
      <c r="BF724">
        <v>2020</v>
      </c>
    </row>
    <row r="725" spans="1:58" x14ac:dyDescent="0.2">
      <c r="A725" s="7">
        <v>9</v>
      </c>
      <c r="B725" s="7">
        <v>23</v>
      </c>
      <c r="C725" s="7">
        <v>2</v>
      </c>
      <c r="D725" s="7">
        <v>6</v>
      </c>
      <c r="E725" s="7">
        <f t="shared" si="66"/>
        <v>40</v>
      </c>
      <c r="F725" s="11" t="e">
        <v>#N/A</v>
      </c>
      <c r="G725">
        <v>3</v>
      </c>
      <c r="H725">
        <v>10</v>
      </c>
      <c r="I725">
        <v>0</v>
      </c>
      <c r="J725">
        <v>0</v>
      </c>
      <c r="K725">
        <f t="shared" si="67"/>
        <v>13</v>
      </c>
      <c r="L725" t="e">
        <v>#N/A</v>
      </c>
      <c r="M725">
        <v>120955.42633373001</v>
      </c>
      <c r="N725" s="7">
        <v>9</v>
      </c>
      <c r="O725" s="7">
        <v>26</v>
      </c>
      <c r="P725" s="7">
        <v>5</v>
      </c>
      <c r="Q725" s="7">
        <v>6</v>
      </c>
      <c r="R725" s="7">
        <f t="shared" si="68"/>
        <v>46</v>
      </c>
      <c r="S725" t="e">
        <v>#N/A</v>
      </c>
      <c r="T725" s="7">
        <v>14</v>
      </c>
      <c r="U725" s="7">
        <v>24</v>
      </c>
      <c r="V725" s="7">
        <v>9</v>
      </c>
      <c r="W725" s="7">
        <v>6</v>
      </c>
      <c r="X725" s="7">
        <f t="shared" si="69"/>
        <v>53</v>
      </c>
      <c r="Y725" t="e">
        <v>#N/A</v>
      </c>
      <c r="Z725">
        <v>63122.857972270001</v>
      </c>
      <c r="AA725" t="s">
        <v>367</v>
      </c>
      <c r="AB725">
        <v>73</v>
      </c>
      <c r="AC725">
        <v>0</v>
      </c>
      <c r="AD725" t="s">
        <v>131</v>
      </c>
      <c r="AE725" t="s">
        <v>41</v>
      </c>
      <c r="AF725">
        <v>109</v>
      </c>
      <c r="AG725" s="8">
        <v>320</v>
      </c>
      <c r="AH725">
        <v>7</v>
      </c>
      <c r="AI725">
        <v>13</v>
      </c>
      <c r="AJ725">
        <v>-27</v>
      </c>
      <c r="AK725">
        <v>2.1874999999999999E-2</v>
      </c>
      <c r="AL725">
        <v>0.39131189606246319</v>
      </c>
      <c r="AM725">
        <v>33</v>
      </c>
      <c r="AN725">
        <v>0</v>
      </c>
      <c r="AO725">
        <v>0.15217391304347827</v>
      </c>
      <c r="AP725">
        <v>0.17499999999999999</v>
      </c>
      <c r="AQ725">
        <v>0.15</v>
      </c>
      <c r="AR725">
        <v>0.22500000000000001</v>
      </c>
      <c r="AS725">
        <v>0.57499999999999996</v>
      </c>
      <c r="AT725">
        <v>0.05</v>
      </c>
      <c r="AU725">
        <v>184078.28430600002</v>
      </c>
      <c r="AV725">
        <v>17</v>
      </c>
      <c r="AW725">
        <f t="shared" si="70"/>
        <v>1</v>
      </c>
      <c r="AX725">
        <v>0</v>
      </c>
      <c r="AY725">
        <f t="shared" si="71"/>
        <v>0</v>
      </c>
      <c r="AZ725">
        <v>0</v>
      </c>
      <c r="BA725">
        <v>1</v>
      </c>
      <c r="BB725">
        <v>2020</v>
      </c>
      <c r="BC725">
        <v>4</v>
      </c>
      <c r="BD725">
        <v>2020</v>
      </c>
      <c r="BE725">
        <v>1</v>
      </c>
      <c r="BF725">
        <v>2020</v>
      </c>
    </row>
    <row r="726" spans="1:58" x14ac:dyDescent="0.2">
      <c r="A726" s="7">
        <v>0</v>
      </c>
      <c r="B726" s="7">
        <v>0</v>
      </c>
      <c r="C726" s="7">
        <v>0</v>
      </c>
      <c r="D726" s="7">
        <v>0</v>
      </c>
      <c r="E726" s="7">
        <f t="shared" si="66"/>
        <v>0</v>
      </c>
      <c r="F726" s="11" t="e">
        <v>#N/A</v>
      </c>
      <c r="G726">
        <v>0</v>
      </c>
      <c r="H726">
        <v>0</v>
      </c>
      <c r="I726">
        <v>0</v>
      </c>
      <c r="J726">
        <v>0</v>
      </c>
      <c r="K726">
        <f t="shared" si="67"/>
        <v>0</v>
      </c>
      <c r="L726" t="e">
        <v>#N/A</v>
      </c>
      <c r="N726" s="7">
        <v>5</v>
      </c>
      <c r="O726" s="7">
        <v>11</v>
      </c>
      <c r="P726" s="7">
        <v>2</v>
      </c>
      <c r="Q726" s="7">
        <v>5</v>
      </c>
      <c r="R726" s="7">
        <f t="shared" si="68"/>
        <v>23</v>
      </c>
      <c r="S726" t="e">
        <v>#N/A</v>
      </c>
      <c r="T726" s="7">
        <v>17</v>
      </c>
      <c r="U726" s="7">
        <v>30</v>
      </c>
      <c r="V726" s="7">
        <v>9</v>
      </c>
      <c r="W726" s="7">
        <v>6</v>
      </c>
      <c r="X726" s="7">
        <f t="shared" si="69"/>
        <v>62</v>
      </c>
      <c r="Y726" t="e">
        <v>#N/A</v>
      </c>
      <c r="Z726">
        <v>63528.809939490013</v>
      </c>
      <c r="AA726" t="s">
        <v>368</v>
      </c>
      <c r="AB726">
        <v>74</v>
      </c>
      <c r="AC726">
        <v>384</v>
      </c>
      <c r="AD726" t="s">
        <v>72</v>
      </c>
      <c r="AE726" t="s">
        <v>41</v>
      </c>
      <c r="AF726" t="e">
        <v>#N/A</v>
      </c>
      <c r="AG726" s="8">
        <v>224</v>
      </c>
      <c r="AH726">
        <v>39</v>
      </c>
      <c r="AI726">
        <v>62</v>
      </c>
      <c r="AJ726">
        <v>0</v>
      </c>
      <c r="AK726">
        <v>0.17410714285714285</v>
      </c>
      <c r="AL726">
        <v>2.6057971086461378</v>
      </c>
      <c r="AM726">
        <v>23</v>
      </c>
      <c r="AN726">
        <v>0</v>
      </c>
      <c r="AO726">
        <v>1.6956521739130435</v>
      </c>
      <c r="AP726" t="e">
        <v>#N/A</v>
      </c>
      <c r="AQ726" t="e">
        <v>#N/A</v>
      </c>
      <c r="AR726" t="e">
        <v>#N/A</v>
      </c>
      <c r="AS726" t="e">
        <v>#N/A</v>
      </c>
      <c r="AT726" t="e">
        <v>#N/A</v>
      </c>
      <c r="AU726">
        <v>63528.809939490013</v>
      </c>
      <c r="AV726">
        <v>24</v>
      </c>
      <c r="AW726">
        <f t="shared" si="70"/>
        <v>1</v>
      </c>
      <c r="AX726">
        <v>384</v>
      </c>
      <c r="AY726">
        <f t="shared" si="71"/>
        <v>1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>
        <v>2</v>
      </c>
      <c r="BF726">
        <v>2020</v>
      </c>
    </row>
    <row r="727" spans="1:58" x14ac:dyDescent="0.2">
      <c r="A727" s="7">
        <v>7</v>
      </c>
      <c r="B727" s="7">
        <v>20</v>
      </c>
      <c r="C727" s="7">
        <v>2</v>
      </c>
      <c r="D727" s="7">
        <v>0</v>
      </c>
      <c r="E727" s="7">
        <f t="shared" si="66"/>
        <v>29</v>
      </c>
      <c r="F727" s="11" t="e">
        <v>#N/A</v>
      </c>
      <c r="G727">
        <v>7</v>
      </c>
      <c r="H727">
        <v>20</v>
      </c>
      <c r="I727">
        <v>2</v>
      </c>
      <c r="J727">
        <v>0</v>
      </c>
      <c r="K727">
        <f t="shared" si="67"/>
        <v>29</v>
      </c>
      <c r="L727" t="e">
        <v>#N/A</v>
      </c>
      <c r="M727">
        <v>44951.82391590999</v>
      </c>
      <c r="N727" s="7">
        <v>0</v>
      </c>
      <c r="O727" s="7">
        <v>0</v>
      </c>
      <c r="P727" s="7">
        <v>0</v>
      </c>
      <c r="Q727" s="7">
        <v>0</v>
      </c>
      <c r="R727" s="7">
        <f t="shared" si="68"/>
        <v>0</v>
      </c>
      <c r="S727" t="e">
        <v>#N/A</v>
      </c>
      <c r="T727" s="7">
        <v>0</v>
      </c>
      <c r="U727" s="7">
        <v>0</v>
      </c>
      <c r="V727" s="7">
        <v>0</v>
      </c>
      <c r="W727" s="7">
        <v>0</v>
      </c>
      <c r="X727" s="7">
        <f t="shared" si="69"/>
        <v>0</v>
      </c>
      <c r="Y727" t="e">
        <v>#N/A</v>
      </c>
      <c r="AA727" t="s">
        <v>368</v>
      </c>
      <c r="AB727">
        <v>74</v>
      </c>
      <c r="AC727">
        <v>95</v>
      </c>
      <c r="AD727" t="s">
        <v>369</v>
      </c>
      <c r="AE727" t="s">
        <v>41</v>
      </c>
      <c r="AF727">
        <v>202</v>
      </c>
      <c r="AG727" s="8"/>
      <c r="AH727">
        <v>0</v>
      </c>
      <c r="AI727">
        <v>-29</v>
      </c>
      <c r="AJ727">
        <v>0</v>
      </c>
      <c r="AK727" t="e">
        <v>#N/A</v>
      </c>
      <c r="AL727" t="e">
        <v>#N/A</v>
      </c>
      <c r="AM727">
        <v>-29</v>
      </c>
      <c r="AN727">
        <v>1</v>
      </c>
      <c r="AO727" t="e">
        <v>#N/A</v>
      </c>
      <c r="AP727">
        <v>0</v>
      </c>
      <c r="AQ727">
        <v>0</v>
      </c>
      <c r="AR727">
        <v>0.2413793103448276</v>
      </c>
      <c r="AS727">
        <v>0.68965517241379315</v>
      </c>
      <c r="AT727">
        <v>6.8965517241379309E-2</v>
      </c>
      <c r="AU727">
        <v>44951.82391590999</v>
      </c>
      <c r="AV727">
        <v>17</v>
      </c>
      <c r="AW727">
        <f t="shared" si="70"/>
        <v>1</v>
      </c>
      <c r="AX727">
        <v>95</v>
      </c>
      <c r="AY727">
        <f t="shared" si="71"/>
        <v>1</v>
      </c>
      <c r="AZ727">
        <v>0.47029702970297027</v>
      </c>
      <c r="BA727">
        <v>5</v>
      </c>
      <c r="BB727">
        <v>2020</v>
      </c>
      <c r="BC727">
        <v>11</v>
      </c>
      <c r="BD727">
        <v>2020</v>
      </c>
      <c r="BE727" t="e">
        <v>#N/A</v>
      </c>
      <c r="BF727" t="e">
        <v>#N/A</v>
      </c>
    </row>
    <row r="728" spans="1:58" x14ac:dyDescent="0.2">
      <c r="A728" s="7">
        <v>5</v>
      </c>
      <c r="B728" s="7">
        <v>5</v>
      </c>
      <c r="C728" s="7">
        <v>3</v>
      </c>
      <c r="D728" s="7">
        <v>0</v>
      </c>
      <c r="E728" s="7">
        <f t="shared" si="66"/>
        <v>13</v>
      </c>
      <c r="F728" s="11" t="e">
        <v>#N/A</v>
      </c>
      <c r="G728">
        <v>5</v>
      </c>
      <c r="H728">
        <v>5</v>
      </c>
      <c r="I728">
        <v>3</v>
      </c>
      <c r="J728">
        <v>0</v>
      </c>
      <c r="K728">
        <f t="shared" si="67"/>
        <v>13</v>
      </c>
      <c r="L728" t="e">
        <v>#N/A</v>
      </c>
      <c r="M728">
        <v>24767.372290759999</v>
      </c>
      <c r="N728" s="7">
        <v>20</v>
      </c>
      <c r="O728" s="7">
        <v>40</v>
      </c>
      <c r="P728" s="7">
        <v>10</v>
      </c>
      <c r="Q728" s="7">
        <v>14</v>
      </c>
      <c r="R728" s="7">
        <f t="shared" si="68"/>
        <v>84</v>
      </c>
      <c r="S728" t="e">
        <v>#N/A</v>
      </c>
      <c r="T728" s="7">
        <v>17</v>
      </c>
      <c r="U728" s="7">
        <v>30</v>
      </c>
      <c r="V728" s="7">
        <v>10</v>
      </c>
      <c r="W728" s="7">
        <v>14</v>
      </c>
      <c r="X728" s="7">
        <f t="shared" si="69"/>
        <v>71</v>
      </c>
      <c r="Y728" t="e">
        <v>#N/A</v>
      </c>
      <c r="Z728">
        <v>34020.122685490001</v>
      </c>
      <c r="AA728" t="s">
        <v>370</v>
      </c>
      <c r="AB728">
        <v>70</v>
      </c>
      <c r="AC728">
        <v>240</v>
      </c>
      <c r="AD728" t="s">
        <v>72</v>
      </c>
      <c r="AE728" t="s">
        <v>75</v>
      </c>
      <c r="AF728" t="e">
        <v>#N/A</v>
      </c>
      <c r="AG728" s="8">
        <v>134</v>
      </c>
      <c r="AH728">
        <v>-13</v>
      </c>
      <c r="AI728">
        <v>58</v>
      </c>
      <c r="AJ728">
        <v>0</v>
      </c>
      <c r="AK728">
        <v>-9.7014925373134331E-2</v>
      </c>
      <c r="AL728">
        <v>-1.1230289532557682</v>
      </c>
      <c r="AM728">
        <v>71</v>
      </c>
      <c r="AN728">
        <v>0</v>
      </c>
      <c r="AO728">
        <v>-0.15476190476190477</v>
      </c>
      <c r="AP728">
        <v>-1</v>
      </c>
      <c r="AQ728">
        <v>0</v>
      </c>
      <c r="AR728">
        <v>0.38461538461538464</v>
      </c>
      <c r="AS728">
        <v>0.38461538461538464</v>
      </c>
      <c r="AT728">
        <v>0.23076923076923078</v>
      </c>
      <c r="AU728">
        <v>58787.494976250004</v>
      </c>
      <c r="AV728">
        <v>14</v>
      </c>
      <c r="AW728">
        <f t="shared" si="70"/>
        <v>1</v>
      </c>
      <c r="AX728">
        <v>240</v>
      </c>
      <c r="AY728">
        <f t="shared" si="71"/>
        <v>1</v>
      </c>
      <c r="AZ728" t="e">
        <v>#N/A</v>
      </c>
      <c r="BA728">
        <v>1</v>
      </c>
      <c r="BB728">
        <v>2020</v>
      </c>
      <c r="BC728">
        <v>1</v>
      </c>
      <c r="BD728">
        <v>2020</v>
      </c>
      <c r="BE728">
        <v>1</v>
      </c>
      <c r="BF728">
        <v>2020</v>
      </c>
    </row>
    <row r="729" spans="1:58" x14ac:dyDescent="0.2">
      <c r="A729" s="7">
        <v>0</v>
      </c>
      <c r="B729" s="7">
        <v>2</v>
      </c>
      <c r="C729" s="7">
        <v>0</v>
      </c>
      <c r="D729" s="7">
        <v>0</v>
      </c>
      <c r="E729" s="7">
        <f t="shared" si="66"/>
        <v>2</v>
      </c>
      <c r="F729" s="11" t="e">
        <v>#N/A</v>
      </c>
      <c r="G729">
        <v>0</v>
      </c>
      <c r="H729">
        <v>0</v>
      </c>
      <c r="I729">
        <v>0</v>
      </c>
      <c r="J729">
        <v>0</v>
      </c>
      <c r="K729">
        <f t="shared" si="67"/>
        <v>0</v>
      </c>
      <c r="L729" t="e">
        <v>#N/A</v>
      </c>
      <c r="M729">
        <v>43687.434120600003</v>
      </c>
      <c r="N729" s="7">
        <v>2</v>
      </c>
      <c r="O729" s="7">
        <v>10</v>
      </c>
      <c r="P729" s="7">
        <v>0</v>
      </c>
      <c r="Q729" s="7">
        <v>0</v>
      </c>
      <c r="R729" s="7">
        <f t="shared" si="68"/>
        <v>12</v>
      </c>
      <c r="S729" t="e">
        <v>#N/A</v>
      </c>
      <c r="T729" s="7">
        <v>1</v>
      </c>
      <c r="U729" s="7">
        <v>13</v>
      </c>
      <c r="V729" s="7">
        <v>0</v>
      </c>
      <c r="W729" s="7">
        <v>0</v>
      </c>
      <c r="X729" s="7">
        <f t="shared" si="69"/>
        <v>14</v>
      </c>
      <c r="Y729" t="e">
        <v>#N/A</v>
      </c>
      <c r="Z729">
        <v>91154.942428500013</v>
      </c>
      <c r="AA729" t="s">
        <v>371</v>
      </c>
      <c r="AB729">
        <v>85</v>
      </c>
      <c r="AC729">
        <v>479</v>
      </c>
      <c r="AD729" t="s">
        <v>254</v>
      </c>
      <c r="AE729" t="s">
        <v>41</v>
      </c>
      <c r="AF729">
        <v>24</v>
      </c>
      <c r="AG729" s="8">
        <v>200</v>
      </c>
      <c r="AH729">
        <v>2</v>
      </c>
      <c r="AI729">
        <v>12</v>
      </c>
      <c r="AJ729">
        <v>-2</v>
      </c>
      <c r="AK729">
        <v>0.01</v>
      </c>
      <c r="AL729">
        <v>0.1414213562373095</v>
      </c>
      <c r="AM729">
        <v>12</v>
      </c>
      <c r="AN729">
        <v>0</v>
      </c>
      <c r="AO729">
        <v>0.16666666666666666</v>
      </c>
      <c r="AP729">
        <v>1</v>
      </c>
      <c r="AQ729">
        <v>0</v>
      </c>
      <c r="AR729">
        <v>0</v>
      </c>
      <c r="AS729">
        <v>1</v>
      </c>
      <c r="AT729">
        <v>0</v>
      </c>
      <c r="AU729">
        <v>134842.37654910001</v>
      </c>
      <c r="AV729">
        <v>34</v>
      </c>
      <c r="AW729">
        <f t="shared" si="70"/>
        <v>1</v>
      </c>
      <c r="AX729">
        <v>479</v>
      </c>
      <c r="AY729">
        <f t="shared" si="71"/>
        <v>1</v>
      </c>
      <c r="AZ729">
        <v>19.958333333333332</v>
      </c>
      <c r="BA729">
        <v>4</v>
      </c>
      <c r="BB729">
        <v>2020</v>
      </c>
      <c r="BC729">
        <v>4</v>
      </c>
      <c r="BD729">
        <v>2020</v>
      </c>
      <c r="BE729">
        <v>1</v>
      </c>
      <c r="BF729">
        <v>2020</v>
      </c>
    </row>
    <row r="730" spans="1:58" x14ac:dyDescent="0.2">
      <c r="A730" s="7">
        <v>2</v>
      </c>
      <c r="B730" s="7">
        <v>4</v>
      </c>
      <c r="C730" s="7">
        <v>0</v>
      </c>
      <c r="D730" s="7">
        <v>0</v>
      </c>
      <c r="E730" s="7">
        <f t="shared" si="66"/>
        <v>6</v>
      </c>
      <c r="F730" s="11" t="e">
        <v>#N/A</v>
      </c>
      <c r="G730">
        <v>2</v>
      </c>
      <c r="H730">
        <v>4</v>
      </c>
      <c r="I730">
        <v>0</v>
      </c>
      <c r="J730">
        <v>0</v>
      </c>
      <c r="K730">
        <f t="shared" si="67"/>
        <v>6</v>
      </c>
      <c r="L730" t="e">
        <v>#N/A</v>
      </c>
      <c r="M730">
        <v>28753.399529810002</v>
      </c>
      <c r="N730" s="7">
        <v>7</v>
      </c>
      <c r="O730" s="7">
        <v>27</v>
      </c>
      <c r="P730" s="7">
        <v>3</v>
      </c>
      <c r="Q730" s="7">
        <v>0</v>
      </c>
      <c r="R730" s="7">
        <f t="shared" si="68"/>
        <v>37</v>
      </c>
      <c r="S730" t="e">
        <v>#N/A</v>
      </c>
      <c r="T730" s="7">
        <v>18</v>
      </c>
      <c r="U730" s="7">
        <v>35</v>
      </c>
      <c r="V730" s="7">
        <v>9</v>
      </c>
      <c r="W730" s="7">
        <v>13</v>
      </c>
      <c r="X730" s="7">
        <f t="shared" si="69"/>
        <v>75</v>
      </c>
      <c r="Y730" t="e">
        <v>#N/A</v>
      </c>
      <c r="Z730">
        <v>113559.09464077</v>
      </c>
      <c r="AA730" t="s">
        <v>372</v>
      </c>
      <c r="AB730">
        <v>70</v>
      </c>
      <c r="AC730">
        <v>356</v>
      </c>
      <c r="AD730" t="s">
        <v>253</v>
      </c>
      <c r="AE730" t="s">
        <v>41</v>
      </c>
      <c r="AF730" t="e">
        <v>#N/A</v>
      </c>
      <c r="AG730" s="8">
        <v>5</v>
      </c>
      <c r="AH730">
        <v>38</v>
      </c>
      <c r="AI730">
        <v>69</v>
      </c>
      <c r="AJ730">
        <v>0</v>
      </c>
      <c r="AK730">
        <v>7.6</v>
      </c>
      <c r="AL730">
        <v>16.994116628998402</v>
      </c>
      <c r="AM730">
        <v>31</v>
      </c>
      <c r="AN730">
        <v>0</v>
      </c>
      <c r="AO730">
        <v>1.027027027027027</v>
      </c>
      <c r="AP730">
        <v>6.333333333333333</v>
      </c>
      <c r="AQ730">
        <v>0</v>
      </c>
      <c r="AR730">
        <v>0.33333333333333331</v>
      </c>
      <c r="AS730">
        <v>0.66666666666666663</v>
      </c>
      <c r="AT730">
        <v>0</v>
      </c>
      <c r="AU730">
        <v>142312.49417058</v>
      </c>
      <c r="AV730">
        <v>16</v>
      </c>
      <c r="AW730">
        <f t="shared" si="70"/>
        <v>1</v>
      </c>
      <c r="AX730">
        <v>356</v>
      </c>
      <c r="AY730">
        <f t="shared" si="71"/>
        <v>1</v>
      </c>
      <c r="AZ730" t="e">
        <v>#N/A</v>
      </c>
      <c r="BA730">
        <v>6</v>
      </c>
      <c r="BB730">
        <v>2020</v>
      </c>
      <c r="BC730">
        <v>6</v>
      </c>
      <c r="BD730">
        <v>2020</v>
      </c>
      <c r="BE730">
        <v>1</v>
      </c>
      <c r="BF730">
        <v>2020</v>
      </c>
    </row>
    <row r="731" spans="1:58" x14ac:dyDescent="0.2">
      <c r="A731" s="7">
        <v>0</v>
      </c>
      <c r="B731" s="7">
        <v>2</v>
      </c>
      <c r="C731" s="7">
        <v>0</v>
      </c>
      <c r="D731" s="7">
        <v>0</v>
      </c>
      <c r="E731" s="7">
        <f t="shared" si="66"/>
        <v>2</v>
      </c>
      <c r="F731" s="11" t="e">
        <v>#N/A</v>
      </c>
      <c r="G731">
        <v>0</v>
      </c>
      <c r="H731">
        <v>2</v>
      </c>
      <c r="I731">
        <v>0</v>
      </c>
      <c r="J731">
        <v>0</v>
      </c>
      <c r="K731">
        <f t="shared" si="67"/>
        <v>2</v>
      </c>
      <c r="L731" t="e">
        <v>#N/A</v>
      </c>
      <c r="M731">
        <v>36597.958278470003</v>
      </c>
      <c r="N731" s="7">
        <v>0</v>
      </c>
      <c r="O731" s="7">
        <v>2</v>
      </c>
      <c r="P731" s="7">
        <v>0</v>
      </c>
      <c r="Q731" s="7">
        <v>0</v>
      </c>
      <c r="R731" s="7">
        <f t="shared" si="68"/>
        <v>2</v>
      </c>
      <c r="S731" t="e">
        <v>#N/A</v>
      </c>
      <c r="T731" s="7">
        <v>0</v>
      </c>
      <c r="U731" s="7">
        <v>2</v>
      </c>
      <c r="V731" s="7">
        <v>0</v>
      </c>
      <c r="W731" s="7">
        <v>0</v>
      </c>
      <c r="X731" s="7">
        <f t="shared" si="69"/>
        <v>2</v>
      </c>
      <c r="Y731" t="e">
        <v>#N/A</v>
      </c>
      <c r="Z731">
        <v>28551.043567559998</v>
      </c>
      <c r="AA731" t="s">
        <v>373</v>
      </c>
      <c r="AB731">
        <v>77</v>
      </c>
      <c r="AC731">
        <v>0</v>
      </c>
      <c r="AD731" t="s">
        <v>265</v>
      </c>
      <c r="AE731" t="s">
        <v>41</v>
      </c>
      <c r="AF731">
        <v>128</v>
      </c>
      <c r="AG731" s="8">
        <v>0</v>
      </c>
      <c r="AH731">
        <v>0</v>
      </c>
      <c r="AI731">
        <v>0</v>
      </c>
      <c r="AJ731">
        <v>0</v>
      </c>
      <c r="AK731" t="e">
        <v>#N/A</v>
      </c>
      <c r="AL731" t="e">
        <v>#N/A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0</v>
      </c>
      <c r="AU731">
        <v>65149.001846030005</v>
      </c>
      <c r="AV731">
        <v>15</v>
      </c>
      <c r="AW731">
        <f t="shared" si="70"/>
        <v>1</v>
      </c>
      <c r="AX731">
        <v>0</v>
      </c>
      <c r="AY731">
        <f t="shared" si="71"/>
        <v>0</v>
      </c>
      <c r="AZ731">
        <v>0</v>
      </c>
      <c r="BA731">
        <v>1</v>
      </c>
      <c r="BB731">
        <v>2020</v>
      </c>
      <c r="BC731">
        <v>5</v>
      </c>
      <c r="BD731">
        <v>2020</v>
      </c>
      <c r="BE731">
        <v>6</v>
      </c>
      <c r="BF731">
        <v>2020</v>
      </c>
    </row>
    <row r="732" spans="1:58" x14ac:dyDescent="0.2">
      <c r="A732" s="7">
        <v>0</v>
      </c>
      <c r="B732" s="7">
        <v>15</v>
      </c>
      <c r="C732" s="7">
        <v>0</v>
      </c>
      <c r="D732" s="7">
        <v>0</v>
      </c>
      <c r="E732" s="7">
        <f t="shared" si="66"/>
        <v>15</v>
      </c>
      <c r="F732" s="11" t="e">
        <v>#N/A</v>
      </c>
      <c r="G732">
        <v>0</v>
      </c>
      <c r="H732">
        <v>15</v>
      </c>
      <c r="I732">
        <v>0</v>
      </c>
      <c r="J732">
        <v>0</v>
      </c>
      <c r="K732">
        <f t="shared" si="67"/>
        <v>15</v>
      </c>
      <c r="L732" t="e">
        <v>#N/A</v>
      </c>
      <c r="M732">
        <v>22613.614489249991</v>
      </c>
      <c r="N732" s="7">
        <v>4</v>
      </c>
      <c r="O732" s="7">
        <v>21</v>
      </c>
      <c r="P732" s="7">
        <v>4</v>
      </c>
      <c r="Q732" s="7">
        <v>3</v>
      </c>
      <c r="R732" s="7">
        <f t="shared" si="68"/>
        <v>32</v>
      </c>
      <c r="S732" t="e">
        <v>#N/A</v>
      </c>
      <c r="T732" s="7">
        <v>9</v>
      </c>
      <c r="U732" s="7">
        <v>31</v>
      </c>
      <c r="V732" s="7">
        <v>5</v>
      </c>
      <c r="W732" s="7">
        <v>11</v>
      </c>
      <c r="X732" s="7">
        <f t="shared" si="69"/>
        <v>56</v>
      </c>
      <c r="Y732" t="e">
        <v>#N/A</v>
      </c>
      <c r="Z732">
        <v>126720.16974852</v>
      </c>
      <c r="AA732" t="s">
        <v>374</v>
      </c>
      <c r="AB732">
        <v>75</v>
      </c>
      <c r="AC732">
        <v>0</v>
      </c>
      <c r="AD732" t="s">
        <v>295</v>
      </c>
      <c r="AE732" t="s">
        <v>41</v>
      </c>
      <c r="AF732" t="e">
        <v>#N/A</v>
      </c>
      <c r="AG732" s="8">
        <v>287</v>
      </c>
      <c r="AH732">
        <v>24</v>
      </c>
      <c r="AI732">
        <v>41</v>
      </c>
      <c r="AJ732">
        <v>0</v>
      </c>
      <c r="AK732">
        <v>8.3623693379790948E-2</v>
      </c>
      <c r="AL732">
        <v>1.4166752066422927</v>
      </c>
      <c r="AM732">
        <v>17</v>
      </c>
      <c r="AN732">
        <v>0</v>
      </c>
      <c r="AO732">
        <v>0.75</v>
      </c>
      <c r="AP732">
        <v>1.6</v>
      </c>
      <c r="AQ732">
        <v>0</v>
      </c>
      <c r="AR732">
        <v>0</v>
      </c>
      <c r="AS732">
        <v>1</v>
      </c>
      <c r="AT732">
        <v>0</v>
      </c>
      <c r="AU732">
        <v>149333.78423776999</v>
      </c>
      <c r="AV732">
        <v>11</v>
      </c>
      <c r="AW732">
        <f t="shared" si="70"/>
        <v>1</v>
      </c>
      <c r="AX732">
        <v>0</v>
      </c>
      <c r="AY732">
        <f t="shared" si="71"/>
        <v>0</v>
      </c>
      <c r="AZ732" t="e">
        <v>#N/A</v>
      </c>
      <c r="BA732">
        <v>7</v>
      </c>
      <c r="BB732">
        <v>2020</v>
      </c>
      <c r="BC732">
        <v>7</v>
      </c>
      <c r="BD732">
        <v>2020</v>
      </c>
      <c r="BE732">
        <v>1</v>
      </c>
      <c r="BF732">
        <v>2020</v>
      </c>
    </row>
    <row r="733" spans="1:58" x14ac:dyDescent="0.2">
      <c r="A733" s="7">
        <v>0</v>
      </c>
      <c r="B733" s="7">
        <v>10</v>
      </c>
      <c r="C733" s="7">
        <v>0</v>
      </c>
      <c r="D733" s="7">
        <v>0</v>
      </c>
      <c r="E733" s="7">
        <f t="shared" si="66"/>
        <v>10</v>
      </c>
      <c r="F733" s="11" t="e">
        <v>#N/A</v>
      </c>
      <c r="G733">
        <v>0</v>
      </c>
      <c r="H733">
        <v>10</v>
      </c>
      <c r="I733">
        <v>0</v>
      </c>
      <c r="J733">
        <v>0</v>
      </c>
      <c r="K733">
        <f t="shared" si="67"/>
        <v>10</v>
      </c>
      <c r="L733" t="e">
        <v>#N/A</v>
      </c>
      <c r="M733">
        <v>27879.482334929999</v>
      </c>
      <c r="N733" s="7">
        <v>3</v>
      </c>
      <c r="O733" s="7">
        <v>18</v>
      </c>
      <c r="P733" s="7">
        <v>3</v>
      </c>
      <c r="Q733" s="7">
        <v>3</v>
      </c>
      <c r="R733" s="7">
        <f t="shared" si="68"/>
        <v>27</v>
      </c>
      <c r="S733" t="e">
        <v>#N/A</v>
      </c>
      <c r="T733" s="7">
        <v>3</v>
      </c>
      <c r="U733" s="7">
        <v>18</v>
      </c>
      <c r="V733" s="7">
        <v>3</v>
      </c>
      <c r="W733" s="7">
        <v>3</v>
      </c>
      <c r="X733" s="7">
        <f t="shared" si="69"/>
        <v>27</v>
      </c>
      <c r="Y733" t="e">
        <v>#N/A</v>
      </c>
      <c r="Z733">
        <v>173429.44253669999</v>
      </c>
      <c r="AA733" t="s">
        <v>375</v>
      </c>
      <c r="AB733">
        <v>73</v>
      </c>
      <c r="AC733">
        <v>0</v>
      </c>
      <c r="AD733" t="s">
        <v>272</v>
      </c>
      <c r="AE733" t="s">
        <v>41</v>
      </c>
      <c r="AF733" t="e">
        <v>#N/A</v>
      </c>
      <c r="AG733" s="8">
        <v>0</v>
      </c>
      <c r="AH733">
        <v>0</v>
      </c>
      <c r="AI733">
        <v>17</v>
      </c>
      <c r="AJ733">
        <v>0</v>
      </c>
      <c r="AK733" t="e">
        <v>#N/A</v>
      </c>
      <c r="AL733" t="e">
        <v>#N/A</v>
      </c>
      <c r="AM733">
        <v>17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>
        <v>0</v>
      </c>
      <c r="AU733">
        <v>201308.92487162998</v>
      </c>
      <c r="AV733">
        <v>9</v>
      </c>
      <c r="AW733">
        <f t="shared" si="70"/>
        <v>0</v>
      </c>
      <c r="AX733">
        <v>0</v>
      </c>
      <c r="AY733">
        <f t="shared" si="71"/>
        <v>0</v>
      </c>
      <c r="AZ733" t="e">
        <v>#N/A</v>
      </c>
      <c r="BA733">
        <v>7</v>
      </c>
      <c r="BB733">
        <v>2020</v>
      </c>
      <c r="BC733">
        <v>7</v>
      </c>
      <c r="BD733">
        <v>2020</v>
      </c>
      <c r="BE733">
        <v>1</v>
      </c>
      <c r="BF733">
        <v>2020</v>
      </c>
    </row>
    <row r="734" spans="1:58" x14ac:dyDescent="0.2">
      <c r="A734" s="7">
        <v>0</v>
      </c>
      <c r="B734" s="7">
        <v>21</v>
      </c>
      <c r="C734" s="7">
        <v>4</v>
      </c>
      <c r="D734" s="7">
        <v>0</v>
      </c>
      <c r="E734" s="7">
        <f t="shared" si="66"/>
        <v>25</v>
      </c>
      <c r="F734" s="11" t="e">
        <v>#N/A</v>
      </c>
      <c r="G734">
        <v>0</v>
      </c>
      <c r="H734">
        <v>21</v>
      </c>
      <c r="I734">
        <v>4</v>
      </c>
      <c r="J734">
        <v>0</v>
      </c>
      <c r="K734">
        <f t="shared" si="67"/>
        <v>25</v>
      </c>
      <c r="L734" t="e">
        <v>#N/A</v>
      </c>
      <c r="M734">
        <v>24094.359460290001</v>
      </c>
      <c r="N734" s="7">
        <v>0</v>
      </c>
      <c r="O734" s="7">
        <v>21</v>
      </c>
      <c r="P734" s="7">
        <v>6</v>
      </c>
      <c r="Q734" s="7">
        <v>3</v>
      </c>
      <c r="R734" s="7">
        <f t="shared" si="68"/>
        <v>30</v>
      </c>
      <c r="S734" t="e">
        <v>#N/A</v>
      </c>
      <c r="T734" s="7">
        <v>20</v>
      </c>
      <c r="U734" s="7">
        <v>40</v>
      </c>
      <c r="V734" s="7">
        <v>9</v>
      </c>
      <c r="W734" s="7">
        <v>18</v>
      </c>
      <c r="X734" s="7">
        <f t="shared" si="69"/>
        <v>87</v>
      </c>
      <c r="Y734" t="e">
        <v>#N/A</v>
      </c>
      <c r="Z734">
        <v>93124.646183509991</v>
      </c>
      <c r="AA734" t="s">
        <v>376</v>
      </c>
      <c r="AB734">
        <v>73</v>
      </c>
      <c r="AC734">
        <v>0</v>
      </c>
      <c r="AD734" t="s">
        <v>254</v>
      </c>
      <c r="AE734" t="s">
        <v>41</v>
      </c>
      <c r="AF734" t="e">
        <v>#N/A</v>
      </c>
      <c r="AG734" s="8">
        <v>259</v>
      </c>
      <c r="AH734">
        <v>57</v>
      </c>
      <c r="AI734">
        <v>62</v>
      </c>
      <c r="AJ734">
        <v>0</v>
      </c>
      <c r="AK734">
        <v>0.22007722007722008</v>
      </c>
      <c r="AL734">
        <v>3.5418076662068403</v>
      </c>
      <c r="AM734">
        <v>5</v>
      </c>
      <c r="AN734">
        <v>0</v>
      </c>
      <c r="AO734">
        <v>1.9</v>
      </c>
      <c r="AP734">
        <v>2.2799999999999998</v>
      </c>
      <c r="AQ734">
        <v>0</v>
      </c>
      <c r="AR734">
        <v>0</v>
      </c>
      <c r="AS734">
        <v>0.84</v>
      </c>
      <c r="AT734">
        <v>0.16</v>
      </c>
      <c r="AU734">
        <v>117219.00564379999</v>
      </c>
      <c r="AV734">
        <v>13</v>
      </c>
      <c r="AW734">
        <f t="shared" si="70"/>
        <v>1</v>
      </c>
      <c r="AX734">
        <v>0</v>
      </c>
      <c r="AY734">
        <f t="shared" si="71"/>
        <v>0</v>
      </c>
      <c r="AZ734" t="e">
        <v>#N/A</v>
      </c>
      <c r="BA734">
        <v>7</v>
      </c>
      <c r="BB734">
        <v>2020</v>
      </c>
      <c r="BC734">
        <v>7</v>
      </c>
      <c r="BD734">
        <v>2020</v>
      </c>
      <c r="BE734">
        <v>1</v>
      </c>
      <c r="BF734">
        <v>2020</v>
      </c>
    </row>
    <row r="735" spans="1:58" x14ac:dyDescent="0.2">
      <c r="A735" s="7">
        <v>8</v>
      </c>
      <c r="B735" s="7">
        <v>26</v>
      </c>
      <c r="C735" s="7">
        <v>4</v>
      </c>
      <c r="D735" s="7">
        <v>4</v>
      </c>
      <c r="E735" s="7">
        <f t="shared" si="66"/>
        <v>42</v>
      </c>
      <c r="F735" s="11" t="e">
        <v>#N/A</v>
      </c>
      <c r="G735">
        <v>6</v>
      </c>
      <c r="H735">
        <v>25</v>
      </c>
      <c r="I735">
        <v>2</v>
      </c>
      <c r="J735">
        <v>3</v>
      </c>
      <c r="K735">
        <f t="shared" si="67"/>
        <v>36</v>
      </c>
      <c r="L735" t="e">
        <v>#N/A</v>
      </c>
      <c r="M735">
        <v>25206.809598070002</v>
      </c>
      <c r="N735" s="7">
        <v>7</v>
      </c>
      <c r="O735" s="7">
        <v>35</v>
      </c>
      <c r="P735" s="7">
        <v>2</v>
      </c>
      <c r="Q735" s="7">
        <v>4</v>
      </c>
      <c r="R735" s="7">
        <f t="shared" si="68"/>
        <v>48</v>
      </c>
      <c r="S735" t="e">
        <v>#N/A</v>
      </c>
      <c r="T735" s="7">
        <v>7</v>
      </c>
      <c r="U735" s="7">
        <v>35</v>
      </c>
      <c r="V735" s="7">
        <v>3</v>
      </c>
      <c r="W735" s="7">
        <v>25</v>
      </c>
      <c r="X735" s="7">
        <f t="shared" si="69"/>
        <v>70</v>
      </c>
      <c r="Y735" t="e">
        <v>#N/A</v>
      </c>
      <c r="Z735">
        <v>125442.65213057</v>
      </c>
      <c r="AA735" t="s">
        <v>377</v>
      </c>
      <c r="AB735">
        <v>37</v>
      </c>
      <c r="AC735">
        <v>0</v>
      </c>
      <c r="AD735" t="s">
        <v>244</v>
      </c>
      <c r="AE735" t="s">
        <v>75</v>
      </c>
      <c r="AF735">
        <v>133</v>
      </c>
      <c r="AG735" s="8">
        <v>347</v>
      </c>
      <c r="AH735">
        <v>22</v>
      </c>
      <c r="AI735">
        <v>28</v>
      </c>
      <c r="AJ735">
        <v>-6</v>
      </c>
      <c r="AK735">
        <v>6.3400576368876083E-2</v>
      </c>
      <c r="AL735">
        <v>1.1810218796090417</v>
      </c>
      <c r="AM735">
        <v>12</v>
      </c>
      <c r="AN735">
        <v>0</v>
      </c>
      <c r="AO735">
        <v>0.45833333333333331</v>
      </c>
      <c r="AP735">
        <v>0.52380952380952384</v>
      </c>
      <c r="AQ735">
        <v>9.5238095238095233E-2</v>
      </c>
      <c r="AR735">
        <v>0.19047619047619047</v>
      </c>
      <c r="AS735">
        <v>0.61904761904761907</v>
      </c>
      <c r="AT735">
        <v>9.5238095238095233E-2</v>
      </c>
      <c r="AU735">
        <v>150649.46172864002</v>
      </c>
      <c r="AV735">
        <v>4</v>
      </c>
      <c r="AW735">
        <f t="shared" si="70"/>
        <v>0</v>
      </c>
      <c r="AX735">
        <v>0</v>
      </c>
      <c r="AY735">
        <f t="shared" si="71"/>
        <v>0</v>
      </c>
      <c r="AZ735">
        <v>0</v>
      </c>
      <c r="BA735">
        <v>1</v>
      </c>
      <c r="BB735">
        <v>2020</v>
      </c>
      <c r="BC735">
        <v>5</v>
      </c>
      <c r="BD735">
        <v>2020</v>
      </c>
      <c r="BE735">
        <v>1</v>
      </c>
      <c r="BF735">
        <v>2020</v>
      </c>
    </row>
    <row r="736" spans="1:58" x14ac:dyDescent="0.2">
      <c r="A736" s="7">
        <v>13</v>
      </c>
      <c r="B736" s="7">
        <v>18</v>
      </c>
      <c r="C736" s="7">
        <v>0</v>
      </c>
      <c r="D736" s="7">
        <v>5</v>
      </c>
      <c r="E736" s="7">
        <f t="shared" si="66"/>
        <v>36</v>
      </c>
      <c r="F736" s="11" t="e">
        <v>#N/A</v>
      </c>
      <c r="G736">
        <v>13</v>
      </c>
      <c r="H736">
        <v>18</v>
      </c>
      <c r="I736">
        <v>0</v>
      </c>
      <c r="J736">
        <v>0</v>
      </c>
      <c r="K736">
        <f t="shared" si="67"/>
        <v>31</v>
      </c>
      <c r="L736" t="e">
        <v>#N/A</v>
      </c>
      <c r="M736">
        <v>30503.509382110002</v>
      </c>
      <c r="N736" s="7">
        <v>11</v>
      </c>
      <c r="O736" s="7">
        <v>22</v>
      </c>
      <c r="P736" s="7">
        <v>6</v>
      </c>
      <c r="Q736" s="7">
        <v>7</v>
      </c>
      <c r="R736" s="7">
        <f t="shared" si="68"/>
        <v>46</v>
      </c>
      <c r="S736" t="e">
        <v>#N/A</v>
      </c>
      <c r="T736" s="7">
        <v>20</v>
      </c>
      <c r="U736" s="7">
        <v>36</v>
      </c>
      <c r="V736" s="7">
        <v>9</v>
      </c>
      <c r="W736" s="7">
        <v>7</v>
      </c>
      <c r="X736" s="7">
        <f t="shared" si="69"/>
        <v>72</v>
      </c>
      <c r="Y736" t="e">
        <v>#N/A</v>
      </c>
      <c r="Z736">
        <v>82125.874280889999</v>
      </c>
      <c r="AA736" t="s">
        <v>378</v>
      </c>
      <c r="AB736">
        <v>18</v>
      </c>
      <c r="AC736">
        <v>96</v>
      </c>
      <c r="AD736" t="s">
        <v>258</v>
      </c>
      <c r="AE736" t="s">
        <v>41</v>
      </c>
      <c r="AF736">
        <v>334</v>
      </c>
      <c r="AG736" s="8">
        <v>253</v>
      </c>
      <c r="AH736">
        <v>26</v>
      </c>
      <c r="AI736">
        <v>36</v>
      </c>
      <c r="AJ736">
        <v>-5</v>
      </c>
      <c r="AK736">
        <v>0.10276679841897234</v>
      </c>
      <c r="AL736">
        <v>1.6346059950010219</v>
      </c>
      <c r="AM736">
        <v>15</v>
      </c>
      <c r="AN736">
        <v>0</v>
      </c>
      <c r="AO736">
        <v>0.56521739130434778</v>
      </c>
      <c r="AP736">
        <v>0.72222222222222221</v>
      </c>
      <c r="AQ736">
        <v>0.1388888888888889</v>
      </c>
      <c r="AR736">
        <v>0.3611111111111111</v>
      </c>
      <c r="AS736">
        <v>0.5</v>
      </c>
      <c r="AT736">
        <v>0</v>
      </c>
      <c r="AU736">
        <v>112629.383663</v>
      </c>
      <c r="AV736">
        <v>14</v>
      </c>
      <c r="AW736">
        <f t="shared" si="70"/>
        <v>1</v>
      </c>
      <c r="AX736">
        <v>96</v>
      </c>
      <c r="AY736">
        <f t="shared" si="71"/>
        <v>1</v>
      </c>
      <c r="AZ736">
        <v>0.28742514970059879</v>
      </c>
      <c r="BA736">
        <v>1</v>
      </c>
      <c r="BB736">
        <v>2020</v>
      </c>
      <c r="BC736">
        <v>12</v>
      </c>
      <c r="BD736">
        <v>2020</v>
      </c>
      <c r="BE736">
        <v>1</v>
      </c>
      <c r="BF736">
        <v>2020</v>
      </c>
    </row>
    <row r="737" spans="1:58" x14ac:dyDescent="0.2">
      <c r="A737" s="7">
        <v>14</v>
      </c>
      <c r="B737" s="7">
        <v>39</v>
      </c>
      <c r="C737" s="7">
        <v>5</v>
      </c>
      <c r="D737" s="7">
        <v>7</v>
      </c>
      <c r="E737" s="7">
        <f t="shared" si="66"/>
        <v>65</v>
      </c>
      <c r="F737" s="11" t="e">
        <v>#N/A</v>
      </c>
      <c r="G737">
        <v>0</v>
      </c>
      <c r="H737">
        <v>30</v>
      </c>
      <c r="I737">
        <v>1</v>
      </c>
      <c r="J737">
        <v>0</v>
      </c>
      <c r="K737">
        <f t="shared" si="67"/>
        <v>31</v>
      </c>
      <c r="L737" t="e">
        <v>#N/A</v>
      </c>
      <c r="M737">
        <v>24760.093837240001</v>
      </c>
      <c r="N737" s="7">
        <v>17</v>
      </c>
      <c r="O737" s="7">
        <v>39</v>
      </c>
      <c r="P737" s="7">
        <v>9</v>
      </c>
      <c r="Q737" s="7">
        <v>16</v>
      </c>
      <c r="R737" s="7">
        <f t="shared" si="68"/>
        <v>81</v>
      </c>
      <c r="S737" t="e">
        <v>#N/A</v>
      </c>
      <c r="T737" s="7">
        <v>17</v>
      </c>
      <c r="U737" s="7">
        <v>39</v>
      </c>
      <c r="V737" s="7">
        <v>9</v>
      </c>
      <c r="W737" s="7">
        <v>17</v>
      </c>
      <c r="X737" s="7">
        <f t="shared" si="69"/>
        <v>82</v>
      </c>
      <c r="Y737" t="e">
        <v>#N/A</v>
      </c>
      <c r="Z737">
        <v>37731.473222059998</v>
      </c>
      <c r="AA737" t="s">
        <v>379</v>
      </c>
      <c r="AB737">
        <v>63</v>
      </c>
      <c r="AC737">
        <v>0</v>
      </c>
      <c r="AD737" t="s">
        <v>237</v>
      </c>
      <c r="AE737" t="s">
        <v>75</v>
      </c>
      <c r="AF737">
        <v>135</v>
      </c>
      <c r="AG737" s="8">
        <v>227</v>
      </c>
      <c r="AH737">
        <v>1</v>
      </c>
      <c r="AI737">
        <v>17</v>
      </c>
      <c r="AJ737">
        <v>-34</v>
      </c>
      <c r="AK737">
        <v>4.4052863436123352E-3</v>
      </c>
      <c r="AL737">
        <v>6.6372331159997203E-2</v>
      </c>
      <c r="AM737">
        <v>50</v>
      </c>
      <c r="AN737">
        <v>0</v>
      </c>
      <c r="AO737">
        <v>1.2345679012345678E-2</v>
      </c>
      <c r="AP737">
        <v>1.5384615384615385E-2</v>
      </c>
      <c r="AQ737">
        <v>0.1076923076923077</v>
      </c>
      <c r="AR737">
        <v>0.2153846153846154</v>
      </c>
      <c r="AS737">
        <v>0.6</v>
      </c>
      <c r="AT737">
        <v>7.6923076923076927E-2</v>
      </c>
      <c r="AU737">
        <v>62491.567059299996</v>
      </c>
      <c r="AV737">
        <v>7</v>
      </c>
      <c r="AW737">
        <f t="shared" si="70"/>
        <v>0</v>
      </c>
      <c r="AX737">
        <v>0</v>
      </c>
      <c r="AY737">
        <f t="shared" si="71"/>
        <v>0</v>
      </c>
      <c r="AZ737">
        <v>0</v>
      </c>
      <c r="BA737">
        <v>1</v>
      </c>
      <c r="BB737">
        <v>2020</v>
      </c>
      <c r="BC737">
        <v>5</v>
      </c>
      <c r="BD737">
        <v>2020</v>
      </c>
      <c r="BE737">
        <v>1</v>
      </c>
      <c r="BF737">
        <v>2020</v>
      </c>
    </row>
    <row r="738" spans="1:58" x14ac:dyDescent="0.2">
      <c r="A738" s="7">
        <v>4</v>
      </c>
      <c r="B738" s="7">
        <v>2</v>
      </c>
      <c r="C738" s="7">
        <v>0</v>
      </c>
      <c r="D738" s="7">
        <v>2</v>
      </c>
      <c r="E738" s="7">
        <f t="shared" si="66"/>
        <v>8</v>
      </c>
      <c r="F738" s="11" t="e">
        <v>#N/A</v>
      </c>
      <c r="G738">
        <v>1</v>
      </c>
      <c r="H738">
        <v>2</v>
      </c>
      <c r="I738">
        <v>0</v>
      </c>
      <c r="J738">
        <v>0</v>
      </c>
      <c r="K738">
        <f t="shared" si="67"/>
        <v>3</v>
      </c>
      <c r="L738" t="e">
        <v>#N/A</v>
      </c>
      <c r="M738">
        <v>99130.016496340002</v>
      </c>
      <c r="N738" s="7">
        <v>5</v>
      </c>
      <c r="O738" s="7">
        <v>19</v>
      </c>
      <c r="P738" s="7">
        <v>0</v>
      </c>
      <c r="Q738" s="7">
        <v>3</v>
      </c>
      <c r="R738" s="7">
        <f t="shared" si="68"/>
        <v>27</v>
      </c>
      <c r="S738" t="e">
        <v>#N/A</v>
      </c>
      <c r="T738" s="7">
        <v>5</v>
      </c>
      <c r="U738" s="7">
        <v>19</v>
      </c>
      <c r="V738" s="7">
        <v>0</v>
      </c>
      <c r="W738" s="7">
        <v>0</v>
      </c>
      <c r="X738" s="7">
        <f t="shared" si="69"/>
        <v>24</v>
      </c>
      <c r="Y738" t="e">
        <v>#N/A</v>
      </c>
      <c r="Z738">
        <v>107980.65615015</v>
      </c>
      <c r="AA738" t="s">
        <v>380</v>
      </c>
      <c r="AB738">
        <v>74</v>
      </c>
      <c r="AC738">
        <v>645</v>
      </c>
      <c r="AD738" t="s">
        <v>272</v>
      </c>
      <c r="AE738" t="s">
        <v>41</v>
      </c>
      <c r="AF738">
        <v>139</v>
      </c>
      <c r="AG738" s="8">
        <v>312</v>
      </c>
      <c r="AH738">
        <v>-3</v>
      </c>
      <c r="AI738">
        <v>16</v>
      </c>
      <c r="AJ738">
        <v>-5</v>
      </c>
      <c r="AK738">
        <v>-9.6153846153846159E-3</v>
      </c>
      <c r="AL738">
        <v>-0.16984155512168936</v>
      </c>
      <c r="AM738">
        <v>24</v>
      </c>
      <c r="AN738">
        <v>0</v>
      </c>
      <c r="AO738">
        <v>-0.1111111111111111</v>
      </c>
      <c r="AP738">
        <v>-0.375</v>
      </c>
      <c r="AQ738">
        <v>0.25</v>
      </c>
      <c r="AR738">
        <v>0.5</v>
      </c>
      <c r="AS738">
        <v>0.25</v>
      </c>
      <c r="AT738">
        <v>0</v>
      </c>
      <c r="AU738">
        <v>207110.67264648998</v>
      </c>
      <c r="AV738">
        <v>26</v>
      </c>
      <c r="AW738">
        <f t="shared" si="70"/>
        <v>1</v>
      </c>
      <c r="AX738">
        <v>645</v>
      </c>
      <c r="AY738">
        <f t="shared" si="71"/>
        <v>1</v>
      </c>
      <c r="AZ738">
        <v>4.6402877697841722</v>
      </c>
      <c r="BA738">
        <v>1</v>
      </c>
      <c r="BB738">
        <v>2020</v>
      </c>
      <c r="BC738">
        <v>5</v>
      </c>
      <c r="BD738">
        <v>2020</v>
      </c>
      <c r="BE738">
        <v>1</v>
      </c>
      <c r="BF738">
        <v>2020</v>
      </c>
    </row>
    <row r="739" spans="1:58" x14ac:dyDescent="0.2">
      <c r="A739" s="7">
        <v>9</v>
      </c>
      <c r="B739" s="7">
        <v>15</v>
      </c>
      <c r="C739" s="7">
        <v>3</v>
      </c>
      <c r="D739" s="7">
        <v>0</v>
      </c>
      <c r="E739" s="7">
        <f t="shared" si="66"/>
        <v>27</v>
      </c>
      <c r="F739" s="11" t="e">
        <v>#N/A</v>
      </c>
      <c r="G739">
        <v>0</v>
      </c>
      <c r="H739">
        <v>0</v>
      </c>
      <c r="I739">
        <v>0</v>
      </c>
      <c r="J739">
        <v>0</v>
      </c>
      <c r="K739">
        <f t="shared" si="67"/>
        <v>0</v>
      </c>
      <c r="L739" t="e">
        <v>#N/A</v>
      </c>
      <c r="M739">
        <v>38696.279238620002</v>
      </c>
      <c r="N739" s="7">
        <v>19</v>
      </c>
      <c r="O739" s="7">
        <v>40</v>
      </c>
      <c r="P739" s="7">
        <v>9</v>
      </c>
      <c r="Q739" s="7">
        <v>7</v>
      </c>
      <c r="R739" s="7">
        <f t="shared" si="68"/>
        <v>75</v>
      </c>
      <c r="S739" t="e">
        <v>#N/A</v>
      </c>
      <c r="T739" s="7">
        <v>20</v>
      </c>
      <c r="U739" s="7">
        <v>40</v>
      </c>
      <c r="V739" s="7">
        <v>9</v>
      </c>
      <c r="W739" s="7">
        <v>29</v>
      </c>
      <c r="X739" s="7">
        <f t="shared" si="69"/>
        <v>98</v>
      </c>
      <c r="Y739" t="e">
        <v>#N/A</v>
      </c>
      <c r="Z739">
        <v>39751.346671050007</v>
      </c>
      <c r="AA739" t="s">
        <v>381</v>
      </c>
      <c r="AB739">
        <v>62</v>
      </c>
      <c r="AC739">
        <v>477</v>
      </c>
      <c r="AD739" t="s">
        <v>382</v>
      </c>
      <c r="AE739" t="s">
        <v>41</v>
      </c>
      <c r="AF739">
        <v>132</v>
      </c>
      <c r="AG739" s="8">
        <v>183</v>
      </c>
      <c r="AH739">
        <v>23</v>
      </c>
      <c r="AI739">
        <v>71</v>
      </c>
      <c r="AJ739">
        <v>-27</v>
      </c>
      <c r="AK739">
        <v>0.12568306010928962</v>
      </c>
      <c r="AL739">
        <v>1.7002089231955175</v>
      </c>
      <c r="AM739">
        <v>75</v>
      </c>
      <c r="AN739">
        <v>0</v>
      </c>
      <c r="AO739">
        <v>0.30666666666666664</v>
      </c>
      <c r="AP739">
        <v>0.85185185185185186</v>
      </c>
      <c r="AQ739">
        <v>0</v>
      </c>
      <c r="AR739">
        <v>0.33333333333333331</v>
      </c>
      <c r="AS739">
        <v>0.55555555555555558</v>
      </c>
      <c r="AT739">
        <v>0.1111111111111111</v>
      </c>
      <c r="AU739">
        <v>78447.625909670009</v>
      </c>
      <c r="AV739">
        <v>8</v>
      </c>
      <c r="AW739">
        <f t="shared" si="70"/>
        <v>0</v>
      </c>
      <c r="AX739">
        <v>477</v>
      </c>
      <c r="AY739">
        <f t="shared" si="71"/>
        <v>1</v>
      </c>
      <c r="AZ739">
        <v>3.6136363636363638</v>
      </c>
      <c r="BA739">
        <v>1</v>
      </c>
      <c r="BB739">
        <v>2020</v>
      </c>
      <c r="BC739">
        <v>5</v>
      </c>
      <c r="BD739">
        <v>2020</v>
      </c>
      <c r="BE739">
        <v>1</v>
      </c>
      <c r="BF739">
        <v>2020</v>
      </c>
    </row>
    <row r="740" spans="1:58" x14ac:dyDescent="0.2">
      <c r="A740" s="7">
        <v>11</v>
      </c>
      <c r="B740" s="7">
        <v>25</v>
      </c>
      <c r="C740" s="7">
        <v>6</v>
      </c>
      <c r="D740" s="7">
        <v>5</v>
      </c>
      <c r="E740" s="7">
        <f t="shared" si="66"/>
        <v>47</v>
      </c>
      <c r="F740" s="11" t="e">
        <v>#N/A</v>
      </c>
      <c r="G740">
        <v>11</v>
      </c>
      <c r="H740">
        <v>25</v>
      </c>
      <c r="I740">
        <v>5</v>
      </c>
      <c r="J740">
        <v>0</v>
      </c>
      <c r="K740">
        <f t="shared" si="67"/>
        <v>41</v>
      </c>
      <c r="L740" t="e">
        <v>#N/A</v>
      </c>
      <c r="M740">
        <v>21835.38127229</v>
      </c>
      <c r="N740" s="7">
        <v>18</v>
      </c>
      <c r="O740" s="7">
        <v>29</v>
      </c>
      <c r="P740" s="7">
        <v>9</v>
      </c>
      <c r="Q740" s="7">
        <v>6</v>
      </c>
      <c r="R740" s="7">
        <f t="shared" si="68"/>
        <v>62</v>
      </c>
      <c r="S740" t="e">
        <v>#N/A</v>
      </c>
      <c r="T740" s="7">
        <v>20</v>
      </c>
      <c r="U740" s="7">
        <v>38</v>
      </c>
      <c r="V740" s="7">
        <v>9</v>
      </c>
      <c r="W740" s="7">
        <v>20</v>
      </c>
      <c r="X740" s="7">
        <f t="shared" si="69"/>
        <v>87</v>
      </c>
      <c r="Y740" t="e">
        <v>#N/A</v>
      </c>
      <c r="Z740">
        <v>85966.906183010011</v>
      </c>
      <c r="AA740" t="s">
        <v>383</v>
      </c>
      <c r="AB740">
        <v>38</v>
      </c>
      <c r="AC740">
        <v>0</v>
      </c>
      <c r="AD740" t="s">
        <v>258</v>
      </c>
      <c r="AE740" t="s">
        <v>41</v>
      </c>
      <c r="AF740">
        <v>142</v>
      </c>
      <c r="AG740" s="8">
        <v>4</v>
      </c>
      <c r="AH740">
        <v>25</v>
      </c>
      <c r="AI740">
        <v>40</v>
      </c>
      <c r="AJ740">
        <v>-6</v>
      </c>
      <c r="AK740">
        <v>6.25</v>
      </c>
      <c r="AL740">
        <v>12.5</v>
      </c>
      <c r="AM740">
        <v>21</v>
      </c>
      <c r="AN740">
        <v>0</v>
      </c>
      <c r="AO740">
        <v>0.40322580645161288</v>
      </c>
      <c r="AP740">
        <v>0.53191489361702127</v>
      </c>
      <c r="AQ740">
        <v>0.10638297872340426</v>
      </c>
      <c r="AR740">
        <v>0.23404255319148937</v>
      </c>
      <c r="AS740">
        <v>0.53191489361702127</v>
      </c>
      <c r="AT740">
        <v>0.1276595744680851</v>
      </c>
      <c r="AU740">
        <v>107802.28745530001</v>
      </c>
      <c r="AV740">
        <v>6</v>
      </c>
      <c r="AW740">
        <f t="shared" si="70"/>
        <v>0</v>
      </c>
      <c r="AX740">
        <v>0</v>
      </c>
      <c r="AY740">
        <f t="shared" si="71"/>
        <v>0</v>
      </c>
      <c r="AZ740">
        <v>0</v>
      </c>
      <c r="BA740">
        <v>1</v>
      </c>
      <c r="BB740">
        <v>2020</v>
      </c>
      <c r="BC740">
        <v>5</v>
      </c>
      <c r="BD740">
        <v>2020</v>
      </c>
      <c r="BE740">
        <v>1</v>
      </c>
      <c r="BF740">
        <v>2020</v>
      </c>
    </row>
    <row r="741" spans="1:58" x14ac:dyDescent="0.2">
      <c r="A741" s="7">
        <v>4</v>
      </c>
      <c r="B741" s="7">
        <v>6</v>
      </c>
      <c r="C741" s="7">
        <v>0</v>
      </c>
      <c r="D741" s="7">
        <v>0</v>
      </c>
      <c r="E741" s="7">
        <f t="shared" si="66"/>
        <v>10</v>
      </c>
      <c r="F741" s="11" t="e">
        <v>#N/A</v>
      </c>
      <c r="G741">
        <v>4</v>
      </c>
      <c r="H741">
        <v>6</v>
      </c>
      <c r="I741">
        <v>0</v>
      </c>
      <c r="J741">
        <v>0</v>
      </c>
      <c r="K741">
        <f t="shared" si="67"/>
        <v>10</v>
      </c>
      <c r="L741" t="e">
        <v>#N/A</v>
      </c>
      <c r="M741">
        <v>38390.955145000007</v>
      </c>
      <c r="N741" s="7">
        <v>11</v>
      </c>
      <c r="O741" s="7">
        <v>18</v>
      </c>
      <c r="P741" s="7">
        <v>0</v>
      </c>
      <c r="Q741" s="7">
        <v>1</v>
      </c>
      <c r="R741" s="7">
        <f t="shared" si="68"/>
        <v>30</v>
      </c>
      <c r="S741" t="e">
        <v>#N/A</v>
      </c>
      <c r="T741" s="7">
        <v>11</v>
      </c>
      <c r="U741" s="7">
        <v>18</v>
      </c>
      <c r="V741" s="7">
        <v>0</v>
      </c>
      <c r="W741" s="7">
        <v>1</v>
      </c>
      <c r="X741" s="7">
        <f t="shared" si="69"/>
        <v>30</v>
      </c>
      <c r="Y741" t="e">
        <v>#N/A</v>
      </c>
      <c r="Z741">
        <v>19341.194524769999</v>
      </c>
      <c r="AA741" t="s">
        <v>384</v>
      </c>
      <c r="AB741">
        <v>61</v>
      </c>
      <c r="AC741">
        <v>30</v>
      </c>
      <c r="AD741" t="s">
        <v>119</v>
      </c>
      <c r="AE741" t="s">
        <v>75</v>
      </c>
      <c r="AF741">
        <v>134</v>
      </c>
      <c r="AG741" s="8">
        <v>121</v>
      </c>
      <c r="AH741">
        <v>0</v>
      </c>
      <c r="AI741">
        <v>20</v>
      </c>
      <c r="AJ741">
        <v>0</v>
      </c>
      <c r="AK741">
        <v>0</v>
      </c>
      <c r="AL741">
        <v>0</v>
      </c>
      <c r="AM741">
        <v>20</v>
      </c>
      <c r="AN741">
        <v>0</v>
      </c>
      <c r="AO741">
        <v>0</v>
      </c>
      <c r="AP741">
        <v>0</v>
      </c>
      <c r="AQ741">
        <v>0</v>
      </c>
      <c r="AR741">
        <v>0.4</v>
      </c>
      <c r="AS741">
        <v>0.6</v>
      </c>
      <c r="AT741">
        <v>0</v>
      </c>
      <c r="AU741">
        <v>57732.149669770006</v>
      </c>
      <c r="AV741">
        <v>14</v>
      </c>
      <c r="AW741">
        <f t="shared" si="70"/>
        <v>1</v>
      </c>
      <c r="AX741">
        <v>30</v>
      </c>
      <c r="AY741">
        <f t="shared" si="71"/>
        <v>1</v>
      </c>
      <c r="AZ741">
        <v>0.22388059701492538</v>
      </c>
      <c r="BA741">
        <v>1</v>
      </c>
      <c r="BB741">
        <v>2020</v>
      </c>
      <c r="BC741">
        <v>5</v>
      </c>
      <c r="BD741">
        <v>2020</v>
      </c>
      <c r="BE741">
        <v>1</v>
      </c>
      <c r="BF741">
        <v>2020</v>
      </c>
    </row>
    <row r="742" spans="1:58" x14ac:dyDescent="0.2">
      <c r="A742" s="7">
        <v>3</v>
      </c>
      <c r="B742" s="7">
        <v>8</v>
      </c>
      <c r="C742" s="7">
        <v>0</v>
      </c>
      <c r="D742" s="7">
        <v>0</v>
      </c>
      <c r="E742" s="7">
        <f t="shared" si="66"/>
        <v>11</v>
      </c>
      <c r="F742" s="11" t="e">
        <v>#N/A</v>
      </c>
      <c r="G742">
        <v>0</v>
      </c>
      <c r="H742">
        <v>4</v>
      </c>
      <c r="I742">
        <v>0</v>
      </c>
      <c r="J742">
        <v>0</v>
      </c>
      <c r="K742">
        <f t="shared" si="67"/>
        <v>4</v>
      </c>
      <c r="L742" t="e">
        <v>#N/A</v>
      </c>
      <c r="M742">
        <v>36940.413495099987</v>
      </c>
      <c r="N742" s="7">
        <v>5</v>
      </c>
      <c r="O742" s="7">
        <v>16</v>
      </c>
      <c r="P742" s="7">
        <v>0</v>
      </c>
      <c r="Q742" s="7">
        <v>5</v>
      </c>
      <c r="R742" s="7">
        <f t="shared" si="68"/>
        <v>26</v>
      </c>
      <c r="S742" t="e">
        <v>#N/A</v>
      </c>
      <c r="T742" s="7">
        <v>5</v>
      </c>
      <c r="U742" s="7">
        <v>16</v>
      </c>
      <c r="V742" s="7">
        <v>0</v>
      </c>
      <c r="W742" s="7">
        <v>5</v>
      </c>
      <c r="X742" s="7">
        <f t="shared" si="69"/>
        <v>26</v>
      </c>
      <c r="Y742" t="e">
        <v>#N/A</v>
      </c>
      <c r="Z742">
        <v>182880.15339411001</v>
      </c>
      <c r="AA742" t="s">
        <v>385</v>
      </c>
      <c r="AB742">
        <v>18</v>
      </c>
      <c r="AC742">
        <v>98</v>
      </c>
      <c r="AD742" t="s">
        <v>295</v>
      </c>
      <c r="AE742" t="s">
        <v>41</v>
      </c>
      <c r="AF742">
        <v>137</v>
      </c>
      <c r="AG742" s="8">
        <v>0</v>
      </c>
      <c r="AH742">
        <v>0</v>
      </c>
      <c r="AI742">
        <v>15</v>
      </c>
      <c r="AJ742">
        <v>-7</v>
      </c>
      <c r="AK742" t="e">
        <v>#N/A</v>
      </c>
      <c r="AL742" t="e">
        <v>#N/A</v>
      </c>
      <c r="AM742">
        <v>22</v>
      </c>
      <c r="AN742">
        <v>0</v>
      </c>
      <c r="AO742">
        <v>0</v>
      </c>
      <c r="AP742">
        <v>0</v>
      </c>
      <c r="AQ742">
        <v>0</v>
      </c>
      <c r="AR742">
        <v>0.27272727272727271</v>
      </c>
      <c r="AS742">
        <v>0.72727272727272729</v>
      </c>
      <c r="AT742">
        <v>0</v>
      </c>
      <c r="AU742">
        <v>219820.56688920999</v>
      </c>
      <c r="AV742">
        <v>16</v>
      </c>
      <c r="AW742">
        <f t="shared" si="70"/>
        <v>1</v>
      </c>
      <c r="AX742">
        <v>98</v>
      </c>
      <c r="AY742">
        <f t="shared" si="71"/>
        <v>1</v>
      </c>
      <c r="AZ742">
        <v>0.71532846715328469</v>
      </c>
      <c r="BA742">
        <v>1</v>
      </c>
      <c r="BB742">
        <v>2020</v>
      </c>
      <c r="BC742">
        <v>5</v>
      </c>
      <c r="BD742">
        <v>2020</v>
      </c>
      <c r="BE742">
        <v>1</v>
      </c>
      <c r="BF742">
        <v>2020</v>
      </c>
    </row>
    <row r="743" spans="1:58" x14ac:dyDescent="0.2">
      <c r="A743" s="7">
        <v>0</v>
      </c>
      <c r="B743" s="7">
        <v>2</v>
      </c>
      <c r="C743" s="7">
        <v>0</v>
      </c>
      <c r="D743" s="7">
        <v>0</v>
      </c>
      <c r="E743" s="7">
        <f t="shared" si="66"/>
        <v>2</v>
      </c>
      <c r="F743" s="11" t="e">
        <v>#N/A</v>
      </c>
      <c r="G743">
        <v>0</v>
      </c>
      <c r="H743">
        <v>2</v>
      </c>
      <c r="I743">
        <v>0</v>
      </c>
      <c r="J743">
        <v>0</v>
      </c>
      <c r="K743">
        <f t="shared" si="67"/>
        <v>2</v>
      </c>
      <c r="L743" t="e">
        <v>#N/A</v>
      </c>
      <c r="M743">
        <v>60369.05902826001</v>
      </c>
      <c r="N743" s="7">
        <v>0</v>
      </c>
      <c r="O743" s="7">
        <v>2</v>
      </c>
      <c r="P743" s="7">
        <v>0</v>
      </c>
      <c r="Q743" s="7">
        <v>0</v>
      </c>
      <c r="R743" s="7">
        <f t="shared" si="68"/>
        <v>2</v>
      </c>
      <c r="S743" t="e">
        <v>#N/A</v>
      </c>
      <c r="T743" s="7">
        <v>0</v>
      </c>
      <c r="U743" s="7">
        <v>2</v>
      </c>
      <c r="V743" s="7">
        <v>0</v>
      </c>
      <c r="W743" s="7">
        <v>0</v>
      </c>
      <c r="X743" s="7">
        <f t="shared" si="69"/>
        <v>2</v>
      </c>
      <c r="Y743" t="e">
        <v>#N/A</v>
      </c>
      <c r="Z743">
        <v>227319.06983471001</v>
      </c>
      <c r="AA743" t="s">
        <v>386</v>
      </c>
      <c r="AB743">
        <v>73</v>
      </c>
      <c r="AC743">
        <v>698</v>
      </c>
      <c r="AD743" t="s">
        <v>249</v>
      </c>
      <c r="AE743" t="s">
        <v>41</v>
      </c>
      <c r="AF743">
        <v>212</v>
      </c>
      <c r="AG743" s="8">
        <v>0</v>
      </c>
      <c r="AH743">
        <v>0</v>
      </c>
      <c r="AI743">
        <v>0</v>
      </c>
      <c r="AJ743">
        <v>0</v>
      </c>
      <c r="AK743" t="e">
        <v>#N/A</v>
      </c>
      <c r="AL743" t="e">
        <v>#N/A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287688.12886297004</v>
      </c>
      <c r="AV743">
        <v>24</v>
      </c>
      <c r="AW743">
        <f t="shared" si="70"/>
        <v>1</v>
      </c>
      <c r="AX743">
        <v>698</v>
      </c>
      <c r="AY743">
        <f t="shared" si="71"/>
        <v>1</v>
      </c>
      <c r="AZ743">
        <v>3.2924528301886791</v>
      </c>
      <c r="BA743">
        <v>1</v>
      </c>
      <c r="BB743">
        <v>2020</v>
      </c>
      <c r="BC743">
        <v>8</v>
      </c>
      <c r="BD743">
        <v>2020</v>
      </c>
      <c r="BE743">
        <v>1</v>
      </c>
      <c r="BF743">
        <v>2020</v>
      </c>
    </row>
    <row r="744" spans="1:58" x14ac:dyDescent="0.2">
      <c r="A744" s="7">
        <v>13</v>
      </c>
      <c r="B744" s="7">
        <v>35</v>
      </c>
      <c r="C744" s="7">
        <v>6</v>
      </c>
      <c r="D744" s="7">
        <v>3</v>
      </c>
      <c r="E744" s="7">
        <f t="shared" si="66"/>
        <v>57</v>
      </c>
      <c r="F744" s="11" t="e">
        <v>#N/A</v>
      </c>
      <c r="G744">
        <v>4</v>
      </c>
      <c r="H744">
        <v>15</v>
      </c>
      <c r="I744">
        <v>5</v>
      </c>
      <c r="J744">
        <v>2</v>
      </c>
      <c r="K744">
        <f t="shared" si="67"/>
        <v>26</v>
      </c>
      <c r="L744" t="e">
        <v>#N/A</v>
      </c>
      <c r="M744">
        <v>23180.667911150002</v>
      </c>
      <c r="N744" s="7">
        <v>20</v>
      </c>
      <c r="O744" s="7">
        <v>40</v>
      </c>
      <c r="P744" s="7">
        <v>9</v>
      </c>
      <c r="Q744" s="7">
        <v>29</v>
      </c>
      <c r="R744" s="7">
        <f t="shared" si="68"/>
        <v>98</v>
      </c>
      <c r="S744" t="e">
        <v>#N/A</v>
      </c>
      <c r="T744" s="7">
        <v>20</v>
      </c>
      <c r="U744" s="7">
        <v>40</v>
      </c>
      <c r="V744" s="7">
        <v>9</v>
      </c>
      <c r="W744" s="7">
        <v>30</v>
      </c>
      <c r="X744" s="7">
        <f t="shared" si="69"/>
        <v>99</v>
      </c>
      <c r="Y744" t="e">
        <v>#N/A</v>
      </c>
      <c r="Z744">
        <v>25032.363575920001</v>
      </c>
      <c r="AA744" t="s">
        <v>387</v>
      </c>
      <c r="AB744">
        <v>66</v>
      </c>
      <c r="AC744">
        <v>0</v>
      </c>
      <c r="AD744" t="s">
        <v>254</v>
      </c>
      <c r="AE744" t="s">
        <v>41</v>
      </c>
      <c r="AF744">
        <v>30</v>
      </c>
      <c r="AG744" s="8">
        <v>1</v>
      </c>
      <c r="AH744">
        <v>1</v>
      </c>
      <c r="AI744">
        <v>42</v>
      </c>
      <c r="AJ744">
        <v>-31</v>
      </c>
      <c r="AK744">
        <v>1</v>
      </c>
      <c r="AL744">
        <v>1</v>
      </c>
      <c r="AM744">
        <v>72</v>
      </c>
      <c r="AN744">
        <v>0</v>
      </c>
      <c r="AO744">
        <v>1.020408163265306E-2</v>
      </c>
      <c r="AP744">
        <v>1.7543859649122806E-2</v>
      </c>
      <c r="AQ744">
        <v>5.2631578947368418E-2</v>
      </c>
      <c r="AR744">
        <v>0.22807017543859648</v>
      </c>
      <c r="AS744">
        <v>0.61403508771929827</v>
      </c>
      <c r="AT744">
        <v>0.10526315789473684</v>
      </c>
      <c r="AU744">
        <v>48213.031487070002</v>
      </c>
      <c r="AV744">
        <v>5</v>
      </c>
      <c r="AW744">
        <f t="shared" si="70"/>
        <v>0</v>
      </c>
      <c r="AX744">
        <v>0</v>
      </c>
      <c r="AY744">
        <f t="shared" si="71"/>
        <v>0</v>
      </c>
      <c r="AZ744">
        <v>0</v>
      </c>
      <c r="BA744">
        <v>1</v>
      </c>
      <c r="BB744">
        <v>2020</v>
      </c>
      <c r="BC744">
        <v>2</v>
      </c>
      <c r="BD744">
        <v>2020</v>
      </c>
      <c r="BE744">
        <v>1</v>
      </c>
      <c r="BF744">
        <v>2020</v>
      </c>
    </row>
    <row r="745" spans="1:58" x14ac:dyDescent="0.2">
      <c r="A745" s="7">
        <v>12</v>
      </c>
      <c r="B745" s="7">
        <v>11</v>
      </c>
      <c r="C745" s="7">
        <v>8</v>
      </c>
      <c r="D745" s="7">
        <v>4</v>
      </c>
      <c r="E745" s="7">
        <f t="shared" si="66"/>
        <v>35</v>
      </c>
      <c r="F745" s="11" t="e">
        <v>#N/A</v>
      </c>
      <c r="G745">
        <v>12</v>
      </c>
      <c r="H745">
        <v>11</v>
      </c>
      <c r="I745">
        <v>8</v>
      </c>
      <c r="J745">
        <v>4</v>
      </c>
      <c r="K745">
        <f t="shared" si="67"/>
        <v>35</v>
      </c>
      <c r="L745" t="e">
        <v>#N/A</v>
      </c>
      <c r="M745">
        <v>14265.49382937</v>
      </c>
      <c r="N745" s="7">
        <v>12</v>
      </c>
      <c r="O745" s="7">
        <v>10</v>
      </c>
      <c r="P745" s="7">
        <v>8</v>
      </c>
      <c r="Q745" s="7">
        <v>6</v>
      </c>
      <c r="R745" s="7">
        <f t="shared" si="68"/>
        <v>36</v>
      </c>
      <c r="S745" t="e">
        <v>#N/A</v>
      </c>
      <c r="T745" s="7">
        <v>12</v>
      </c>
      <c r="U745" s="7">
        <v>10</v>
      </c>
      <c r="V745" s="7">
        <v>8</v>
      </c>
      <c r="W745" s="7">
        <v>6</v>
      </c>
      <c r="X745" s="7">
        <f t="shared" si="69"/>
        <v>36</v>
      </c>
      <c r="Y745" t="e">
        <v>#N/A</v>
      </c>
      <c r="Z745">
        <v>37675.978822930003</v>
      </c>
      <c r="AA745" t="s">
        <v>388</v>
      </c>
      <c r="AB745">
        <v>80</v>
      </c>
      <c r="AC745">
        <v>0</v>
      </c>
      <c r="AD745" t="s">
        <v>64</v>
      </c>
      <c r="AE745" t="s">
        <v>41</v>
      </c>
      <c r="AF745">
        <v>292</v>
      </c>
      <c r="AG745" s="8">
        <v>0</v>
      </c>
      <c r="AH745">
        <v>0</v>
      </c>
      <c r="AI745">
        <v>1</v>
      </c>
      <c r="AJ745">
        <v>0</v>
      </c>
      <c r="AK745" t="e">
        <v>#N/A</v>
      </c>
      <c r="AL745" t="e">
        <v>#N/A</v>
      </c>
      <c r="AM745">
        <v>1</v>
      </c>
      <c r="AN745">
        <v>0</v>
      </c>
      <c r="AO745">
        <v>0</v>
      </c>
      <c r="AP745">
        <v>0</v>
      </c>
      <c r="AQ745">
        <v>0.11428571428571428</v>
      </c>
      <c r="AR745">
        <v>0.34285714285714286</v>
      </c>
      <c r="AS745">
        <v>0.31428571428571428</v>
      </c>
      <c r="AT745">
        <v>0.22857142857142856</v>
      </c>
      <c r="AU745">
        <v>51941.472652299999</v>
      </c>
      <c r="AV745">
        <v>8</v>
      </c>
      <c r="AW745">
        <f t="shared" si="70"/>
        <v>0</v>
      </c>
      <c r="AX745">
        <v>0</v>
      </c>
      <c r="AY745">
        <f t="shared" si="71"/>
        <v>0</v>
      </c>
      <c r="AZ745">
        <v>0</v>
      </c>
      <c r="BA745">
        <v>1</v>
      </c>
      <c r="BB745">
        <v>2020</v>
      </c>
      <c r="BC745">
        <v>10</v>
      </c>
      <c r="BD745">
        <v>2020</v>
      </c>
      <c r="BE745">
        <v>1</v>
      </c>
      <c r="BF745">
        <v>2020</v>
      </c>
    </row>
    <row r="746" spans="1:58" x14ac:dyDescent="0.2">
      <c r="A746" s="7">
        <v>0</v>
      </c>
      <c r="B746" s="7">
        <v>11</v>
      </c>
      <c r="C746" s="7">
        <v>0</v>
      </c>
      <c r="D746" s="7">
        <v>0</v>
      </c>
      <c r="E746" s="7">
        <f t="shared" si="66"/>
        <v>11</v>
      </c>
      <c r="F746" s="11" t="e">
        <v>#N/A</v>
      </c>
      <c r="G746">
        <v>0</v>
      </c>
      <c r="H746">
        <v>13</v>
      </c>
      <c r="I746">
        <v>0</v>
      </c>
      <c r="J746">
        <v>0</v>
      </c>
      <c r="K746">
        <f t="shared" si="67"/>
        <v>13</v>
      </c>
      <c r="L746" t="e">
        <v>#N/A</v>
      </c>
      <c r="M746">
        <v>43992.85900199</v>
      </c>
      <c r="N746" s="7">
        <v>0</v>
      </c>
      <c r="O746" s="7">
        <v>11</v>
      </c>
      <c r="P746" s="7">
        <v>0</v>
      </c>
      <c r="Q746" s="7">
        <v>0</v>
      </c>
      <c r="R746" s="7">
        <f t="shared" si="68"/>
        <v>11</v>
      </c>
      <c r="S746" t="e">
        <v>#N/A</v>
      </c>
      <c r="T746" s="7">
        <v>0</v>
      </c>
      <c r="U746" s="7">
        <v>11</v>
      </c>
      <c r="V746" s="7">
        <v>0</v>
      </c>
      <c r="W746" s="7">
        <v>0</v>
      </c>
      <c r="X746" s="7">
        <f t="shared" si="69"/>
        <v>11</v>
      </c>
      <c r="Y746" t="e">
        <v>#N/A</v>
      </c>
      <c r="Z746">
        <v>178494.77039314999</v>
      </c>
      <c r="AA746" t="s">
        <v>389</v>
      </c>
      <c r="AB746">
        <v>79</v>
      </c>
      <c r="AC746">
        <v>0</v>
      </c>
      <c r="AD746" t="s">
        <v>295</v>
      </c>
      <c r="AE746" t="s">
        <v>41</v>
      </c>
      <c r="AF746">
        <v>90</v>
      </c>
      <c r="AG746" s="8">
        <v>0</v>
      </c>
      <c r="AH746">
        <v>0</v>
      </c>
      <c r="AI746">
        <v>0</v>
      </c>
      <c r="AJ746">
        <v>2</v>
      </c>
      <c r="AK746" t="e">
        <v>#N/A</v>
      </c>
      <c r="AL746" t="e">
        <v>#N/A</v>
      </c>
      <c r="AM746">
        <v>-2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222487.62939513999</v>
      </c>
      <c r="AV746">
        <v>9</v>
      </c>
      <c r="AW746">
        <f t="shared" si="70"/>
        <v>0</v>
      </c>
      <c r="AX746">
        <v>0</v>
      </c>
      <c r="AY746">
        <f t="shared" si="71"/>
        <v>0</v>
      </c>
      <c r="AZ746">
        <v>0</v>
      </c>
      <c r="BA746">
        <v>1</v>
      </c>
      <c r="BB746">
        <v>2020</v>
      </c>
      <c r="BC746">
        <v>4</v>
      </c>
      <c r="BD746">
        <v>2020</v>
      </c>
      <c r="BE746">
        <v>1</v>
      </c>
      <c r="BF746">
        <v>2020</v>
      </c>
    </row>
    <row r="747" spans="1:58" x14ac:dyDescent="0.2">
      <c r="A747" s="7">
        <v>9</v>
      </c>
      <c r="B747" s="7">
        <v>13</v>
      </c>
      <c r="C747" s="7">
        <v>0</v>
      </c>
      <c r="D747" s="7">
        <v>3</v>
      </c>
      <c r="E747" s="7">
        <f t="shared" si="66"/>
        <v>25</v>
      </c>
      <c r="F747" s="11" t="s">
        <v>39</v>
      </c>
      <c r="G747">
        <v>9</v>
      </c>
      <c r="H747">
        <v>13</v>
      </c>
      <c r="I747">
        <v>0</v>
      </c>
      <c r="J747">
        <v>0</v>
      </c>
      <c r="K747">
        <f t="shared" si="67"/>
        <v>22</v>
      </c>
      <c r="L747" t="e">
        <v>#N/A</v>
      </c>
      <c r="M747">
        <v>42566.067340900001</v>
      </c>
      <c r="N747" s="7">
        <v>9</v>
      </c>
      <c r="O747" s="7">
        <v>18</v>
      </c>
      <c r="P747" s="7">
        <v>3</v>
      </c>
      <c r="Q747" s="7">
        <v>5</v>
      </c>
      <c r="R747" s="7">
        <f t="shared" si="68"/>
        <v>35</v>
      </c>
      <c r="S747" t="e">
        <v>#N/A</v>
      </c>
      <c r="T747" s="7">
        <v>15</v>
      </c>
      <c r="U747" s="7">
        <v>16</v>
      </c>
      <c r="V747" s="7">
        <v>6</v>
      </c>
      <c r="W747" s="7">
        <v>7</v>
      </c>
      <c r="X747" s="7">
        <f t="shared" si="69"/>
        <v>44</v>
      </c>
      <c r="Y747" t="e">
        <v>#N/A</v>
      </c>
      <c r="Z747">
        <v>121677.48423</v>
      </c>
      <c r="AA747" t="s">
        <v>390</v>
      </c>
      <c r="AB747">
        <v>77</v>
      </c>
      <c r="AC747">
        <v>0</v>
      </c>
      <c r="AD747" t="s">
        <v>258</v>
      </c>
      <c r="AE747" t="s">
        <v>75</v>
      </c>
      <c r="AF747">
        <v>212</v>
      </c>
      <c r="AG747" s="8">
        <v>315</v>
      </c>
      <c r="AH747">
        <v>9</v>
      </c>
      <c r="AI747">
        <v>19</v>
      </c>
      <c r="AJ747">
        <v>-3</v>
      </c>
      <c r="AK747">
        <v>2.8571428571428571E-2</v>
      </c>
      <c r="AL747">
        <v>0.50709255283710997</v>
      </c>
      <c r="AM747">
        <v>13</v>
      </c>
      <c r="AN747">
        <v>0</v>
      </c>
      <c r="AO747">
        <v>0.25714285714285712</v>
      </c>
      <c r="AP747">
        <v>0.36</v>
      </c>
      <c r="AQ747">
        <v>0.12</v>
      </c>
      <c r="AR747">
        <v>0.36</v>
      </c>
      <c r="AS747">
        <v>0.52</v>
      </c>
      <c r="AT747">
        <v>0</v>
      </c>
      <c r="AU747">
        <v>164243.55157090002</v>
      </c>
      <c r="AV747">
        <v>10</v>
      </c>
      <c r="AW747">
        <f t="shared" si="70"/>
        <v>1</v>
      </c>
      <c r="AX747">
        <v>0</v>
      </c>
      <c r="AY747">
        <f t="shared" si="71"/>
        <v>0</v>
      </c>
      <c r="AZ747">
        <v>0</v>
      </c>
      <c r="BA747">
        <v>2</v>
      </c>
      <c r="BB747">
        <v>2020</v>
      </c>
      <c r="BC747">
        <v>9</v>
      </c>
      <c r="BD747">
        <v>2020</v>
      </c>
      <c r="BE747">
        <v>1</v>
      </c>
      <c r="BF747">
        <v>2020</v>
      </c>
    </row>
    <row r="748" spans="1:58" x14ac:dyDescent="0.2">
      <c r="A748" s="7">
        <v>4</v>
      </c>
      <c r="B748" s="7">
        <v>2</v>
      </c>
      <c r="C748" s="7">
        <v>2</v>
      </c>
      <c r="D748" s="7">
        <v>0</v>
      </c>
      <c r="E748" s="7">
        <f t="shared" si="66"/>
        <v>8</v>
      </c>
      <c r="F748" s="11" t="e">
        <v>#N/A</v>
      </c>
      <c r="G748">
        <v>0</v>
      </c>
      <c r="H748">
        <v>0</v>
      </c>
      <c r="I748">
        <v>0</v>
      </c>
      <c r="J748">
        <v>0</v>
      </c>
      <c r="K748">
        <f t="shared" si="67"/>
        <v>0</v>
      </c>
      <c r="L748" t="e">
        <v>#N/A</v>
      </c>
      <c r="M748">
        <v>153254.41967857009</v>
      </c>
      <c r="N748" s="7">
        <v>7</v>
      </c>
      <c r="O748" s="7">
        <v>8</v>
      </c>
      <c r="P748" s="7">
        <v>4</v>
      </c>
      <c r="Q748" s="7">
        <v>3</v>
      </c>
      <c r="R748" s="7">
        <f t="shared" si="68"/>
        <v>22</v>
      </c>
      <c r="S748" t="e">
        <v>#N/A</v>
      </c>
      <c r="T748" s="7">
        <v>7</v>
      </c>
      <c r="U748" s="7">
        <v>8</v>
      </c>
      <c r="V748" s="7">
        <v>4</v>
      </c>
      <c r="W748" s="7">
        <v>3</v>
      </c>
      <c r="X748" s="7">
        <f t="shared" si="69"/>
        <v>22</v>
      </c>
      <c r="Y748" t="e">
        <v>#N/A</v>
      </c>
      <c r="Z748">
        <v>121655.83177932</v>
      </c>
      <c r="AA748" t="s">
        <v>391</v>
      </c>
      <c r="AB748">
        <v>38</v>
      </c>
      <c r="AC748">
        <v>1659</v>
      </c>
      <c r="AD748" t="s">
        <v>382</v>
      </c>
      <c r="AE748" t="s">
        <v>41</v>
      </c>
      <c r="AF748">
        <v>119</v>
      </c>
      <c r="AG748" s="8">
        <v>0</v>
      </c>
      <c r="AH748">
        <v>0</v>
      </c>
      <c r="AI748">
        <v>14</v>
      </c>
      <c r="AJ748">
        <v>-8</v>
      </c>
      <c r="AK748" t="e">
        <v>#N/A</v>
      </c>
      <c r="AL748" t="e">
        <v>#N/A</v>
      </c>
      <c r="AM748">
        <v>22</v>
      </c>
      <c r="AN748">
        <v>0</v>
      </c>
      <c r="AO748">
        <v>0</v>
      </c>
      <c r="AP748">
        <v>0</v>
      </c>
      <c r="AQ748">
        <v>0</v>
      </c>
      <c r="AR748">
        <v>0.5</v>
      </c>
      <c r="AS748">
        <v>0.25</v>
      </c>
      <c r="AT748">
        <v>0.25</v>
      </c>
      <c r="AU748">
        <v>274910.25145789009</v>
      </c>
      <c r="AV748">
        <v>7</v>
      </c>
      <c r="AW748">
        <f t="shared" si="70"/>
        <v>0</v>
      </c>
      <c r="AX748">
        <v>1659</v>
      </c>
      <c r="AY748">
        <f t="shared" si="71"/>
        <v>1</v>
      </c>
      <c r="AZ748">
        <v>13.941176470588236</v>
      </c>
      <c r="BA748">
        <v>1</v>
      </c>
      <c r="BB748">
        <v>2020</v>
      </c>
      <c r="BC748">
        <v>5</v>
      </c>
      <c r="BD748">
        <v>2020</v>
      </c>
      <c r="BE748">
        <v>1</v>
      </c>
      <c r="BF748">
        <v>2020</v>
      </c>
    </row>
    <row r="749" spans="1:58" x14ac:dyDescent="0.2">
      <c r="A749" s="7">
        <v>12</v>
      </c>
      <c r="B749" s="7">
        <v>26</v>
      </c>
      <c r="C749" s="7">
        <v>5</v>
      </c>
      <c r="D749" s="7">
        <v>5</v>
      </c>
      <c r="E749" s="7">
        <f t="shared" si="66"/>
        <v>48</v>
      </c>
      <c r="F749" s="11" t="e">
        <v>#N/A</v>
      </c>
      <c r="G749">
        <v>10</v>
      </c>
      <c r="H749">
        <v>10</v>
      </c>
      <c r="I749">
        <v>2</v>
      </c>
      <c r="J749">
        <v>4</v>
      </c>
      <c r="K749">
        <f t="shared" si="67"/>
        <v>26</v>
      </c>
      <c r="L749" t="e">
        <v>#N/A</v>
      </c>
      <c r="M749">
        <v>24828.799015249999</v>
      </c>
      <c r="N749" s="7">
        <v>13</v>
      </c>
      <c r="O749" s="7">
        <v>26</v>
      </c>
      <c r="P749" s="7">
        <v>7</v>
      </c>
      <c r="Q749" s="7">
        <v>6</v>
      </c>
      <c r="R749" s="7">
        <f t="shared" si="68"/>
        <v>52</v>
      </c>
      <c r="S749" t="e">
        <v>#N/A</v>
      </c>
      <c r="T749" s="7">
        <v>13</v>
      </c>
      <c r="U749" s="7">
        <v>25</v>
      </c>
      <c r="V749" s="7">
        <v>9</v>
      </c>
      <c r="W749" s="7">
        <v>6</v>
      </c>
      <c r="X749" s="7">
        <f t="shared" si="69"/>
        <v>53</v>
      </c>
      <c r="Y749" t="e">
        <v>#N/A</v>
      </c>
      <c r="Z749">
        <v>94432.666298730008</v>
      </c>
      <c r="AA749" t="s">
        <v>392</v>
      </c>
      <c r="AB749">
        <v>58</v>
      </c>
      <c r="AC749">
        <v>0</v>
      </c>
      <c r="AD749" t="s">
        <v>49</v>
      </c>
      <c r="AE749" t="s">
        <v>41</v>
      </c>
      <c r="AF749">
        <v>273</v>
      </c>
      <c r="AG749" s="8">
        <v>323</v>
      </c>
      <c r="AH749">
        <v>1</v>
      </c>
      <c r="AI749">
        <v>5</v>
      </c>
      <c r="AJ749">
        <v>-22</v>
      </c>
      <c r="AK749">
        <v>3.0959752321981426E-3</v>
      </c>
      <c r="AL749">
        <v>5.5641488407465724E-2</v>
      </c>
      <c r="AM749">
        <v>26</v>
      </c>
      <c r="AN749">
        <v>0</v>
      </c>
      <c r="AO749">
        <v>1.9230769230769232E-2</v>
      </c>
      <c r="AP749">
        <v>2.0833333333333332E-2</v>
      </c>
      <c r="AQ749">
        <v>0.10416666666666667</v>
      </c>
      <c r="AR749">
        <v>0.25</v>
      </c>
      <c r="AS749">
        <v>0.54166666666666663</v>
      </c>
      <c r="AT749">
        <v>0.10416666666666667</v>
      </c>
      <c r="AU749">
        <v>119261.46531398001</v>
      </c>
      <c r="AV749">
        <v>6</v>
      </c>
      <c r="AW749">
        <f t="shared" si="70"/>
        <v>0</v>
      </c>
      <c r="AX749">
        <v>0</v>
      </c>
      <c r="AY749">
        <f t="shared" si="71"/>
        <v>0</v>
      </c>
      <c r="AZ749">
        <v>0</v>
      </c>
      <c r="BA749">
        <v>1</v>
      </c>
      <c r="BB749">
        <v>2020</v>
      </c>
      <c r="BC749">
        <v>10</v>
      </c>
      <c r="BD749">
        <v>2020</v>
      </c>
      <c r="BE749">
        <v>1</v>
      </c>
      <c r="BF749">
        <v>2020</v>
      </c>
    </row>
    <row r="750" spans="1:58" x14ac:dyDescent="0.2">
      <c r="A750" s="7">
        <v>0</v>
      </c>
      <c r="B750" s="7">
        <v>10</v>
      </c>
      <c r="C750" s="7">
        <v>0</v>
      </c>
      <c r="D750" s="7">
        <v>0</v>
      </c>
      <c r="E750" s="7">
        <f t="shared" si="66"/>
        <v>10</v>
      </c>
      <c r="F750" s="11" t="e">
        <v>#N/A</v>
      </c>
      <c r="G750">
        <v>0</v>
      </c>
      <c r="H750">
        <v>2</v>
      </c>
      <c r="I750">
        <v>0</v>
      </c>
      <c r="J750">
        <v>0</v>
      </c>
      <c r="K750">
        <f t="shared" si="67"/>
        <v>2</v>
      </c>
      <c r="L750" t="e">
        <v>#N/A</v>
      </c>
      <c r="M750">
        <v>27053.052069180001</v>
      </c>
      <c r="N750" s="7">
        <v>2</v>
      </c>
      <c r="O750" s="7">
        <v>8</v>
      </c>
      <c r="P750" s="7">
        <v>1</v>
      </c>
      <c r="Q750" s="7">
        <v>0</v>
      </c>
      <c r="R750" s="7">
        <f t="shared" si="68"/>
        <v>11</v>
      </c>
      <c r="S750" t="e">
        <v>#N/A</v>
      </c>
      <c r="T750" s="7">
        <v>2</v>
      </c>
      <c r="U750" s="7">
        <v>8</v>
      </c>
      <c r="V750" s="7">
        <v>1</v>
      </c>
      <c r="W750" s="7">
        <v>0</v>
      </c>
      <c r="X750" s="7">
        <f t="shared" si="69"/>
        <v>11</v>
      </c>
      <c r="Y750" t="e">
        <v>#N/A</v>
      </c>
      <c r="Z750">
        <v>164756.19432283999</v>
      </c>
      <c r="AA750" t="s">
        <v>393</v>
      </c>
      <c r="AB750">
        <v>64</v>
      </c>
      <c r="AC750">
        <v>359</v>
      </c>
      <c r="AD750" t="s">
        <v>394</v>
      </c>
      <c r="AE750" t="s">
        <v>41</v>
      </c>
      <c r="AF750">
        <v>303</v>
      </c>
      <c r="AG750" s="8">
        <v>0</v>
      </c>
      <c r="AH750">
        <v>0</v>
      </c>
      <c r="AI750">
        <v>1</v>
      </c>
      <c r="AJ750">
        <v>-8</v>
      </c>
      <c r="AK750" t="e">
        <v>#N/A</v>
      </c>
      <c r="AL750" t="e">
        <v>#N/A</v>
      </c>
      <c r="AM750">
        <v>9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191809.24639202</v>
      </c>
      <c r="AV750">
        <v>11</v>
      </c>
      <c r="AW750">
        <f t="shared" si="70"/>
        <v>1</v>
      </c>
      <c r="AX750">
        <v>359</v>
      </c>
      <c r="AY750">
        <f t="shared" si="71"/>
        <v>1</v>
      </c>
      <c r="AZ750">
        <v>1.1848184818481848</v>
      </c>
      <c r="BA750">
        <v>2</v>
      </c>
      <c r="BB750">
        <v>2020</v>
      </c>
      <c r="BC750">
        <v>12</v>
      </c>
      <c r="BD750">
        <v>2020</v>
      </c>
      <c r="BE750">
        <v>1</v>
      </c>
      <c r="BF750">
        <v>2020</v>
      </c>
    </row>
    <row r="751" spans="1:58" x14ac:dyDescent="0.2">
      <c r="A751" s="7">
        <v>0</v>
      </c>
      <c r="B751" s="7">
        <v>0</v>
      </c>
      <c r="C751" s="7">
        <v>0</v>
      </c>
      <c r="D751" s="7">
        <v>0</v>
      </c>
      <c r="E751" s="7">
        <f t="shared" si="66"/>
        <v>0</v>
      </c>
      <c r="F751" s="11" t="e">
        <v>#N/A</v>
      </c>
      <c r="G751">
        <v>0</v>
      </c>
      <c r="H751">
        <v>0</v>
      </c>
      <c r="I751">
        <v>0</v>
      </c>
      <c r="J751">
        <v>0</v>
      </c>
      <c r="K751">
        <f t="shared" si="67"/>
        <v>0</v>
      </c>
      <c r="L751" t="e">
        <v>#N/A</v>
      </c>
      <c r="M751">
        <v>115243.41054806</v>
      </c>
      <c r="N751" s="7">
        <v>0</v>
      </c>
      <c r="O751" s="7">
        <v>0</v>
      </c>
      <c r="P751" s="7">
        <v>0</v>
      </c>
      <c r="Q751" s="7">
        <v>0</v>
      </c>
      <c r="R751" s="7">
        <f t="shared" si="68"/>
        <v>0</v>
      </c>
      <c r="S751" t="e">
        <v>#N/A</v>
      </c>
      <c r="T751" s="7">
        <v>0</v>
      </c>
      <c r="U751" s="7">
        <v>0</v>
      </c>
      <c r="V751" s="7">
        <v>0</v>
      </c>
      <c r="W751" s="7">
        <v>0</v>
      </c>
      <c r="X751" s="7">
        <f t="shared" si="69"/>
        <v>0</v>
      </c>
      <c r="Y751" t="e">
        <v>#N/A</v>
      </c>
      <c r="Z751">
        <v>177417.48532121</v>
      </c>
      <c r="AA751" t="s">
        <v>395</v>
      </c>
      <c r="AB751">
        <v>50</v>
      </c>
      <c r="AC751">
        <v>1534</v>
      </c>
      <c r="AD751" t="s">
        <v>382</v>
      </c>
      <c r="AE751" t="s">
        <v>75</v>
      </c>
      <c r="AF751">
        <v>163</v>
      </c>
      <c r="AG751" s="8">
        <v>0</v>
      </c>
      <c r="AH751">
        <v>0</v>
      </c>
      <c r="AI751">
        <v>0</v>
      </c>
      <c r="AJ751">
        <v>0</v>
      </c>
      <c r="AK751" t="e">
        <v>#N/A</v>
      </c>
      <c r="AL751" t="e">
        <v>#N/A</v>
      </c>
      <c r="AM751">
        <v>0</v>
      </c>
      <c r="AN751">
        <v>0</v>
      </c>
      <c r="AO751" t="e">
        <v>#N/A</v>
      </c>
      <c r="AP751" t="e">
        <v>#N/A</v>
      </c>
      <c r="AQ751" t="e">
        <v>#N/A</v>
      </c>
      <c r="AR751" t="e">
        <v>#N/A</v>
      </c>
      <c r="AS751" t="e">
        <v>#N/A</v>
      </c>
      <c r="AT751" t="e">
        <v>#N/A</v>
      </c>
      <c r="AU751">
        <v>292660.89586926997</v>
      </c>
      <c r="AV751">
        <v>10</v>
      </c>
      <c r="AW751">
        <f t="shared" si="70"/>
        <v>1</v>
      </c>
      <c r="AX751">
        <v>1534</v>
      </c>
      <c r="AY751">
        <f t="shared" si="71"/>
        <v>1</v>
      </c>
      <c r="AZ751">
        <v>9.4110429447852759</v>
      </c>
      <c r="BA751">
        <v>1</v>
      </c>
      <c r="BB751">
        <v>2020</v>
      </c>
      <c r="BC751">
        <v>6</v>
      </c>
      <c r="BD751">
        <v>2020</v>
      </c>
      <c r="BE751">
        <v>1</v>
      </c>
      <c r="BF751">
        <v>2020</v>
      </c>
    </row>
    <row r="752" spans="1:58" x14ac:dyDescent="0.2">
      <c r="A752" s="7">
        <v>0</v>
      </c>
      <c r="B752" s="7">
        <v>11</v>
      </c>
      <c r="C752" s="7">
        <v>0</v>
      </c>
      <c r="D752" s="7">
        <v>0</v>
      </c>
      <c r="E752" s="7">
        <f t="shared" si="66"/>
        <v>11</v>
      </c>
      <c r="F752" s="11" t="e">
        <v>#N/A</v>
      </c>
      <c r="G752">
        <v>0</v>
      </c>
      <c r="H752">
        <v>8</v>
      </c>
      <c r="I752">
        <v>0</v>
      </c>
      <c r="J752">
        <v>0</v>
      </c>
      <c r="K752">
        <f t="shared" si="67"/>
        <v>8</v>
      </c>
      <c r="L752" t="e">
        <v>#N/A</v>
      </c>
      <c r="M752">
        <v>32974.229415430003</v>
      </c>
      <c r="N752" s="7">
        <v>0</v>
      </c>
      <c r="O752" s="7">
        <v>16</v>
      </c>
      <c r="P752" s="7">
        <v>0</v>
      </c>
      <c r="Q752" s="7">
        <v>3</v>
      </c>
      <c r="R752" s="7">
        <f t="shared" si="68"/>
        <v>19</v>
      </c>
      <c r="S752" t="e">
        <v>#N/A</v>
      </c>
      <c r="T752" s="7">
        <v>0</v>
      </c>
      <c r="U752" s="7">
        <v>16</v>
      </c>
      <c r="V752" s="7">
        <v>0</v>
      </c>
      <c r="W752" s="7">
        <v>3</v>
      </c>
      <c r="X752" s="7">
        <f t="shared" si="69"/>
        <v>19</v>
      </c>
      <c r="Y752" t="e">
        <v>#N/A</v>
      </c>
      <c r="Z752">
        <v>169583.72742412001</v>
      </c>
      <c r="AA752" t="s">
        <v>396</v>
      </c>
      <c r="AB752">
        <v>50</v>
      </c>
      <c r="AC752">
        <v>0</v>
      </c>
      <c r="AD752" t="s">
        <v>254</v>
      </c>
      <c r="AE752" t="s">
        <v>41</v>
      </c>
      <c r="AF752">
        <v>168</v>
      </c>
      <c r="AG752" s="8">
        <v>0</v>
      </c>
      <c r="AH752">
        <v>0</v>
      </c>
      <c r="AI752">
        <v>8</v>
      </c>
      <c r="AJ752">
        <v>-3</v>
      </c>
      <c r="AK752" t="e">
        <v>#N/A</v>
      </c>
      <c r="AL752" t="e">
        <v>#N/A</v>
      </c>
      <c r="AM752">
        <v>11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202557.95683955</v>
      </c>
      <c r="AV752">
        <v>12</v>
      </c>
      <c r="AW752">
        <f t="shared" si="70"/>
        <v>1</v>
      </c>
      <c r="AX752">
        <v>0</v>
      </c>
      <c r="AY752">
        <f t="shared" si="71"/>
        <v>0</v>
      </c>
      <c r="AZ752">
        <v>0</v>
      </c>
      <c r="BA752">
        <v>1</v>
      </c>
      <c r="BB752">
        <v>2020</v>
      </c>
      <c r="BC752">
        <v>6</v>
      </c>
      <c r="BD752">
        <v>2020</v>
      </c>
      <c r="BE752">
        <v>1</v>
      </c>
      <c r="BF752">
        <v>2020</v>
      </c>
    </row>
    <row r="753" spans="1:58" x14ac:dyDescent="0.2">
      <c r="A753" s="7">
        <v>9</v>
      </c>
      <c r="B753" s="7">
        <v>14</v>
      </c>
      <c r="C753" s="7">
        <v>0</v>
      </c>
      <c r="D753" s="7">
        <v>5</v>
      </c>
      <c r="E753" s="7">
        <f t="shared" si="66"/>
        <v>28</v>
      </c>
      <c r="F753" s="11" t="e">
        <v>#N/A</v>
      </c>
      <c r="G753">
        <v>9</v>
      </c>
      <c r="H753">
        <v>9</v>
      </c>
      <c r="I753">
        <v>0</v>
      </c>
      <c r="J753">
        <v>5</v>
      </c>
      <c r="K753">
        <f t="shared" si="67"/>
        <v>23</v>
      </c>
      <c r="L753" t="e">
        <v>#N/A</v>
      </c>
      <c r="M753">
        <v>41975.092459730004</v>
      </c>
      <c r="N753" s="7">
        <v>12</v>
      </c>
      <c r="O753" s="7">
        <v>13</v>
      </c>
      <c r="P753" s="7">
        <v>0</v>
      </c>
      <c r="Q753" s="7">
        <v>5</v>
      </c>
      <c r="R753" s="7">
        <f t="shared" si="68"/>
        <v>30</v>
      </c>
      <c r="S753" t="e">
        <v>#N/A</v>
      </c>
      <c r="T753" s="7">
        <v>13</v>
      </c>
      <c r="U753" s="7">
        <v>15</v>
      </c>
      <c r="V753" s="7">
        <v>3</v>
      </c>
      <c r="W753" s="7">
        <v>5</v>
      </c>
      <c r="X753" s="7">
        <f t="shared" si="69"/>
        <v>36</v>
      </c>
      <c r="Y753" t="e">
        <v>#N/A</v>
      </c>
      <c r="Z753">
        <v>49818.402408460002</v>
      </c>
      <c r="AA753" t="s">
        <v>397</v>
      </c>
      <c r="AB753">
        <v>81</v>
      </c>
      <c r="AC753">
        <v>0</v>
      </c>
      <c r="AD753" t="s">
        <v>119</v>
      </c>
      <c r="AE753" t="s">
        <v>41</v>
      </c>
      <c r="AF753">
        <v>167</v>
      </c>
      <c r="AG753" s="8">
        <v>250</v>
      </c>
      <c r="AH753">
        <v>6</v>
      </c>
      <c r="AI753">
        <v>8</v>
      </c>
      <c r="AJ753">
        <v>-5</v>
      </c>
      <c r="AK753">
        <v>2.4E-2</v>
      </c>
      <c r="AL753">
        <v>0.37947331922020555</v>
      </c>
      <c r="AM753">
        <v>7</v>
      </c>
      <c r="AN753">
        <v>0</v>
      </c>
      <c r="AO753">
        <v>0.2</v>
      </c>
      <c r="AP753">
        <v>0.21428571428571427</v>
      </c>
      <c r="AQ753">
        <v>0.17857142857142858</v>
      </c>
      <c r="AR753">
        <v>0.32142857142857145</v>
      </c>
      <c r="AS753">
        <v>0.5</v>
      </c>
      <c r="AT753">
        <v>0</v>
      </c>
      <c r="AU753">
        <v>91793.494868189999</v>
      </c>
      <c r="AV753">
        <v>16</v>
      </c>
      <c r="AW753">
        <f t="shared" si="70"/>
        <v>1</v>
      </c>
      <c r="AX753">
        <v>0</v>
      </c>
      <c r="AY753">
        <f t="shared" si="71"/>
        <v>0</v>
      </c>
      <c r="AZ753">
        <v>0</v>
      </c>
      <c r="BA753">
        <v>1</v>
      </c>
      <c r="BB753">
        <v>2020</v>
      </c>
      <c r="BC753">
        <v>6</v>
      </c>
      <c r="BD753">
        <v>2020</v>
      </c>
      <c r="BE753">
        <v>1</v>
      </c>
      <c r="BF753">
        <v>2020</v>
      </c>
    </row>
    <row r="754" spans="1:58" x14ac:dyDescent="0.2">
      <c r="A754" s="7">
        <v>0</v>
      </c>
      <c r="B754" s="7">
        <v>11</v>
      </c>
      <c r="C754" s="7">
        <v>0</v>
      </c>
      <c r="D754" s="7">
        <v>3</v>
      </c>
      <c r="E754" s="7">
        <f t="shared" si="66"/>
        <v>14</v>
      </c>
      <c r="F754" s="11" t="e">
        <v>#N/A</v>
      </c>
      <c r="G754">
        <v>0</v>
      </c>
      <c r="H754">
        <v>11</v>
      </c>
      <c r="I754">
        <v>0</v>
      </c>
      <c r="J754">
        <v>0</v>
      </c>
      <c r="K754">
        <f t="shared" si="67"/>
        <v>11</v>
      </c>
      <c r="L754" t="e">
        <v>#N/A</v>
      </c>
      <c r="M754">
        <v>37784.479173630003</v>
      </c>
      <c r="N754" s="7">
        <v>6</v>
      </c>
      <c r="O754" s="7">
        <v>16</v>
      </c>
      <c r="P754" s="7">
        <v>0</v>
      </c>
      <c r="Q754" s="7">
        <v>3</v>
      </c>
      <c r="R754" s="7">
        <f t="shared" si="68"/>
        <v>25</v>
      </c>
      <c r="S754" t="e">
        <v>#N/A</v>
      </c>
      <c r="T754" s="7">
        <v>6</v>
      </c>
      <c r="U754" s="7">
        <v>16</v>
      </c>
      <c r="V754" s="7">
        <v>0</v>
      </c>
      <c r="W754" s="7">
        <v>3</v>
      </c>
      <c r="X754" s="7">
        <f t="shared" si="69"/>
        <v>25</v>
      </c>
      <c r="Y754" t="e">
        <v>#N/A</v>
      </c>
      <c r="Z754">
        <v>128699.21967204</v>
      </c>
      <c r="AA754" t="s">
        <v>398</v>
      </c>
      <c r="AB754">
        <v>63</v>
      </c>
      <c r="AC754">
        <v>0</v>
      </c>
      <c r="AD754" t="s">
        <v>254</v>
      </c>
      <c r="AE754" t="s">
        <v>41</v>
      </c>
      <c r="AF754">
        <v>164</v>
      </c>
      <c r="AG754" s="8">
        <v>0</v>
      </c>
      <c r="AH754">
        <v>0</v>
      </c>
      <c r="AI754">
        <v>11</v>
      </c>
      <c r="AJ754">
        <v>-3</v>
      </c>
      <c r="AK754" t="e">
        <v>#N/A</v>
      </c>
      <c r="AL754" t="e">
        <v>#N/A</v>
      </c>
      <c r="AM754">
        <v>14</v>
      </c>
      <c r="AN754">
        <v>0</v>
      </c>
      <c r="AO754">
        <v>0</v>
      </c>
      <c r="AP754">
        <v>0</v>
      </c>
      <c r="AQ754">
        <v>0.21428571428571427</v>
      </c>
      <c r="AR754">
        <v>0</v>
      </c>
      <c r="AS754">
        <v>0.7857142857142857</v>
      </c>
      <c r="AT754">
        <v>0</v>
      </c>
      <c r="AU754">
        <v>166483.69884567001</v>
      </c>
      <c r="AV754">
        <v>8</v>
      </c>
      <c r="AW754">
        <f t="shared" si="70"/>
        <v>0</v>
      </c>
      <c r="AX754">
        <v>0</v>
      </c>
      <c r="AY754">
        <f t="shared" si="71"/>
        <v>0</v>
      </c>
      <c r="AZ754">
        <v>0</v>
      </c>
      <c r="BA754">
        <v>1</v>
      </c>
      <c r="BB754">
        <v>2020</v>
      </c>
      <c r="BC754">
        <v>6</v>
      </c>
      <c r="BD754">
        <v>2020</v>
      </c>
      <c r="BE754">
        <v>1</v>
      </c>
      <c r="BF754">
        <v>2020</v>
      </c>
    </row>
    <row r="755" spans="1:58" x14ac:dyDescent="0.2">
      <c r="A755" s="7">
        <v>0</v>
      </c>
      <c r="B755" s="7">
        <v>10</v>
      </c>
      <c r="C755" s="7">
        <v>0</v>
      </c>
      <c r="D755" s="7">
        <v>0</v>
      </c>
      <c r="E755" s="7">
        <f t="shared" si="66"/>
        <v>10</v>
      </c>
      <c r="F755" s="11" t="e">
        <v>#N/A</v>
      </c>
      <c r="G755">
        <v>0</v>
      </c>
      <c r="H755">
        <v>10</v>
      </c>
      <c r="I755">
        <v>0</v>
      </c>
      <c r="J755">
        <v>0</v>
      </c>
      <c r="K755">
        <f t="shared" si="67"/>
        <v>10</v>
      </c>
      <c r="L755" t="e">
        <v>#N/A</v>
      </c>
      <c r="M755">
        <v>48062.537178259998</v>
      </c>
      <c r="N755" s="7">
        <v>2</v>
      </c>
      <c r="O755" s="7">
        <v>18</v>
      </c>
      <c r="P755" s="7">
        <v>0</v>
      </c>
      <c r="Q755" s="7">
        <v>3</v>
      </c>
      <c r="R755" s="7">
        <f t="shared" si="68"/>
        <v>23</v>
      </c>
      <c r="S755" t="e">
        <v>#N/A</v>
      </c>
      <c r="T755" s="7">
        <v>2</v>
      </c>
      <c r="U755" s="7">
        <v>18</v>
      </c>
      <c r="V755" s="7">
        <v>0</v>
      </c>
      <c r="W755" s="7">
        <v>3</v>
      </c>
      <c r="X755" s="7">
        <f t="shared" si="69"/>
        <v>23</v>
      </c>
      <c r="Y755" t="e">
        <v>#N/A</v>
      </c>
      <c r="Z755">
        <v>146987.74695437</v>
      </c>
      <c r="AA755" t="s">
        <v>399</v>
      </c>
      <c r="AB755">
        <v>47</v>
      </c>
      <c r="AC755">
        <v>142</v>
      </c>
      <c r="AD755" t="s">
        <v>254</v>
      </c>
      <c r="AE755" t="s">
        <v>41</v>
      </c>
      <c r="AF755">
        <v>168</v>
      </c>
      <c r="AG755" s="8">
        <v>0</v>
      </c>
      <c r="AH755">
        <v>0</v>
      </c>
      <c r="AI755">
        <v>13</v>
      </c>
      <c r="AJ755">
        <v>0</v>
      </c>
      <c r="AK755" t="e">
        <v>#N/A</v>
      </c>
      <c r="AL755" t="e">
        <v>#N/A</v>
      </c>
      <c r="AM755">
        <v>13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0</v>
      </c>
      <c r="AU755">
        <v>195050.28413262998</v>
      </c>
      <c r="AV755">
        <v>7</v>
      </c>
      <c r="AW755">
        <f t="shared" si="70"/>
        <v>0</v>
      </c>
      <c r="AX755">
        <v>142</v>
      </c>
      <c r="AY755">
        <f t="shared" si="71"/>
        <v>1</v>
      </c>
      <c r="AZ755">
        <v>0.84523809523809523</v>
      </c>
      <c r="BA755">
        <v>1</v>
      </c>
      <c r="BB755">
        <v>2020</v>
      </c>
      <c r="BC755">
        <v>6</v>
      </c>
      <c r="BD755">
        <v>2020</v>
      </c>
      <c r="BE755">
        <v>1</v>
      </c>
      <c r="BF755">
        <v>2020</v>
      </c>
    </row>
    <row r="756" spans="1:58" x14ac:dyDescent="0.2">
      <c r="A756" s="7">
        <v>3</v>
      </c>
      <c r="B756" s="7">
        <v>8</v>
      </c>
      <c r="C756" s="7">
        <v>0</v>
      </c>
      <c r="D756" s="7">
        <v>0</v>
      </c>
      <c r="E756" s="7">
        <f t="shared" si="66"/>
        <v>11</v>
      </c>
      <c r="F756" s="11" t="e">
        <v>#N/A</v>
      </c>
      <c r="G756">
        <v>8</v>
      </c>
      <c r="H756">
        <v>11</v>
      </c>
      <c r="I756">
        <v>0</v>
      </c>
      <c r="J756">
        <v>2</v>
      </c>
      <c r="K756">
        <f t="shared" si="67"/>
        <v>21</v>
      </c>
      <c r="L756" t="e">
        <v>#N/A</v>
      </c>
      <c r="M756">
        <v>43885.40897556</v>
      </c>
      <c r="N756" s="7">
        <v>8</v>
      </c>
      <c r="O756" s="7">
        <v>14</v>
      </c>
      <c r="P756" s="7">
        <v>0</v>
      </c>
      <c r="Q756" s="7">
        <v>2</v>
      </c>
      <c r="R756" s="7">
        <f t="shared" si="68"/>
        <v>24</v>
      </c>
      <c r="S756" t="e">
        <v>#N/A</v>
      </c>
      <c r="T756" s="7">
        <v>12</v>
      </c>
      <c r="U756" s="7">
        <v>16</v>
      </c>
      <c r="V756" s="7">
        <v>2</v>
      </c>
      <c r="W756" s="7">
        <v>6</v>
      </c>
      <c r="X756" s="7">
        <f t="shared" si="69"/>
        <v>36</v>
      </c>
      <c r="Y756" t="e">
        <v>#N/A</v>
      </c>
      <c r="Z756">
        <v>121348.03441445</v>
      </c>
      <c r="AA756" t="s">
        <v>400</v>
      </c>
      <c r="AB756">
        <v>78</v>
      </c>
      <c r="AC756">
        <v>458</v>
      </c>
      <c r="AD756" t="s">
        <v>258</v>
      </c>
      <c r="AE756" t="s">
        <v>75</v>
      </c>
      <c r="AF756">
        <v>21</v>
      </c>
      <c r="AG756" s="8">
        <v>348</v>
      </c>
      <c r="AH756">
        <v>12</v>
      </c>
      <c r="AI756">
        <v>25</v>
      </c>
      <c r="AJ756">
        <v>10</v>
      </c>
      <c r="AK756">
        <v>3.4482758620689655E-2</v>
      </c>
      <c r="AL756">
        <v>0.6432675209026768</v>
      </c>
      <c r="AM756">
        <v>3</v>
      </c>
      <c r="AN756">
        <v>0</v>
      </c>
      <c r="AO756">
        <v>0.5</v>
      </c>
      <c r="AP756">
        <v>1.0909090909090908</v>
      </c>
      <c r="AQ756">
        <v>0</v>
      </c>
      <c r="AR756">
        <v>0.27272727272727271</v>
      </c>
      <c r="AS756">
        <v>0.72727272727272729</v>
      </c>
      <c r="AT756">
        <v>0</v>
      </c>
      <c r="AU756">
        <v>165233.44339000998</v>
      </c>
      <c r="AV756">
        <v>18</v>
      </c>
      <c r="AW756">
        <f t="shared" si="70"/>
        <v>1</v>
      </c>
      <c r="AX756">
        <v>458</v>
      </c>
      <c r="AY756">
        <f t="shared" si="71"/>
        <v>1</v>
      </c>
      <c r="AZ756">
        <v>21.80952380952381</v>
      </c>
      <c r="BA756">
        <v>6</v>
      </c>
      <c r="BB756">
        <v>2020</v>
      </c>
      <c r="BC756">
        <v>7</v>
      </c>
      <c r="BD756">
        <v>2020</v>
      </c>
      <c r="BE756">
        <v>1</v>
      </c>
      <c r="BF756">
        <v>2020</v>
      </c>
    </row>
    <row r="757" spans="1:58" x14ac:dyDescent="0.2">
      <c r="A757" s="7">
        <v>8</v>
      </c>
      <c r="B757" s="7">
        <v>28</v>
      </c>
      <c r="C757" s="7">
        <v>0</v>
      </c>
      <c r="D757" s="7">
        <v>3</v>
      </c>
      <c r="E757" s="7">
        <f t="shared" si="66"/>
        <v>39</v>
      </c>
      <c r="F757" s="11" t="e">
        <v>#N/A</v>
      </c>
      <c r="G757">
        <v>9</v>
      </c>
      <c r="H757">
        <v>15</v>
      </c>
      <c r="I757">
        <v>0</v>
      </c>
      <c r="J757">
        <v>0</v>
      </c>
      <c r="K757">
        <f t="shared" si="67"/>
        <v>24</v>
      </c>
      <c r="L757" t="e">
        <v>#N/A</v>
      </c>
      <c r="M757">
        <v>60752.011145520002</v>
      </c>
      <c r="N757" s="7">
        <v>12</v>
      </c>
      <c r="O757" s="7">
        <v>23</v>
      </c>
      <c r="P757" s="7">
        <v>5</v>
      </c>
      <c r="Q757" s="7">
        <v>4</v>
      </c>
      <c r="R757" s="7">
        <f t="shared" si="68"/>
        <v>44</v>
      </c>
      <c r="S757" t="e">
        <v>#N/A</v>
      </c>
      <c r="T757" s="7">
        <v>14</v>
      </c>
      <c r="U757" s="7">
        <v>25</v>
      </c>
      <c r="V757" s="7">
        <v>6</v>
      </c>
      <c r="W757" s="7">
        <v>6</v>
      </c>
      <c r="X757" s="7">
        <f t="shared" si="69"/>
        <v>51</v>
      </c>
      <c r="Y757" t="e">
        <v>#N/A</v>
      </c>
      <c r="Z757">
        <v>66816.966293930003</v>
      </c>
      <c r="AA757" t="s">
        <v>401</v>
      </c>
      <c r="AB757">
        <v>24</v>
      </c>
      <c r="AC757">
        <v>0</v>
      </c>
      <c r="AD757" t="s">
        <v>119</v>
      </c>
      <c r="AE757" t="s">
        <v>75</v>
      </c>
      <c r="AF757">
        <v>203</v>
      </c>
      <c r="AG757" s="8">
        <v>342</v>
      </c>
      <c r="AH757">
        <v>7</v>
      </c>
      <c r="AI757">
        <v>12</v>
      </c>
      <c r="AJ757">
        <v>-15</v>
      </c>
      <c r="AK757">
        <v>2.046783625730994E-2</v>
      </c>
      <c r="AL757">
        <v>0.37851664930511258</v>
      </c>
      <c r="AM757">
        <v>20</v>
      </c>
      <c r="AN757">
        <v>0</v>
      </c>
      <c r="AO757">
        <v>0.15909090909090909</v>
      </c>
      <c r="AP757">
        <v>0.17948717948717949</v>
      </c>
      <c r="AQ757">
        <v>7.6923076923076927E-2</v>
      </c>
      <c r="AR757">
        <v>0.20512820512820512</v>
      </c>
      <c r="AS757">
        <v>0.71794871794871795</v>
      </c>
      <c r="AT757">
        <v>0</v>
      </c>
      <c r="AU757">
        <v>127568.97743945001</v>
      </c>
      <c r="AV757">
        <v>8</v>
      </c>
      <c r="AW757">
        <f t="shared" si="70"/>
        <v>0</v>
      </c>
      <c r="AX757">
        <v>0</v>
      </c>
      <c r="AY757">
        <f t="shared" si="71"/>
        <v>0</v>
      </c>
      <c r="AZ757">
        <v>0</v>
      </c>
      <c r="BA757">
        <v>1</v>
      </c>
      <c r="BB757">
        <v>2020</v>
      </c>
      <c r="BC757">
        <v>7</v>
      </c>
      <c r="BD757">
        <v>2020</v>
      </c>
      <c r="BE757">
        <v>1</v>
      </c>
      <c r="BF757">
        <v>2020</v>
      </c>
    </row>
    <row r="758" spans="1:58" x14ac:dyDescent="0.2">
      <c r="A758" s="7">
        <v>1</v>
      </c>
      <c r="B758" s="7">
        <v>10</v>
      </c>
      <c r="C758" s="7">
        <v>0</v>
      </c>
      <c r="D758" s="7">
        <v>0</v>
      </c>
      <c r="E758" s="7">
        <f t="shared" si="66"/>
        <v>11</v>
      </c>
      <c r="F758" s="11" t="e">
        <v>#N/A</v>
      </c>
      <c r="G758">
        <v>1</v>
      </c>
      <c r="H758">
        <v>18</v>
      </c>
      <c r="I758">
        <v>0</v>
      </c>
      <c r="J758">
        <v>0</v>
      </c>
      <c r="K758">
        <f t="shared" si="67"/>
        <v>19</v>
      </c>
      <c r="L758" t="e">
        <v>#N/A</v>
      </c>
      <c r="M758">
        <v>71486.898414420008</v>
      </c>
      <c r="N758" s="7">
        <v>3</v>
      </c>
      <c r="O758" s="7">
        <v>18</v>
      </c>
      <c r="P758" s="7">
        <v>0</v>
      </c>
      <c r="Q758" s="7">
        <v>3</v>
      </c>
      <c r="R758" s="7">
        <f t="shared" si="68"/>
        <v>24</v>
      </c>
      <c r="S758" t="e">
        <v>#N/A</v>
      </c>
      <c r="T758" s="7">
        <v>3</v>
      </c>
      <c r="U758" s="7">
        <v>18</v>
      </c>
      <c r="V758" s="7">
        <v>0</v>
      </c>
      <c r="W758" s="7">
        <v>3</v>
      </c>
      <c r="X758" s="7">
        <f t="shared" si="69"/>
        <v>24</v>
      </c>
      <c r="Y758" t="e">
        <v>#N/A</v>
      </c>
      <c r="Z758">
        <v>143938.89126623</v>
      </c>
      <c r="AA758" t="s">
        <v>402</v>
      </c>
      <c r="AB758">
        <v>22</v>
      </c>
      <c r="AC758">
        <v>525</v>
      </c>
      <c r="AD758" t="s">
        <v>248</v>
      </c>
      <c r="AE758" t="s">
        <v>41</v>
      </c>
      <c r="AF758">
        <v>173</v>
      </c>
      <c r="AG758" s="8">
        <v>0</v>
      </c>
      <c r="AH758">
        <v>0</v>
      </c>
      <c r="AI758">
        <v>13</v>
      </c>
      <c r="AJ758">
        <v>8</v>
      </c>
      <c r="AK758" t="e">
        <v>#N/A</v>
      </c>
      <c r="AL758" t="e">
        <v>#N/A</v>
      </c>
      <c r="AM758">
        <v>5</v>
      </c>
      <c r="AN758">
        <v>0</v>
      </c>
      <c r="AO758">
        <v>0</v>
      </c>
      <c r="AP758">
        <v>0</v>
      </c>
      <c r="AQ758">
        <v>0</v>
      </c>
      <c r="AR758">
        <v>9.0909090909090912E-2</v>
      </c>
      <c r="AS758">
        <v>0.90909090909090906</v>
      </c>
      <c r="AT758">
        <v>0</v>
      </c>
      <c r="AU758">
        <v>215425.78968064999</v>
      </c>
      <c r="AV758">
        <v>16</v>
      </c>
      <c r="AW758">
        <f t="shared" si="70"/>
        <v>1</v>
      </c>
      <c r="AX758">
        <v>525</v>
      </c>
      <c r="AY758">
        <f t="shared" si="71"/>
        <v>1</v>
      </c>
      <c r="AZ758">
        <v>3.0346820809248554</v>
      </c>
      <c r="BA758">
        <v>1</v>
      </c>
      <c r="BB758">
        <v>2020</v>
      </c>
      <c r="BC758">
        <v>6</v>
      </c>
      <c r="BD758">
        <v>2020</v>
      </c>
      <c r="BE758">
        <v>1</v>
      </c>
      <c r="BF758">
        <v>2020</v>
      </c>
    </row>
    <row r="759" spans="1:58" x14ac:dyDescent="0.2">
      <c r="A759" s="7">
        <v>0</v>
      </c>
      <c r="B759" s="7">
        <v>10</v>
      </c>
      <c r="C759" s="7">
        <v>0</v>
      </c>
      <c r="D759" s="7">
        <v>0</v>
      </c>
      <c r="E759" s="7">
        <f t="shared" si="66"/>
        <v>10</v>
      </c>
      <c r="F759" s="11" t="e">
        <v>#N/A</v>
      </c>
      <c r="G759">
        <v>10</v>
      </c>
      <c r="H759">
        <v>18</v>
      </c>
      <c r="I759">
        <v>2</v>
      </c>
      <c r="J759">
        <v>5</v>
      </c>
      <c r="K759">
        <f t="shared" si="67"/>
        <v>35</v>
      </c>
      <c r="L759" t="e">
        <v>#N/A</v>
      </c>
      <c r="M759">
        <v>39792.269449109997</v>
      </c>
      <c r="N759" s="7">
        <v>11</v>
      </c>
      <c r="O759" s="7">
        <v>21</v>
      </c>
      <c r="P759" s="7">
        <v>2</v>
      </c>
      <c r="Q759" s="7">
        <v>5</v>
      </c>
      <c r="R759" s="7">
        <f t="shared" si="68"/>
        <v>39</v>
      </c>
      <c r="S759" t="e">
        <v>#N/A</v>
      </c>
      <c r="T759" s="7">
        <v>11</v>
      </c>
      <c r="U759" s="7">
        <v>21</v>
      </c>
      <c r="V759" s="7">
        <v>5</v>
      </c>
      <c r="W759" s="7">
        <v>6</v>
      </c>
      <c r="X759" s="7">
        <f t="shared" si="69"/>
        <v>43</v>
      </c>
      <c r="Y759" t="e">
        <v>#N/A</v>
      </c>
      <c r="Z759">
        <v>85651.280005430017</v>
      </c>
      <c r="AA759" t="s">
        <v>403</v>
      </c>
      <c r="AB759">
        <v>45</v>
      </c>
      <c r="AC759">
        <v>145</v>
      </c>
      <c r="AD759" t="s">
        <v>258</v>
      </c>
      <c r="AE759" t="s">
        <v>75</v>
      </c>
      <c r="AF759">
        <v>1</v>
      </c>
      <c r="AG759" s="8">
        <v>349</v>
      </c>
      <c r="AH759">
        <v>4</v>
      </c>
      <c r="AI759">
        <v>33</v>
      </c>
      <c r="AJ759">
        <v>25</v>
      </c>
      <c r="AK759">
        <v>1.1461318051575931E-2</v>
      </c>
      <c r="AL759">
        <v>0.21411509102887569</v>
      </c>
      <c r="AM759">
        <v>4</v>
      </c>
      <c r="AN759">
        <v>0</v>
      </c>
      <c r="AO759">
        <v>0.10256410256410256</v>
      </c>
      <c r="AP759">
        <v>0.4</v>
      </c>
      <c r="AQ759">
        <v>0</v>
      </c>
      <c r="AR759">
        <v>0</v>
      </c>
      <c r="AS759">
        <v>1</v>
      </c>
      <c r="AT759">
        <v>0</v>
      </c>
      <c r="AU759">
        <v>125443.54945454001</v>
      </c>
      <c r="AV759">
        <v>7</v>
      </c>
      <c r="AW759">
        <f t="shared" si="70"/>
        <v>0</v>
      </c>
      <c r="AX759">
        <v>145</v>
      </c>
      <c r="AY759">
        <f t="shared" si="71"/>
        <v>1</v>
      </c>
      <c r="AZ759">
        <v>145</v>
      </c>
      <c r="BA759">
        <v>1</v>
      </c>
      <c r="BB759">
        <v>2020</v>
      </c>
      <c r="BC759">
        <v>1</v>
      </c>
      <c r="BD759">
        <v>2020</v>
      </c>
      <c r="BE759">
        <v>1</v>
      </c>
      <c r="BF759">
        <v>2020</v>
      </c>
    </row>
    <row r="760" spans="1:58" x14ac:dyDescent="0.2">
      <c r="A760" s="7">
        <v>0</v>
      </c>
      <c r="B760" s="7">
        <v>0</v>
      </c>
      <c r="C760" s="7">
        <v>0</v>
      </c>
      <c r="D760" s="7">
        <v>0</v>
      </c>
      <c r="E760" s="7">
        <f t="shared" si="66"/>
        <v>0</v>
      </c>
      <c r="F760" s="11" t="e">
        <v>#N/A</v>
      </c>
      <c r="G760">
        <v>0</v>
      </c>
      <c r="H760">
        <v>0</v>
      </c>
      <c r="I760">
        <v>0</v>
      </c>
      <c r="J760">
        <v>0</v>
      </c>
      <c r="K760">
        <f t="shared" si="67"/>
        <v>0</v>
      </c>
      <c r="L760" t="e">
        <v>#N/A</v>
      </c>
      <c r="M760">
        <v>50687.059324759997</v>
      </c>
      <c r="N760" s="7">
        <v>0</v>
      </c>
      <c r="O760" s="7">
        <v>0</v>
      </c>
      <c r="P760" s="7">
        <v>0</v>
      </c>
      <c r="Q760" s="7">
        <v>0</v>
      </c>
      <c r="R760" s="7">
        <f t="shared" si="68"/>
        <v>0</v>
      </c>
      <c r="S760" t="e">
        <v>#N/A</v>
      </c>
      <c r="T760" s="7">
        <v>0</v>
      </c>
      <c r="U760" s="7">
        <v>0</v>
      </c>
      <c r="V760" s="7">
        <v>0</v>
      </c>
      <c r="W760" s="7">
        <v>0</v>
      </c>
      <c r="X760" s="7">
        <f t="shared" si="69"/>
        <v>0</v>
      </c>
      <c r="Y760" t="e">
        <v>#N/A</v>
      </c>
      <c r="Z760">
        <v>209956.59580472999</v>
      </c>
      <c r="AA760" t="s">
        <v>404</v>
      </c>
      <c r="AB760">
        <v>60</v>
      </c>
      <c r="AC760">
        <v>624</v>
      </c>
      <c r="AD760" t="s">
        <v>405</v>
      </c>
      <c r="AE760" t="s">
        <v>41</v>
      </c>
      <c r="AF760">
        <v>30</v>
      </c>
      <c r="AG760" s="8">
        <v>0</v>
      </c>
      <c r="AH760">
        <v>0</v>
      </c>
      <c r="AI760">
        <v>0</v>
      </c>
      <c r="AJ760">
        <v>0</v>
      </c>
      <c r="AK760" t="e">
        <v>#N/A</v>
      </c>
      <c r="AL760" t="e">
        <v>#N/A</v>
      </c>
      <c r="AM760">
        <v>0</v>
      </c>
      <c r="AN760">
        <v>0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>
        <v>260643.65512948998</v>
      </c>
      <c r="AV760">
        <v>8</v>
      </c>
      <c r="AW760">
        <f t="shared" si="70"/>
        <v>0</v>
      </c>
      <c r="AX760">
        <v>624</v>
      </c>
      <c r="AY760">
        <f t="shared" si="71"/>
        <v>1</v>
      </c>
      <c r="AZ760">
        <v>20.8</v>
      </c>
      <c r="BA760">
        <v>1</v>
      </c>
      <c r="BB760">
        <v>2020</v>
      </c>
      <c r="BC760">
        <v>2</v>
      </c>
      <c r="BD760">
        <v>2020</v>
      </c>
      <c r="BE760">
        <v>1</v>
      </c>
      <c r="BF760">
        <v>2020</v>
      </c>
    </row>
    <row r="761" spans="1:58" x14ac:dyDescent="0.2">
      <c r="A761" s="7">
        <v>0</v>
      </c>
      <c r="B761" s="7">
        <v>10</v>
      </c>
      <c r="C761" s="7">
        <v>0</v>
      </c>
      <c r="D761" s="7">
        <v>2</v>
      </c>
      <c r="E761" s="7">
        <f t="shared" si="66"/>
        <v>12</v>
      </c>
      <c r="F761" s="11" t="e">
        <v>#N/A</v>
      </c>
      <c r="G761">
        <v>0</v>
      </c>
      <c r="H761">
        <v>0</v>
      </c>
      <c r="I761">
        <v>0</v>
      </c>
      <c r="J761">
        <v>0</v>
      </c>
      <c r="K761">
        <f t="shared" si="67"/>
        <v>0</v>
      </c>
      <c r="L761" t="e">
        <v>#N/A</v>
      </c>
      <c r="M761">
        <v>94717.403298130012</v>
      </c>
      <c r="N761" s="7">
        <v>3</v>
      </c>
      <c r="O761" s="7">
        <v>16</v>
      </c>
      <c r="P761" s="7">
        <v>0</v>
      </c>
      <c r="Q761" s="7">
        <v>3</v>
      </c>
      <c r="R761" s="7">
        <f t="shared" si="68"/>
        <v>22</v>
      </c>
      <c r="S761" t="e">
        <v>#N/A</v>
      </c>
      <c r="T761" s="7">
        <v>3</v>
      </c>
      <c r="U761" s="7">
        <v>16</v>
      </c>
      <c r="V761" s="7">
        <v>0</v>
      </c>
      <c r="W761" s="7">
        <v>3</v>
      </c>
      <c r="X761" s="7">
        <f t="shared" si="69"/>
        <v>22</v>
      </c>
      <c r="Y761" t="e">
        <v>#N/A</v>
      </c>
      <c r="Z761">
        <v>118620.35265199</v>
      </c>
      <c r="AA761" t="s">
        <v>406</v>
      </c>
      <c r="AB761">
        <v>25</v>
      </c>
      <c r="AC761">
        <v>791</v>
      </c>
      <c r="AD761" t="s">
        <v>254</v>
      </c>
      <c r="AE761" t="s">
        <v>41</v>
      </c>
      <c r="AF761">
        <v>242</v>
      </c>
      <c r="AG761" s="8">
        <v>0</v>
      </c>
      <c r="AH761">
        <v>0</v>
      </c>
      <c r="AI761">
        <v>10</v>
      </c>
      <c r="AJ761">
        <v>-12</v>
      </c>
      <c r="AK761" t="e">
        <v>#N/A</v>
      </c>
      <c r="AL761" t="e">
        <v>#N/A</v>
      </c>
      <c r="AM761">
        <v>22</v>
      </c>
      <c r="AN761">
        <v>0</v>
      </c>
      <c r="AO761">
        <v>0</v>
      </c>
      <c r="AP761">
        <v>0</v>
      </c>
      <c r="AQ761">
        <v>0.16666666666666666</v>
      </c>
      <c r="AR761">
        <v>0</v>
      </c>
      <c r="AS761">
        <v>0.83333333333333337</v>
      </c>
      <c r="AT761">
        <v>0</v>
      </c>
      <c r="AU761">
        <v>213337.75595012002</v>
      </c>
      <c r="AV761">
        <v>18</v>
      </c>
      <c r="AW761">
        <f t="shared" si="70"/>
        <v>1</v>
      </c>
      <c r="AX761">
        <v>791</v>
      </c>
      <c r="AY761">
        <f t="shared" si="71"/>
        <v>1</v>
      </c>
      <c r="AZ761">
        <v>3.2685950413223139</v>
      </c>
      <c r="BA761">
        <v>1</v>
      </c>
      <c r="BB761">
        <v>2020</v>
      </c>
      <c r="BC761">
        <v>9</v>
      </c>
      <c r="BD761">
        <v>2020</v>
      </c>
      <c r="BE761">
        <v>1</v>
      </c>
      <c r="BF761">
        <v>2020</v>
      </c>
    </row>
    <row r="762" spans="1:58" x14ac:dyDescent="0.2">
      <c r="A762" s="7">
        <v>7</v>
      </c>
      <c r="B762" s="7">
        <v>13</v>
      </c>
      <c r="C762" s="7">
        <v>0</v>
      </c>
      <c r="D762" s="7">
        <v>1</v>
      </c>
      <c r="E762" s="7">
        <f t="shared" si="66"/>
        <v>21</v>
      </c>
      <c r="F762" s="11" t="e">
        <v>#N/A</v>
      </c>
      <c r="G762">
        <v>6</v>
      </c>
      <c r="H762">
        <v>10</v>
      </c>
      <c r="I762">
        <v>0</v>
      </c>
      <c r="J762">
        <v>0</v>
      </c>
      <c r="K762">
        <f t="shared" si="67"/>
        <v>16</v>
      </c>
      <c r="L762" t="e">
        <v>#N/A</v>
      </c>
      <c r="M762">
        <v>22993.348878339999</v>
      </c>
      <c r="N762" s="7">
        <v>9</v>
      </c>
      <c r="O762" s="7">
        <v>16</v>
      </c>
      <c r="P762" s="7">
        <v>0</v>
      </c>
      <c r="Q762" s="7">
        <v>4</v>
      </c>
      <c r="R762" s="7">
        <f t="shared" si="68"/>
        <v>29</v>
      </c>
      <c r="S762" t="e">
        <v>#N/A</v>
      </c>
      <c r="T762" s="7">
        <v>9</v>
      </c>
      <c r="U762" s="7">
        <v>16</v>
      </c>
      <c r="V762" s="7">
        <v>0</v>
      </c>
      <c r="W762" s="7">
        <v>4</v>
      </c>
      <c r="X762" s="7">
        <f t="shared" si="69"/>
        <v>29</v>
      </c>
      <c r="Y762" t="e">
        <v>#N/A</v>
      </c>
      <c r="Z762">
        <v>124394.18801703</v>
      </c>
      <c r="AA762" t="s">
        <v>407</v>
      </c>
      <c r="AB762">
        <v>71</v>
      </c>
      <c r="AC762">
        <v>0</v>
      </c>
      <c r="AD762" t="s">
        <v>272</v>
      </c>
      <c r="AE762" t="s">
        <v>41</v>
      </c>
      <c r="AF762">
        <v>273</v>
      </c>
      <c r="AG762" s="8">
        <v>0</v>
      </c>
      <c r="AH762">
        <v>0</v>
      </c>
      <c r="AI762">
        <v>8</v>
      </c>
      <c r="AJ762">
        <v>-5</v>
      </c>
      <c r="AK762" t="e">
        <v>#N/A</v>
      </c>
      <c r="AL762" t="e">
        <v>#N/A</v>
      </c>
      <c r="AM762">
        <v>13</v>
      </c>
      <c r="AN762">
        <v>0</v>
      </c>
      <c r="AO762">
        <v>0</v>
      </c>
      <c r="AP762">
        <v>0</v>
      </c>
      <c r="AQ762">
        <v>4.7619047619047616E-2</v>
      </c>
      <c r="AR762">
        <v>0.33333333333333331</v>
      </c>
      <c r="AS762">
        <v>0.61904761904761907</v>
      </c>
      <c r="AT762">
        <v>0</v>
      </c>
      <c r="AU762">
        <v>147387.53689536999</v>
      </c>
      <c r="AV762">
        <v>12</v>
      </c>
      <c r="AW762">
        <f t="shared" si="70"/>
        <v>1</v>
      </c>
      <c r="AX762">
        <v>0</v>
      </c>
      <c r="AY762">
        <f t="shared" si="71"/>
        <v>0</v>
      </c>
      <c r="AZ762">
        <v>0</v>
      </c>
      <c r="BA762">
        <v>1</v>
      </c>
      <c r="BB762">
        <v>2020</v>
      </c>
      <c r="BC762">
        <v>10</v>
      </c>
      <c r="BD762">
        <v>2020</v>
      </c>
      <c r="BE762">
        <v>1</v>
      </c>
      <c r="BF762">
        <v>2020</v>
      </c>
    </row>
    <row r="763" spans="1:58" x14ac:dyDescent="0.2">
      <c r="A763" s="7">
        <v>7</v>
      </c>
      <c r="B763" s="7">
        <v>19</v>
      </c>
      <c r="C763" s="7">
        <v>0</v>
      </c>
      <c r="D763" s="7">
        <v>0</v>
      </c>
      <c r="E763" s="7">
        <f t="shared" si="66"/>
        <v>26</v>
      </c>
      <c r="F763" s="11" t="e">
        <v>#N/A</v>
      </c>
      <c r="G763">
        <v>7</v>
      </c>
      <c r="H763">
        <v>17</v>
      </c>
      <c r="I763">
        <v>0</v>
      </c>
      <c r="J763">
        <v>0</v>
      </c>
      <c r="K763">
        <f t="shared" si="67"/>
        <v>24</v>
      </c>
      <c r="L763" t="e">
        <v>#N/A</v>
      </c>
      <c r="M763">
        <v>22257.623385110001</v>
      </c>
      <c r="N763" s="7">
        <v>6</v>
      </c>
      <c r="O763" s="7">
        <v>24</v>
      </c>
      <c r="P763" s="7">
        <v>0</v>
      </c>
      <c r="Q763" s="7">
        <v>0</v>
      </c>
      <c r="R763" s="7">
        <f t="shared" si="68"/>
        <v>30</v>
      </c>
      <c r="S763" t="e">
        <v>#N/A</v>
      </c>
      <c r="T763" s="7">
        <v>6</v>
      </c>
      <c r="U763" s="7">
        <v>13</v>
      </c>
      <c r="V763" s="7">
        <v>2</v>
      </c>
      <c r="W763" s="7">
        <v>5</v>
      </c>
      <c r="X763" s="7">
        <f t="shared" si="69"/>
        <v>26</v>
      </c>
      <c r="Y763" t="e">
        <v>#N/A</v>
      </c>
      <c r="Z763">
        <v>106028.03264277001</v>
      </c>
      <c r="AA763" t="s">
        <v>408</v>
      </c>
      <c r="AB763">
        <v>60</v>
      </c>
      <c r="AC763">
        <v>0</v>
      </c>
      <c r="AD763" t="s">
        <v>264</v>
      </c>
      <c r="AE763" t="s">
        <v>75</v>
      </c>
      <c r="AF763">
        <v>195</v>
      </c>
      <c r="AG763" s="8">
        <v>277</v>
      </c>
      <c r="AH763">
        <v>-4</v>
      </c>
      <c r="AI763">
        <v>0</v>
      </c>
      <c r="AJ763">
        <v>-2</v>
      </c>
      <c r="AK763">
        <v>-1.444043321299639E-2</v>
      </c>
      <c r="AL763">
        <v>-0.24033670725044387</v>
      </c>
      <c r="AM763">
        <v>6</v>
      </c>
      <c r="AN763">
        <v>0</v>
      </c>
      <c r="AO763">
        <v>-0.13333333333333333</v>
      </c>
      <c r="AP763">
        <v>-0.15384615384615385</v>
      </c>
      <c r="AQ763">
        <v>0</v>
      </c>
      <c r="AR763">
        <v>0.26923076923076922</v>
      </c>
      <c r="AS763">
        <v>0.73076923076923073</v>
      </c>
      <c r="AT763">
        <v>0</v>
      </c>
      <c r="AU763">
        <v>128285.65602788</v>
      </c>
      <c r="AV763">
        <v>11</v>
      </c>
      <c r="AW763">
        <f t="shared" si="70"/>
        <v>1</v>
      </c>
      <c r="AX763">
        <v>0</v>
      </c>
      <c r="AY763">
        <f t="shared" si="71"/>
        <v>0</v>
      </c>
      <c r="AZ763">
        <v>0</v>
      </c>
      <c r="BA763">
        <v>1</v>
      </c>
      <c r="BB763">
        <v>2020</v>
      </c>
      <c r="BC763">
        <v>7</v>
      </c>
      <c r="BD763">
        <v>2020</v>
      </c>
      <c r="BE763">
        <v>1</v>
      </c>
      <c r="BF763">
        <v>2020</v>
      </c>
    </row>
    <row r="764" spans="1:58" x14ac:dyDescent="0.2">
      <c r="A764" s="7">
        <v>12</v>
      </c>
      <c r="B764" s="7">
        <v>29</v>
      </c>
      <c r="C764" s="7">
        <v>2</v>
      </c>
      <c r="D764" s="7">
        <v>0</v>
      </c>
      <c r="E764" s="7">
        <f t="shared" si="66"/>
        <v>43</v>
      </c>
      <c r="F764" s="11" t="e">
        <v>#N/A</v>
      </c>
      <c r="G764">
        <v>10</v>
      </c>
      <c r="H764">
        <v>30</v>
      </c>
      <c r="I764">
        <v>2</v>
      </c>
      <c r="J764">
        <v>0</v>
      </c>
      <c r="K764">
        <f t="shared" si="67"/>
        <v>42</v>
      </c>
      <c r="L764" t="e">
        <v>#N/A</v>
      </c>
      <c r="M764">
        <v>26717.23820783</v>
      </c>
      <c r="N764" s="7">
        <v>12</v>
      </c>
      <c r="O764" s="7">
        <v>19</v>
      </c>
      <c r="P764" s="7">
        <v>7</v>
      </c>
      <c r="Q764" s="7">
        <v>7</v>
      </c>
      <c r="R764" s="7">
        <f t="shared" si="68"/>
        <v>45</v>
      </c>
      <c r="S764" t="e">
        <v>#N/A</v>
      </c>
      <c r="T764" s="7">
        <v>12</v>
      </c>
      <c r="U764" s="7">
        <v>37</v>
      </c>
      <c r="V764" s="7">
        <v>9</v>
      </c>
      <c r="W764" s="7">
        <v>7</v>
      </c>
      <c r="X764" s="7">
        <f t="shared" si="69"/>
        <v>65</v>
      </c>
      <c r="Y764" t="e">
        <v>#N/A</v>
      </c>
      <c r="Z764">
        <v>58756.182824780008</v>
      </c>
      <c r="AA764" t="s">
        <v>409</v>
      </c>
      <c r="AB764">
        <v>72</v>
      </c>
      <c r="AC764">
        <v>0</v>
      </c>
      <c r="AD764" t="s">
        <v>241</v>
      </c>
      <c r="AE764" t="s">
        <v>41</v>
      </c>
      <c r="AF764">
        <v>197</v>
      </c>
      <c r="AG764" s="8">
        <v>312</v>
      </c>
      <c r="AH764">
        <v>20</v>
      </c>
      <c r="AI764">
        <v>22</v>
      </c>
      <c r="AJ764">
        <v>-1</v>
      </c>
      <c r="AK764">
        <v>6.4102564102564097E-2</v>
      </c>
      <c r="AL764">
        <v>1.1322770341445956</v>
      </c>
      <c r="AM764">
        <v>3</v>
      </c>
      <c r="AN764">
        <v>0</v>
      </c>
      <c r="AO764">
        <v>0.44444444444444442</v>
      </c>
      <c r="AP764">
        <v>0.46511627906976744</v>
      </c>
      <c r="AQ764">
        <v>0</v>
      </c>
      <c r="AR764">
        <v>0.27906976744186046</v>
      </c>
      <c r="AS764">
        <v>0.67441860465116277</v>
      </c>
      <c r="AT764">
        <v>4.6511627906976744E-2</v>
      </c>
      <c r="AU764">
        <v>85473.42103261</v>
      </c>
      <c r="AV764">
        <v>14</v>
      </c>
      <c r="AW764">
        <f t="shared" si="70"/>
        <v>1</v>
      </c>
      <c r="AX764">
        <v>0</v>
      </c>
      <c r="AY764">
        <f t="shared" si="71"/>
        <v>0</v>
      </c>
      <c r="AZ764">
        <v>0</v>
      </c>
      <c r="BA764">
        <v>1</v>
      </c>
      <c r="BB764">
        <v>2020</v>
      </c>
      <c r="BC764">
        <v>7</v>
      </c>
      <c r="BD764">
        <v>2020</v>
      </c>
      <c r="BE764">
        <v>1</v>
      </c>
      <c r="BF764">
        <v>2020</v>
      </c>
    </row>
    <row r="765" spans="1:58" x14ac:dyDescent="0.2">
      <c r="A765" s="7">
        <v>0</v>
      </c>
      <c r="B765" s="7">
        <v>10</v>
      </c>
      <c r="C765" s="7">
        <v>0</v>
      </c>
      <c r="D765" s="7">
        <v>2</v>
      </c>
      <c r="E765" s="7">
        <f t="shared" si="66"/>
        <v>12</v>
      </c>
      <c r="F765" s="11" t="e">
        <v>#N/A</v>
      </c>
      <c r="G765">
        <v>0</v>
      </c>
      <c r="H765">
        <v>13</v>
      </c>
      <c r="I765">
        <v>0</v>
      </c>
      <c r="J765">
        <v>0</v>
      </c>
      <c r="K765">
        <f t="shared" si="67"/>
        <v>13</v>
      </c>
      <c r="L765" t="e">
        <v>#N/A</v>
      </c>
      <c r="M765">
        <v>27800.94405898</v>
      </c>
      <c r="N765" s="7">
        <v>5</v>
      </c>
      <c r="O765" s="7">
        <v>10</v>
      </c>
      <c r="P765" s="7">
        <v>0</v>
      </c>
      <c r="Q765" s="7">
        <v>5</v>
      </c>
      <c r="R765" s="7">
        <f t="shared" si="68"/>
        <v>20</v>
      </c>
      <c r="S765" t="e">
        <v>#N/A</v>
      </c>
      <c r="T765" s="7">
        <v>5</v>
      </c>
      <c r="U765" s="7">
        <v>10</v>
      </c>
      <c r="V765" s="7">
        <v>0</v>
      </c>
      <c r="W765" s="7">
        <v>5</v>
      </c>
      <c r="X765" s="7">
        <f t="shared" si="69"/>
        <v>20</v>
      </c>
      <c r="Y765" t="e">
        <v>#N/A</v>
      </c>
      <c r="Z765">
        <v>101236.95665131</v>
      </c>
      <c r="AA765" t="s">
        <v>410</v>
      </c>
      <c r="AB765">
        <v>58</v>
      </c>
      <c r="AC765">
        <v>0</v>
      </c>
      <c r="AD765" t="s">
        <v>253</v>
      </c>
      <c r="AE765" t="s">
        <v>75</v>
      </c>
      <c r="AF765">
        <v>194</v>
      </c>
      <c r="AG765" s="8">
        <v>0</v>
      </c>
      <c r="AH765">
        <v>0</v>
      </c>
      <c r="AI765">
        <v>8</v>
      </c>
      <c r="AJ765">
        <v>1</v>
      </c>
      <c r="AK765" t="e">
        <v>#N/A</v>
      </c>
      <c r="AL765" t="e">
        <v>#N/A</v>
      </c>
      <c r="AM765">
        <v>7</v>
      </c>
      <c r="AN765">
        <v>0</v>
      </c>
      <c r="AO765">
        <v>0</v>
      </c>
      <c r="AP765">
        <v>0</v>
      </c>
      <c r="AQ765">
        <v>0.16666666666666666</v>
      </c>
      <c r="AR765">
        <v>0</v>
      </c>
      <c r="AS765">
        <v>0.83333333333333337</v>
      </c>
      <c r="AT765">
        <v>0</v>
      </c>
      <c r="AU765">
        <v>129037.90071029001</v>
      </c>
      <c r="AV765">
        <v>5</v>
      </c>
      <c r="AW765">
        <f t="shared" si="70"/>
        <v>0</v>
      </c>
      <c r="AX765">
        <v>0</v>
      </c>
      <c r="AY765">
        <f t="shared" si="71"/>
        <v>0</v>
      </c>
      <c r="AZ765">
        <v>0</v>
      </c>
      <c r="BA765">
        <v>1</v>
      </c>
      <c r="BB765">
        <v>2020</v>
      </c>
      <c r="BC765">
        <v>7</v>
      </c>
      <c r="BD765">
        <v>2020</v>
      </c>
      <c r="BE765">
        <v>1</v>
      </c>
      <c r="BF765">
        <v>2020</v>
      </c>
    </row>
    <row r="766" spans="1:58" x14ac:dyDescent="0.2">
      <c r="A766" s="7">
        <v>3</v>
      </c>
      <c r="B766" s="7">
        <v>10</v>
      </c>
      <c r="C766" s="7">
        <v>0</v>
      </c>
      <c r="D766" s="7">
        <v>0</v>
      </c>
      <c r="E766" s="7">
        <f t="shared" si="66"/>
        <v>13</v>
      </c>
      <c r="F766" s="11" t="e">
        <v>#N/A</v>
      </c>
      <c r="G766">
        <v>3</v>
      </c>
      <c r="H766">
        <v>10</v>
      </c>
      <c r="I766">
        <v>0</v>
      </c>
      <c r="J766">
        <v>0</v>
      </c>
      <c r="K766">
        <f t="shared" si="67"/>
        <v>13</v>
      </c>
      <c r="L766" t="e">
        <v>#N/A</v>
      </c>
      <c r="M766">
        <v>53093.302379710003</v>
      </c>
      <c r="N766" s="7">
        <v>9</v>
      </c>
      <c r="O766" s="7">
        <v>18</v>
      </c>
      <c r="P766" s="7">
        <v>0</v>
      </c>
      <c r="Q766" s="7">
        <v>1</v>
      </c>
      <c r="R766" s="7">
        <f t="shared" si="68"/>
        <v>28</v>
      </c>
      <c r="S766" t="e">
        <v>#N/A</v>
      </c>
      <c r="T766" s="7">
        <v>9</v>
      </c>
      <c r="U766" s="7">
        <v>18</v>
      </c>
      <c r="V766" s="7">
        <v>0</v>
      </c>
      <c r="W766" s="7">
        <v>1</v>
      </c>
      <c r="X766" s="7">
        <f t="shared" si="69"/>
        <v>28</v>
      </c>
      <c r="Y766" t="e">
        <v>#N/A</v>
      </c>
      <c r="Z766">
        <v>133071.18502149999</v>
      </c>
      <c r="AA766" t="s">
        <v>411</v>
      </c>
      <c r="AB766">
        <v>66</v>
      </c>
      <c r="AC766">
        <v>133</v>
      </c>
      <c r="AD766" t="s">
        <v>258</v>
      </c>
      <c r="AE766" t="s">
        <v>75</v>
      </c>
      <c r="AF766">
        <v>190</v>
      </c>
      <c r="AG766" s="8">
        <v>0</v>
      </c>
      <c r="AH766">
        <v>0</v>
      </c>
      <c r="AI766">
        <v>15</v>
      </c>
      <c r="AJ766">
        <v>0</v>
      </c>
      <c r="AK766" t="e">
        <v>#N/A</v>
      </c>
      <c r="AL766" t="e">
        <v>#N/A</v>
      </c>
      <c r="AM766">
        <v>15</v>
      </c>
      <c r="AN766">
        <v>0</v>
      </c>
      <c r="AO766">
        <v>0</v>
      </c>
      <c r="AP766">
        <v>0</v>
      </c>
      <c r="AQ766">
        <v>0</v>
      </c>
      <c r="AR766">
        <v>0.23076923076923078</v>
      </c>
      <c r="AS766">
        <v>0.76923076923076927</v>
      </c>
      <c r="AT766">
        <v>0</v>
      </c>
      <c r="AU766">
        <v>186164.48740121</v>
      </c>
      <c r="AV766">
        <v>23</v>
      </c>
      <c r="AW766">
        <f t="shared" si="70"/>
        <v>1</v>
      </c>
      <c r="AX766">
        <v>133</v>
      </c>
      <c r="AY766">
        <f t="shared" si="71"/>
        <v>1</v>
      </c>
      <c r="AZ766">
        <v>0.7</v>
      </c>
      <c r="BA766">
        <v>1</v>
      </c>
      <c r="BB766">
        <v>2020</v>
      </c>
      <c r="BC766">
        <v>7</v>
      </c>
      <c r="BD766">
        <v>2020</v>
      </c>
      <c r="BE766">
        <v>1</v>
      </c>
      <c r="BF766">
        <v>2020</v>
      </c>
    </row>
    <row r="767" spans="1:58" x14ac:dyDescent="0.2">
      <c r="A767" s="7">
        <v>8</v>
      </c>
      <c r="B767" s="7">
        <v>21</v>
      </c>
      <c r="C767" s="7">
        <v>0</v>
      </c>
      <c r="D767" s="7">
        <v>0</v>
      </c>
      <c r="E767" s="7">
        <f t="shared" si="66"/>
        <v>29</v>
      </c>
      <c r="F767" s="11" t="e">
        <v>#N/A</v>
      </c>
      <c r="G767">
        <v>7</v>
      </c>
      <c r="H767">
        <v>10</v>
      </c>
      <c r="I767">
        <v>0</v>
      </c>
      <c r="J767">
        <v>0</v>
      </c>
      <c r="K767">
        <f t="shared" si="67"/>
        <v>17</v>
      </c>
      <c r="L767" t="e">
        <v>#N/A</v>
      </c>
      <c r="M767">
        <v>23672.81941539</v>
      </c>
      <c r="N767" s="7">
        <v>9</v>
      </c>
      <c r="O767" s="7">
        <v>21</v>
      </c>
      <c r="P767" s="7">
        <v>0</v>
      </c>
      <c r="Q767" s="7">
        <v>3</v>
      </c>
      <c r="R767" s="7">
        <f t="shared" si="68"/>
        <v>33</v>
      </c>
      <c r="S767" t="e">
        <v>#N/A</v>
      </c>
      <c r="T767" s="7">
        <v>9</v>
      </c>
      <c r="U767" s="7">
        <v>21</v>
      </c>
      <c r="V767" s="7">
        <v>0</v>
      </c>
      <c r="W767" s="7">
        <v>3</v>
      </c>
      <c r="X767" s="7">
        <f t="shared" si="69"/>
        <v>33</v>
      </c>
      <c r="Y767" t="e">
        <v>#N/A</v>
      </c>
      <c r="Z767">
        <v>99831.577538680009</v>
      </c>
      <c r="AA767" t="s">
        <v>412</v>
      </c>
      <c r="AB767">
        <v>42</v>
      </c>
      <c r="AC767">
        <v>119</v>
      </c>
      <c r="AD767" t="s">
        <v>258</v>
      </c>
      <c r="AE767" t="s">
        <v>75</v>
      </c>
      <c r="AF767">
        <v>197</v>
      </c>
      <c r="AG767" s="8">
        <v>0</v>
      </c>
      <c r="AH767">
        <v>0</v>
      </c>
      <c r="AI767">
        <v>4</v>
      </c>
      <c r="AJ767">
        <v>-12</v>
      </c>
      <c r="AK767" t="e">
        <v>#N/A</v>
      </c>
      <c r="AL767" t="e">
        <v>#N/A</v>
      </c>
      <c r="AM767">
        <v>16</v>
      </c>
      <c r="AN767">
        <v>0</v>
      </c>
      <c r="AO767">
        <v>0</v>
      </c>
      <c r="AP767">
        <v>0</v>
      </c>
      <c r="AQ767">
        <v>0</v>
      </c>
      <c r="AR767">
        <v>0.27586206896551724</v>
      </c>
      <c r="AS767">
        <v>0.72413793103448276</v>
      </c>
      <c r="AT767">
        <v>0</v>
      </c>
      <c r="AU767">
        <v>123504.39695407001</v>
      </c>
      <c r="AV767">
        <v>19</v>
      </c>
      <c r="AW767">
        <f t="shared" si="70"/>
        <v>1</v>
      </c>
      <c r="AX767">
        <v>119</v>
      </c>
      <c r="AY767">
        <f t="shared" si="71"/>
        <v>1</v>
      </c>
      <c r="AZ767">
        <v>0.60406091370558379</v>
      </c>
      <c r="BA767">
        <v>1</v>
      </c>
      <c r="BB767">
        <v>2020</v>
      </c>
      <c r="BC767">
        <v>7</v>
      </c>
      <c r="BD767">
        <v>2020</v>
      </c>
      <c r="BE767">
        <v>1</v>
      </c>
      <c r="BF767">
        <v>2020</v>
      </c>
    </row>
    <row r="768" spans="1:58" x14ac:dyDescent="0.2">
      <c r="A768" s="7">
        <v>13</v>
      </c>
      <c r="B768" s="7">
        <v>28</v>
      </c>
      <c r="C768" s="7">
        <v>4</v>
      </c>
      <c r="D768" s="7">
        <v>5</v>
      </c>
      <c r="E768" s="7">
        <f t="shared" si="66"/>
        <v>50</v>
      </c>
      <c r="F768" s="11" t="e">
        <v>#N/A</v>
      </c>
      <c r="G768">
        <v>13</v>
      </c>
      <c r="H768">
        <v>28</v>
      </c>
      <c r="I768">
        <v>4</v>
      </c>
      <c r="J768">
        <v>5</v>
      </c>
      <c r="K768">
        <f t="shared" si="67"/>
        <v>50</v>
      </c>
      <c r="L768" t="e">
        <v>#N/A</v>
      </c>
      <c r="M768">
        <v>20389.709703550001</v>
      </c>
      <c r="N768" s="7">
        <v>14</v>
      </c>
      <c r="O768" s="7">
        <v>28</v>
      </c>
      <c r="P768" s="7">
        <v>4</v>
      </c>
      <c r="Q768" s="7">
        <v>5</v>
      </c>
      <c r="R768" s="7">
        <f t="shared" si="68"/>
        <v>51</v>
      </c>
      <c r="S768" t="e">
        <v>#N/A</v>
      </c>
      <c r="T768" s="7">
        <v>20</v>
      </c>
      <c r="U768" s="7">
        <v>32</v>
      </c>
      <c r="V768" s="7">
        <v>9</v>
      </c>
      <c r="W768" s="7">
        <v>9</v>
      </c>
      <c r="X768" s="7">
        <f t="shared" si="69"/>
        <v>70</v>
      </c>
      <c r="Y768" t="e">
        <v>#N/A</v>
      </c>
      <c r="Z768">
        <v>67621.882661629992</v>
      </c>
      <c r="AA768" t="s">
        <v>413</v>
      </c>
      <c r="AB768">
        <v>9</v>
      </c>
      <c r="AC768">
        <v>0</v>
      </c>
      <c r="AD768" t="s">
        <v>205</v>
      </c>
      <c r="AE768" t="s">
        <v>41</v>
      </c>
      <c r="AF768">
        <v>204</v>
      </c>
      <c r="AG768" s="8">
        <v>106</v>
      </c>
      <c r="AH768">
        <v>19</v>
      </c>
      <c r="AI768">
        <v>20</v>
      </c>
      <c r="AJ768">
        <v>0</v>
      </c>
      <c r="AK768">
        <v>0.17924528301886791</v>
      </c>
      <c r="AL768">
        <v>1.8454431384788019</v>
      </c>
      <c r="AM768">
        <v>1</v>
      </c>
      <c r="AN768">
        <v>0</v>
      </c>
      <c r="AO768">
        <v>0.37254901960784315</v>
      </c>
      <c r="AP768">
        <v>0.38</v>
      </c>
      <c r="AQ768">
        <v>0.1</v>
      </c>
      <c r="AR768">
        <v>0.26</v>
      </c>
      <c r="AS768">
        <v>0.56000000000000005</v>
      </c>
      <c r="AT768">
        <v>0.08</v>
      </c>
      <c r="AU768">
        <v>88011.592365179997</v>
      </c>
      <c r="AV768">
        <v>4</v>
      </c>
      <c r="AW768">
        <f t="shared" si="70"/>
        <v>0</v>
      </c>
      <c r="AX768">
        <v>0</v>
      </c>
      <c r="AY768">
        <f t="shared" si="71"/>
        <v>0</v>
      </c>
      <c r="AZ768">
        <v>0</v>
      </c>
      <c r="BA768">
        <v>1</v>
      </c>
      <c r="BB768">
        <v>2020</v>
      </c>
      <c r="BC768">
        <v>7</v>
      </c>
      <c r="BD768">
        <v>2020</v>
      </c>
      <c r="BE768">
        <v>8</v>
      </c>
      <c r="BF768">
        <v>2020</v>
      </c>
    </row>
    <row r="769" spans="1:58" x14ac:dyDescent="0.2">
      <c r="A769" s="7">
        <v>5</v>
      </c>
      <c r="B769" s="7">
        <v>6</v>
      </c>
      <c r="C769" s="7">
        <v>0</v>
      </c>
      <c r="D769" s="7">
        <v>0</v>
      </c>
      <c r="E769" s="7">
        <f t="shared" si="66"/>
        <v>11</v>
      </c>
      <c r="F769" s="11" t="e">
        <v>#N/A</v>
      </c>
      <c r="G769">
        <v>4</v>
      </c>
      <c r="H769">
        <v>6</v>
      </c>
      <c r="I769">
        <v>0</v>
      </c>
      <c r="J769">
        <v>0</v>
      </c>
      <c r="K769">
        <f t="shared" si="67"/>
        <v>10</v>
      </c>
      <c r="L769" t="e">
        <v>#N/A</v>
      </c>
      <c r="M769">
        <v>38272.523219180002</v>
      </c>
      <c r="N769" s="7">
        <v>6</v>
      </c>
      <c r="O769" s="7">
        <v>11</v>
      </c>
      <c r="P769" s="7">
        <v>0</v>
      </c>
      <c r="Q769" s="7">
        <v>2</v>
      </c>
      <c r="R769" s="7">
        <f t="shared" si="68"/>
        <v>19</v>
      </c>
      <c r="S769" t="e">
        <v>#N/A</v>
      </c>
      <c r="T769" s="7">
        <v>6</v>
      </c>
      <c r="U769" s="7">
        <v>11</v>
      </c>
      <c r="V769" s="7">
        <v>0</v>
      </c>
      <c r="W769" s="7">
        <v>2</v>
      </c>
      <c r="X769" s="7">
        <f t="shared" si="69"/>
        <v>19</v>
      </c>
      <c r="Y769" t="e">
        <v>#N/A</v>
      </c>
      <c r="Z769">
        <v>114185.69796557</v>
      </c>
      <c r="AA769" t="s">
        <v>414</v>
      </c>
      <c r="AB769">
        <v>75</v>
      </c>
      <c r="AC769">
        <v>0</v>
      </c>
      <c r="AD769" t="s">
        <v>358</v>
      </c>
      <c r="AE769" t="s">
        <v>75</v>
      </c>
      <c r="AF769">
        <v>204</v>
      </c>
      <c r="AG769" s="8">
        <v>0</v>
      </c>
      <c r="AH769">
        <v>0</v>
      </c>
      <c r="AI769">
        <v>8</v>
      </c>
      <c r="AJ769">
        <v>-1</v>
      </c>
      <c r="AK769" t="e">
        <v>#N/A</v>
      </c>
      <c r="AL769" t="e">
        <v>#N/A</v>
      </c>
      <c r="AM769">
        <v>9</v>
      </c>
      <c r="AN769">
        <v>0</v>
      </c>
      <c r="AO769">
        <v>0</v>
      </c>
      <c r="AP769">
        <v>0</v>
      </c>
      <c r="AQ769">
        <v>0</v>
      </c>
      <c r="AR769">
        <v>0.45454545454545453</v>
      </c>
      <c r="AS769">
        <v>0.54545454545454541</v>
      </c>
      <c r="AT769">
        <v>0</v>
      </c>
      <c r="AU769">
        <v>152458.22118475</v>
      </c>
      <c r="AV769">
        <v>11</v>
      </c>
      <c r="AW769">
        <f t="shared" si="70"/>
        <v>1</v>
      </c>
      <c r="AX769">
        <v>0</v>
      </c>
      <c r="AY769">
        <f t="shared" si="71"/>
        <v>0</v>
      </c>
      <c r="AZ769">
        <v>0</v>
      </c>
      <c r="BA769">
        <v>1</v>
      </c>
      <c r="BB769">
        <v>2020</v>
      </c>
      <c r="BC769">
        <v>7</v>
      </c>
      <c r="BD769">
        <v>2020</v>
      </c>
      <c r="BE769">
        <v>1</v>
      </c>
      <c r="BF769">
        <v>2020</v>
      </c>
    </row>
    <row r="770" spans="1:58" x14ac:dyDescent="0.2">
      <c r="A770" s="7">
        <v>14</v>
      </c>
      <c r="B770" s="7">
        <v>13</v>
      </c>
      <c r="C770" s="7">
        <v>6</v>
      </c>
      <c r="D770" s="7">
        <v>3</v>
      </c>
      <c r="E770" s="7">
        <f t="shared" ref="E770:E819" si="72">SUM(A770,B770,C770,D770)</f>
        <v>36</v>
      </c>
      <c r="F770" s="11" t="e">
        <v>#N/A</v>
      </c>
      <c r="G770">
        <v>15</v>
      </c>
      <c r="H770">
        <v>13</v>
      </c>
      <c r="I770">
        <v>6</v>
      </c>
      <c r="J770">
        <v>3</v>
      </c>
      <c r="K770">
        <f t="shared" ref="K770:K819" si="73">SUM(G770,H770,I770,J770)</f>
        <v>37</v>
      </c>
      <c r="L770" t="e">
        <v>#N/A</v>
      </c>
      <c r="M770">
        <v>27421.92396045</v>
      </c>
      <c r="N770" s="7">
        <v>14</v>
      </c>
      <c r="O770" s="7">
        <v>15</v>
      </c>
      <c r="P770" s="7">
        <v>6</v>
      </c>
      <c r="Q770" s="7">
        <v>5</v>
      </c>
      <c r="R770" s="7">
        <f t="shared" ref="R770:R819" si="74">SUM(N770,O770,P770,Q770)</f>
        <v>40</v>
      </c>
      <c r="S770" t="e">
        <v>#N/A</v>
      </c>
      <c r="T770" s="7">
        <v>14</v>
      </c>
      <c r="U770" s="7">
        <v>15</v>
      </c>
      <c r="V770" s="7">
        <v>6</v>
      </c>
      <c r="W770" s="7">
        <v>5</v>
      </c>
      <c r="X770" s="7">
        <f t="shared" ref="X770:X819" si="75">SUM(T770,U770,V770,W770)</f>
        <v>40</v>
      </c>
      <c r="Y770" t="e">
        <v>#N/A</v>
      </c>
      <c r="Z770">
        <v>92822.8766148</v>
      </c>
      <c r="AA770" t="s">
        <v>415</v>
      </c>
      <c r="AB770">
        <v>24</v>
      </c>
      <c r="AC770">
        <v>0</v>
      </c>
      <c r="AD770" t="s">
        <v>205</v>
      </c>
      <c r="AE770" t="s">
        <v>41</v>
      </c>
      <c r="AF770">
        <v>203</v>
      </c>
      <c r="AG770" s="8">
        <v>0</v>
      </c>
      <c r="AH770">
        <v>0</v>
      </c>
      <c r="AI770">
        <v>4</v>
      </c>
      <c r="AJ770">
        <v>1</v>
      </c>
      <c r="AK770" t="e">
        <v>#N/A</v>
      </c>
      <c r="AL770" t="e">
        <v>#N/A</v>
      </c>
      <c r="AM770">
        <v>3</v>
      </c>
      <c r="AN770">
        <v>0</v>
      </c>
      <c r="AO770">
        <v>0</v>
      </c>
      <c r="AP770">
        <v>0</v>
      </c>
      <c r="AQ770">
        <v>8.3333333333333329E-2</v>
      </c>
      <c r="AR770">
        <v>0.3888888888888889</v>
      </c>
      <c r="AS770">
        <v>0.3611111111111111</v>
      </c>
      <c r="AT770">
        <v>0.16666666666666666</v>
      </c>
      <c r="AU770">
        <v>120244.80057525</v>
      </c>
      <c r="AV770">
        <v>8</v>
      </c>
      <c r="AW770">
        <f t="shared" si="70"/>
        <v>0</v>
      </c>
      <c r="AX770">
        <v>0</v>
      </c>
      <c r="AY770">
        <f t="shared" si="71"/>
        <v>0</v>
      </c>
      <c r="AZ770">
        <v>0</v>
      </c>
      <c r="BA770">
        <v>1</v>
      </c>
      <c r="BB770">
        <v>2020</v>
      </c>
      <c r="BC770">
        <v>7</v>
      </c>
      <c r="BD770">
        <v>2020</v>
      </c>
      <c r="BE770">
        <v>1</v>
      </c>
      <c r="BF770">
        <v>2020</v>
      </c>
    </row>
    <row r="771" spans="1:58" x14ac:dyDescent="0.2">
      <c r="A771" s="7">
        <v>0</v>
      </c>
      <c r="B771" s="7">
        <v>0</v>
      </c>
      <c r="C771" s="7">
        <v>0</v>
      </c>
      <c r="D771" s="7">
        <v>0</v>
      </c>
      <c r="E771" s="7">
        <f t="shared" si="72"/>
        <v>0</v>
      </c>
      <c r="F771" s="11" t="e">
        <v>#N/A</v>
      </c>
      <c r="G771">
        <v>0</v>
      </c>
      <c r="H771">
        <v>0</v>
      </c>
      <c r="I771">
        <v>0</v>
      </c>
      <c r="J771">
        <v>0</v>
      </c>
      <c r="K771">
        <f t="shared" si="73"/>
        <v>0</v>
      </c>
      <c r="L771" t="e">
        <v>#N/A</v>
      </c>
      <c r="M771">
        <v>67122.098634429989</v>
      </c>
      <c r="N771" s="7">
        <v>7</v>
      </c>
      <c r="O771" s="7">
        <v>0</v>
      </c>
      <c r="P771" s="7">
        <v>0</v>
      </c>
      <c r="Q771" s="7">
        <v>0</v>
      </c>
      <c r="R771" s="7">
        <f t="shared" si="74"/>
        <v>7</v>
      </c>
      <c r="S771" t="e">
        <v>#N/A</v>
      </c>
      <c r="T771" s="7">
        <v>7</v>
      </c>
      <c r="U771" s="7">
        <v>0</v>
      </c>
      <c r="V771" s="7">
        <v>0</v>
      </c>
      <c r="W771" s="7">
        <v>0</v>
      </c>
      <c r="X771" s="7">
        <f t="shared" si="75"/>
        <v>7</v>
      </c>
      <c r="Y771" t="e">
        <v>#N/A</v>
      </c>
      <c r="Z771">
        <v>121720.91017582</v>
      </c>
      <c r="AA771" t="s">
        <v>416</v>
      </c>
      <c r="AB771">
        <v>60</v>
      </c>
      <c r="AC771">
        <v>717</v>
      </c>
      <c r="AD771" t="s">
        <v>72</v>
      </c>
      <c r="AE771" t="s">
        <v>41</v>
      </c>
      <c r="AF771">
        <v>202</v>
      </c>
      <c r="AG771" s="8">
        <v>0</v>
      </c>
      <c r="AH771">
        <v>0</v>
      </c>
      <c r="AI771">
        <v>7</v>
      </c>
      <c r="AJ771">
        <v>0</v>
      </c>
      <c r="AK771" t="e">
        <v>#N/A</v>
      </c>
      <c r="AL771" t="e">
        <v>#N/A</v>
      </c>
      <c r="AM771">
        <v>7</v>
      </c>
      <c r="AN771">
        <v>0</v>
      </c>
      <c r="AO771">
        <v>0</v>
      </c>
      <c r="AP771" t="e">
        <v>#N/A</v>
      </c>
      <c r="AQ771" t="e">
        <v>#N/A</v>
      </c>
      <c r="AR771" t="e">
        <v>#N/A</v>
      </c>
      <c r="AS771" t="e">
        <v>#N/A</v>
      </c>
      <c r="AT771" t="e">
        <v>#N/A</v>
      </c>
      <c r="AU771">
        <v>188843.00881024997</v>
      </c>
      <c r="AV771">
        <v>26</v>
      </c>
      <c r="AW771">
        <f t="shared" ref="AW771:AW819" si="76">IF(AV771="n/a","n/a",IF(AV771&gt;=10,1,0))</f>
        <v>1</v>
      </c>
      <c r="AX771">
        <v>717</v>
      </c>
      <c r="AY771">
        <f t="shared" ref="AY771:AY819" si="77">IF(
  ISBLANK(AX771),
  NA(),
  IF(AX771&gt;0, 1, 0)
)</f>
        <v>1</v>
      </c>
      <c r="AZ771">
        <v>3.5495049504950495</v>
      </c>
      <c r="BA771">
        <v>1</v>
      </c>
      <c r="BB771">
        <v>2020</v>
      </c>
      <c r="BC771">
        <v>7</v>
      </c>
      <c r="BD771">
        <v>2020</v>
      </c>
      <c r="BE771">
        <v>1</v>
      </c>
      <c r="BF771">
        <v>2020</v>
      </c>
    </row>
    <row r="772" spans="1:58" x14ac:dyDescent="0.2">
      <c r="A772" s="7">
        <v>11</v>
      </c>
      <c r="B772" s="7">
        <v>29</v>
      </c>
      <c r="C772" s="7">
        <v>2</v>
      </c>
      <c r="D772" s="7">
        <v>6</v>
      </c>
      <c r="E772" s="7">
        <f t="shared" si="72"/>
        <v>48</v>
      </c>
      <c r="F772" s="11" t="e">
        <v>#N/A</v>
      </c>
      <c r="G772">
        <v>13</v>
      </c>
      <c r="H772">
        <v>29</v>
      </c>
      <c r="I772">
        <v>2</v>
      </c>
      <c r="J772">
        <v>0</v>
      </c>
      <c r="K772">
        <f t="shared" si="73"/>
        <v>44</v>
      </c>
      <c r="L772" t="e">
        <v>#N/A</v>
      </c>
      <c r="M772">
        <v>33730.138977809998</v>
      </c>
      <c r="N772" s="7">
        <v>11</v>
      </c>
      <c r="O772" s="7">
        <v>29</v>
      </c>
      <c r="P772" s="7">
        <v>4</v>
      </c>
      <c r="Q772" s="7">
        <v>6</v>
      </c>
      <c r="R772" s="7">
        <f t="shared" si="74"/>
        <v>50</v>
      </c>
      <c r="S772" t="e">
        <v>#N/A</v>
      </c>
      <c r="T772" s="7">
        <v>11</v>
      </c>
      <c r="U772" s="7">
        <v>29</v>
      </c>
      <c r="V772" s="7">
        <v>4</v>
      </c>
      <c r="W772" s="7">
        <v>6</v>
      </c>
      <c r="X772" s="7">
        <f t="shared" si="75"/>
        <v>50</v>
      </c>
      <c r="Y772" t="e">
        <v>#N/A</v>
      </c>
      <c r="Z772">
        <v>68440.810895770002</v>
      </c>
      <c r="AA772" t="s">
        <v>417</v>
      </c>
      <c r="AB772">
        <v>35</v>
      </c>
      <c r="AC772">
        <v>16</v>
      </c>
      <c r="AD772" t="s">
        <v>174</v>
      </c>
      <c r="AE772" t="s">
        <v>75</v>
      </c>
      <c r="AF772">
        <v>229</v>
      </c>
      <c r="AG772" s="8">
        <v>0</v>
      </c>
      <c r="AH772">
        <v>0</v>
      </c>
      <c r="AI772">
        <v>2</v>
      </c>
      <c r="AJ772">
        <v>-4</v>
      </c>
      <c r="AK772" t="e">
        <v>#N/A</v>
      </c>
      <c r="AL772" t="e">
        <v>#N/A</v>
      </c>
      <c r="AM772">
        <v>6</v>
      </c>
      <c r="AN772">
        <v>0</v>
      </c>
      <c r="AO772">
        <v>0</v>
      </c>
      <c r="AP772">
        <v>0</v>
      </c>
      <c r="AQ772">
        <v>0.125</v>
      </c>
      <c r="AR772">
        <v>0.22916666666666666</v>
      </c>
      <c r="AS772">
        <v>0.60416666666666663</v>
      </c>
      <c r="AT772">
        <v>4.1666666666666664E-2</v>
      </c>
      <c r="AU772">
        <v>102170.94987358</v>
      </c>
      <c r="AV772">
        <v>17</v>
      </c>
      <c r="AW772">
        <f t="shared" si="76"/>
        <v>1</v>
      </c>
      <c r="AX772">
        <v>16</v>
      </c>
      <c r="AY772">
        <f t="shared" si="77"/>
        <v>1</v>
      </c>
      <c r="AZ772">
        <v>6.9868995633187769E-2</v>
      </c>
      <c r="BA772">
        <v>1</v>
      </c>
      <c r="BB772">
        <v>2020</v>
      </c>
      <c r="BC772">
        <v>8</v>
      </c>
      <c r="BD772">
        <v>2020</v>
      </c>
      <c r="BE772">
        <v>1</v>
      </c>
      <c r="BF772">
        <v>2020</v>
      </c>
    </row>
    <row r="773" spans="1:58" x14ac:dyDescent="0.2">
      <c r="A773" s="7">
        <v>1</v>
      </c>
      <c r="B773" s="7">
        <v>25</v>
      </c>
      <c r="C773" s="7">
        <v>5</v>
      </c>
      <c r="D773" s="7">
        <v>0</v>
      </c>
      <c r="E773" s="7">
        <f t="shared" si="72"/>
        <v>31</v>
      </c>
      <c r="F773" s="11" t="e">
        <v>#N/A</v>
      </c>
      <c r="G773">
        <v>4</v>
      </c>
      <c r="H773">
        <v>2</v>
      </c>
      <c r="I773">
        <v>5</v>
      </c>
      <c r="J773">
        <v>0</v>
      </c>
      <c r="K773">
        <f t="shared" si="73"/>
        <v>11</v>
      </c>
      <c r="L773" t="e">
        <v>#N/A</v>
      </c>
      <c r="M773">
        <v>32841.398768409999</v>
      </c>
      <c r="N773" s="7">
        <v>1</v>
      </c>
      <c r="O773" s="7">
        <v>27</v>
      </c>
      <c r="P773" s="7">
        <v>4</v>
      </c>
      <c r="Q773" s="7">
        <v>7</v>
      </c>
      <c r="R773" s="7">
        <f t="shared" si="74"/>
        <v>39</v>
      </c>
      <c r="S773" t="e">
        <v>#N/A</v>
      </c>
      <c r="T773" s="7">
        <v>5</v>
      </c>
      <c r="U773" s="7">
        <v>29</v>
      </c>
      <c r="V773" s="7">
        <v>4</v>
      </c>
      <c r="W773" s="7">
        <v>8</v>
      </c>
      <c r="X773" s="7">
        <f t="shared" si="75"/>
        <v>46</v>
      </c>
      <c r="Y773" t="e">
        <v>#N/A</v>
      </c>
      <c r="Z773">
        <v>58351.578925649992</v>
      </c>
      <c r="AA773" t="s">
        <v>418</v>
      </c>
      <c r="AB773">
        <v>69</v>
      </c>
      <c r="AC773">
        <v>118</v>
      </c>
      <c r="AD773" t="s">
        <v>419</v>
      </c>
      <c r="AE773" t="s">
        <v>75</v>
      </c>
      <c r="AF773">
        <v>304</v>
      </c>
      <c r="AG773" s="8">
        <v>61</v>
      </c>
      <c r="AH773">
        <v>7</v>
      </c>
      <c r="AI773">
        <v>15</v>
      </c>
      <c r="AJ773">
        <v>-20</v>
      </c>
      <c r="AK773">
        <v>0.11475409836065574</v>
      </c>
      <c r="AL773">
        <v>0.89625815953027188</v>
      </c>
      <c r="AM773">
        <v>28</v>
      </c>
      <c r="AN773">
        <v>0</v>
      </c>
      <c r="AO773">
        <v>0.17948717948717949</v>
      </c>
      <c r="AP773">
        <v>0.22580645161290322</v>
      </c>
      <c r="AQ773">
        <v>0</v>
      </c>
      <c r="AR773">
        <v>3.2258064516129031E-2</v>
      </c>
      <c r="AS773">
        <v>0.80645161290322576</v>
      </c>
      <c r="AT773">
        <v>0.16129032258064516</v>
      </c>
      <c r="AU773">
        <v>91192.977694059984</v>
      </c>
      <c r="AV773">
        <v>7</v>
      </c>
      <c r="AW773">
        <f t="shared" si="76"/>
        <v>0</v>
      </c>
      <c r="AX773">
        <v>118</v>
      </c>
      <c r="AY773">
        <f t="shared" si="77"/>
        <v>1</v>
      </c>
      <c r="AZ773">
        <v>0.38815789473684209</v>
      </c>
      <c r="BA773">
        <v>1</v>
      </c>
      <c r="BB773">
        <v>2020</v>
      </c>
      <c r="BC773">
        <v>11</v>
      </c>
      <c r="BD773">
        <v>2020</v>
      </c>
      <c r="BE773">
        <v>1</v>
      </c>
      <c r="BF773">
        <v>2020</v>
      </c>
    </row>
    <row r="774" spans="1:58" x14ac:dyDescent="0.2">
      <c r="A774" s="7">
        <v>1</v>
      </c>
      <c r="B774" s="7">
        <v>10</v>
      </c>
      <c r="C774" s="7">
        <v>0</v>
      </c>
      <c r="D774" s="7">
        <v>0</v>
      </c>
      <c r="E774" s="7">
        <f t="shared" si="72"/>
        <v>11</v>
      </c>
      <c r="F774" s="11" t="e">
        <v>#N/A</v>
      </c>
      <c r="G774">
        <v>1</v>
      </c>
      <c r="H774">
        <v>6</v>
      </c>
      <c r="I774">
        <v>0</v>
      </c>
      <c r="J774">
        <v>0</v>
      </c>
      <c r="K774">
        <f t="shared" si="73"/>
        <v>7</v>
      </c>
      <c r="L774" t="e">
        <v>#N/A</v>
      </c>
      <c r="M774">
        <v>52863.623802030001</v>
      </c>
      <c r="N774" s="7">
        <v>6</v>
      </c>
      <c r="O774" s="7">
        <v>21</v>
      </c>
      <c r="P774" s="7">
        <v>0</v>
      </c>
      <c r="Q774" s="7">
        <v>4</v>
      </c>
      <c r="R774" s="7">
        <f t="shared" si="74"/>
        <v>31</v>
      </c>
      <c r="S774" t="e">
        <v>#N/A</v>
      </c>
      <c r="T774" s="7">
        <v>6</v>
      </c>
      <c r="U774" s="7">
        <v>21</v>
      </c>
      <c r="V774" s="7">
        <v>0</v>
      </c>
      <c r="W774" s="7">
        <v>4</v>
      </c>
      <c r="X774" s="7">
        <f t="shared" si="75"/>
        <v>31</v>
      </c>
      <c r="Y774" t="e">
        <v>#N/A</v>
      </c>
      <c r="Z774">
        <v>108918.51792008</v>
      </c>
      <c r="AA774" t="s">
        <v>420</v>
      </c>
      <c r="AB774">
        <v>57</v>
      </c>
      <c r="AC774">
        <v>262</v>
      </c>
      <c r="AD774" t="s">
        <v>254</v>
      </c>
      <c r="AE774" t="s">
        <v>75</v>
      </c>
      <c r="AF774">
        <v>273</v>
      </c>
      <c r="AG774" s="8">
        <v>0</v>
      </c>
      <c r="AH774">
        <v>0</v>
      </c>
      <c r="AI774">
        <v>20</v>
      </c>
      <c r="AJ774">
        <v>-4</v>
      </c>
      <c r="AK774" t="e">
        <v>#N/A</v>
      </c>
      <c r="AL774" t="e">
        <v>#N/A</v>
      </c>
      <c r="AM774">
        <v>24</v>
      </c>
      <c r="AN774">
        <v>0</v>
      </c>
      <c r="AO774">
        <v>0</v>
      </c>
      <c r="AP774">
        <v>0</v>
      </c>
      <c r="AQ774">
        <v>0</v>
      </c>
      <c r="AR774">
        <v>9.0909090909090912E-2</v>
      </c>
      <c r="AS774">
        <v>0.90909090909090906</v>
      </c>
      <c r="AT774">
        <v>0</v>
      </c>
      <c r="AU774">
        <v>161782.14172211001</v>
      </c>
      <c r="AV774">
        <v>13</v>
      </c>
      <c r="AW774">
        <f t="shared" si="76"/>
        <v>1</v>
      </c>
      <c r="AX774">
        <v>262</v>
      </c>
      <c r="AY774">
        <f t="shared" si="77"/>
        <v>1</v>
      </c>
      <c r="AZ774">
        <v>0.95970695970695974</v>
      </c>
      <c r="BA774">
        <v>1</v>
      </c>
      <c r="BB774">
        <v>2020</v>
      </c>
      <c r="BC774">
        <v>10</v>
      </c>
      <c r="BD774">
        <v>2020</v>
      </c>
      <c r="BE774">
        <v>1</v>
      </c>
      <c r="BF774">
        <v>2020</v>
      </c>
    </row>
    <row r="775" spans="1:58" x14ac:dyDescent="0.2">
      <c r="A775" s="7">
        <v>0</v>
      </c>
      <c r="B775" s="7">
        <v>0</v>
      </c>
      <c r="C775" s="7">
        <v>0</v>
      </c>
      <c r="D775" s="7">
        <v>0</v>
      </c>
      <c r="E775" s="7">
        <f t="shared" si="72"/>
        <v>0</v>
      </c>
      <c r="F775" s="11" t="e">
        <v>#N/A</v>
      </c>
      <c r="G775">
        <v>0</v>
      </c>
      <c r="H775">
        <v>0</v>
      </c>
      <c r="I775">
        <v>0</v>
      </c>
      <c r="J775">
        <v>0</v>
      </c>
      <c r="K775">
        <f t="shared" si="73"/>
        <v>0</v>
      </c>
      <c r="L775" t="e">
        <v>#N/A</v>
      </c>
      <c r="N775" s="7">
        <v>20</v>
      </c>
      <c r="O775" s="7">
        <v>40</v>
      </c>
      <c r="P775" s="7">
        <v>10</v>
      </c>
      <c r="Q775" s="7">
        <v>6</v>
      </c>
      <c r="R775" s="7">
        <f t="shared" si="74"/>
        <v>76</v>
      </c>
      <c r="S775" t="e">
        <v>#N/A</v>
      </c>
      <c r="T775" s="7">
        <v>20</v>
      </c>
      <c r="U775" s="7">
        <v>40</v>
      </c>
      <c r="V775" s="7">
        <v>10</v>
      </c>
      <c r="W775" s="7">
        <v>6</v>
      </c>
      <c r="X775" s="7">
        <f t="shared" si="75"/>
        <v>76</v>
      </c>
      <c r="Y775" t="e">
        <v>#N/A</v>
      </c>
      <c r="Z775">
        <v>15001.313021489999</v>
      </c>
      <c r="AA775" t="s">
        <v>421</v>
      </c>
      <c r="AB775">
        <v>68</v>
      </c>
      <c r="AC775">
        <v>0</v>
      </c>
      <c r="AD775" t="s">
        <v>422</v>
      </c>
      <c r="AE775" t="s">
        <v>75</v>
      </c>
      <c r="AF775" t="e">
        <v>#N/A</v>
      </c>
      <c r="AG775" s="8">
        <v>91</v>
      </c>
      <c r="AH775">
        <v>0</v>
      </c>
      <c r="AI775">
        <v>76</v>
      </c>
      <c r="AJ775">
        <v>0</v>
      </c>
      <c r="AK775">
        <v>0</v>
      </c>
      <c r="AL775">
        <v>0</v>
      </c>
      <c r="AM775">
        <v>76</v>
      </c>
      <c r="AN775">
        <v>0</v>
      </c>
      <c r="AO775">
        <v>0</v>
      </c>
      <c r="AP775" t="e">
        <v>#N/A</v>
      </c>
      <c r="AQ775" t="e">
        <v>#N/A</v>
      </c>
      <c r="AR775" t="e">
        <v>#N/A</v>
      </c>
      <c r="AS775" t="e">
        <v>#N/A</v>
      </c>
      <c r="AT775" t="e">
        <v>#N/A</v>
      </c>
      <c r="AU775">
        <v>15001.313021489999</v>
      </c>
      <c r="AV775">
        <v>6</v>
      </c>
      <c r="AW775">
        <f t="shared" si="76"/>
        <v>0</v>
      </c>
      <c r="AX775">
        <v>0</v>
      </c>
      <c r="AY775">
        <f t="shared" si="77"/>
        <v>0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>
        <v>4</v>
      </c>
      <c r="BF775">
        <v>2020</v>
      </c>
    </row>
    <row r="776" spans="1:58" x14ac:dyDescent="0.2">
      <c r="A776" s="7">
        <v>0</v>
      </c>
      <c r="B776" s="7">
        <v>2</v>
      </c>
      <c r="C776" s="7">
        <v>0</v>
      </c>
      <c r="D776" s="7">
        <v>0</v>
      </c>
      <c r="E776" s="7">
        <f t="shared" si="72"/>
        <v>2</v>
      </c>
      <c r="F776" s="11" t="e">
        <v>#N/A</v>
      </c>
      <c r="G776">
        <v>0</v>
      </c>
      <c r="H776">
        <v>0</v>
      </c>
      <c r="I776">
        <v>0</v>
      </c>
      <c r="J776">
        <v>0</v>
      </c>
      <c r="K776">
        <f t="shared" si="73"/>
        <v>0</v>
      </c>
      <c r="L776" t="e">
        <v>#N/A</v>
      </c>
      <c r="M776">
        <v>63531.328526630008</v>
      </c>
      <c r="N776" s="7">
        <v>0</v>
      </c>
      <c r="O776" s="7">
        <v>33</v>
      </c>
      <c r="P776" s="7">
        <v>0</v>
      </c>
      <c r="Q776" s="7">
        <v>2</v>
      </c>
      <c r="R776" s="7">
        <f t="shared" si="74"/>
        <v>35</v>
      </c>
      <c r="S776" t="e">
        <v>#N/A</v>
      </c>
      <c r="T776" s="7">
        <v>0</v>
      </c>
      <c r="U776" s="7">
        <v>33</v>
      </c>
      <c r="V776" s="7">
        <v>0</v>
      </c>
      <c r="W776" s="7">
        <v>2</v>
      </c>
      <c r="X776" s="7">
        <f t="shared" si="75"/>
        <v>35</v>
      </c>
      <c r="Y776" t="e">
        <v>#N/A</v>
      </c>
      <c r="Z776">
        <v>103917.65083728</v>
      </c>
      <c r="AA776" t="s">
        <v>423</v>
      </c>
      <c r="AB776">
        <v>33</v>
      </c>
      <c r="AC776">
        <v>695</v>
      </c>
      <c r="AD776" t="s">
        <v>254</v>
      </c>
      <c r="AE776" t="s">
        <v>41</v>
      </c>
      <c r="AF776">
        <v>334</v>
      </c>
      <c r="AG776" s="8">
        <v>0</v>
      </c>
      <c r="AH776">
        <v>0</v>
      </c>
      <c r="AI776">
        <v>33</v>
      </c>
      <c r="AJ776">
        <v>-2</v>
      </c>
      <c r="AK776" t="e">
        <v>#N/A</v>
      </c>
      <c r="AL776" t="e">
        <v>#N/A</v>
      </c>
      <c r="AM776">
        <v>35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167448.97936391001</v>
      </c>
      <c r="AV776">
        <v>15</v>
      </c>
      <c r="AW776">
        <f t="shared" si="76"/>
        <v>1</v>
      </c>
      <c r="AX776">
        <v>695</v>
      </c>
      <c r="AY776">
        <f t="shared" si="77"/>
        <v>1</v>
      </c>
      <c r="AZ776">
        <v>2.0808383233532934</v>
      </c>
      <c r="BA776">
        <v>1</v>
      </c>
      <c r="BB776">
        <v>2020</v>
      </c>
      <c r="BC776">
        <v>12</v>
      </c>
      <c r="BD776">
        <v>2020</v>
      </c>
      <c r="BE776">
        <v>1</v>
      </c>
      <c r="BF776">
        <v>2020</v>
      </c>
    </row>
    <row r="777" spans="1:58" x14ac:dyDescent="0.2">
      <c r="A777" s="7">
        <v>3</v>
      </c>
      <c r="B777" s="7">
        <v>2</v>
      </c>
      <c r="C777" s="7">
        <v>4</v>
      </c>
      <c r="D777" s="7">
        <v>6</v>
      </c>
      <c r="E777" s="7">
        <f t="shared" si="72"/>
        <v>15</v>
      </c>
      <c r="F777" s="11" t="e">
        <v>#N/A</v>
      </c>
      <c r="G777">
        <v>1</v>
      </c>
      <c r="H777">
        <v>0</v>
      </c>
      <c r="I777">
        <v>3</v>
      </c>
      <c r="J777">
        <v>0</v>
      </c>
      <c r="K777">
        <f t="shared" si="73"/>
        <v>4</v>
      </c>
      <c r="L777" t="e">
        <v>#N/A</v>
      </c>
      <c r="M777">
        <v>37278.253494009987</v>
      </c>
      <c r="N777" s="7">
        <v>5</v>
      </c>
      <c r="O777" s="7">
        <v>23</v>
      </c>
      <c r="P777" s="7">
        <v>6</v>
      </c>
      <c r="Q777" s="7">
        <v>6</v>
      </c>
      <c r="R777" s="7">
        <f t="shared" si="74"/>
        <v>40</v>
      </c>
      <c r="S777" t="e">
        <v>#N/A</v>
      </c>
      <c r="T777" s="7">
        <v>9</v>
      </c>
      <c r="U777" s="7">
        <v>28</v>
      </c>
      <c r="V777" s="7">
        <v>6</v>
      </c>
      <c r="W777" s="7">
        <v>8</v>
      </c>
      <c r="X777" s="7">
        <f t="shared" si="75"/>
        <v>51</v>
      </c>
      <c r="Y777" t="e">
        <v>#N/A</v>
      </c>
      <c r="Z777">
        <v>89874.221469180004</v>
      </c>
      <c r="AA777" t="s">
        <v>424</v>
      </c>
      <c r="AB777">
        <v>83</v>
      </c>
      <c r="AC777">
        <v>310</v>
      </c>
      <c r="AD777" t="s">
        <v>46</v>
      </c>
      <c r="AE777" t="s">
        <v>41</v>
      </c>
      <c r="AF777">
        <v>228</v>
      </c>
      <c r="AG777" s="8">
        <v>215</v>
      </c>
      <c r="AH777">
        <v>11</v>
      </c>
      <c r="AI777">
        <v>36</v>
      </c>
      <c r="AJ777">
        <v>-11</v>
      </c>
      <c r="AK777">
        <v>5.1162790697674418E-2</v>
      </c>
      <c r="AL777">
        <v>0.75019377341752091</v>
      </c>
      <c r="AM777">
        <v>36</v>
      </c>
      <c r="AN777">
        <v>0</v>
      </c>
      <c r="AO777">
        <v>0.27500000000000002</v>
      </c>
      <c r="AP777">
        <v>0.73333333333333328</v>
      </c>
      <c r="AQ777">
        <v>0.4</v>
      </c>
      <c r="AR777">
        <v>0.2</v>
      </c>
      <c r="AS777">
        <v>0.13333333333333333</v>
      </c>
      <c r="AT777">
        <v>0.26666666666666666</v>
      </c>
      <c r="AU777">
        <v>127152.47496318999</v>
      </c>
      <c r="AV777">
        <v>18</v>
      </c>
      <c r="AW777">
        <f t="shared" si="76"/>
        <v>1</v>
      </c>
      <c r="AX777">
        <v>310</v>
      </c>
      <c r="AY777">
        <f t="shared" si="77"/>
        <v>1</v>
      </c>
      <c r="AZ777">
        <v>1.3596491228070176</v>
      </c>
      <c r="BA777">
        <v>1</v>
      </c>
      <c r="BB777">
        <v>2020</v>
      </c>
      <c r="BC777">
        <v>8</v>
      </c>
      <c r="BD777">
        <v>2020</v>
      </c>
      <c r="BE777">
        <v>1</v>
      </c>
      <c r="BF777">
        <v>2020</v>
      </c>
    </row>
    <row r="778" spans="1:58" x14ac:dyDescent="0.2">
      <c r="A778" s="7">
        <v>13</v>
      </c>
      <c r="B778" s="7">
        <v>14</v>
      </c>
      <c r="C778" s="7">
        <v>0</v>
      </c>
      <c r="D778" s="7">
        <v>3</v>
      </c>
      <c r="E778" s="7">
        <f t="shared" si="72"/>
        <v>30</v>
      </c>
      <c r="F778" s="11" t="e">
        <v>#N/A</v>
      </c>
      <c r="G778">
        <v>5</v>
      </c>
      <c r="H778">
        <v>13</v>
      </c>
      <c r="I778">
        <v>0</v>
      </c>
      <c r="J778">
        <v>0</v>
      </c>
      <c r="K778">
        <f t="shared" si="73"/>
        <v>18</v>
      </c>
      <c r="L778" t="e">
        <v>#N/A</v>
      </c>
      <c r="M778">
        <v>36360.438733659998</v>
      </c>
      <c r="N778" s="7">
        <v>15</v>
      </c>
      <c r="O778" s="7">
        <v>18</v>
      </c>
      <c r="P778" s="7">
        <v>2</v>
      </c>
      <c r="Q778" s="7">
        <v>4</v>
      </c>
      <c r="R778" s="7">
        <f t="shared" si="74"/>
        <v>39</v>
      </c>
      <c r="S778" t="e">
        <v>#N/A</v>
      </c>
      <c r="T778" s="7">
        <v>15</v>
      </c>
      <c r="U778" s="7">
        <v>18</v>
      </c>
      <c r="V778" s="7">
        <v>2</v>
      </c>
      <c r="W778" s="7">
        <v>4</v>
      </c>
      <c r="X778" s="7">
        <f t="shared" si="75"/>
        <v>39</v>
      </c>
      <c r="Y778" t="e">
        <v>#N/A</v>
      </c>
      <c r="Z778">
        <v>97484.690211180001</v>
      </c>
      <c r="AA778" t="s">
        <v>425</v>
      </c>
      <c r="AB778">
        <v>35</v>
      </c>
      <c r="AC778">
        <v>46</v>
      </c>
      <c r="AD778" t="s">
        <v>248</v>
      </c>
      <c r="AE778" t="s">
        <v>41</v>
      </c>
      <c r="AF778">
        <v>221</v>
      </c>
      <c r="AG778" s="8">
        <v>0</v>
      </c>
      <c r="AH778">
        <v>0</v>
      </c>
      <c r="AI778">
        <v>9</v>
      </c>
      <c r="AJ778">
        <v>-12</v>
      </c>
      <c r="AK778" t="e">
        <v>#N/A</v>
      </c>
      <c r="AL778" t="e">
        <v>#N/A</v>
      </c>
      <c r="AM778">
        <v>21</v>
      </c>
      <c r="AN778">
        <v>0</v>
      </c>
      <c r="AO778">
        <v>0</v>
      </c>
      <c r="AP778">
        <v>0</v>
      </c>
      <c r="AQ778">
        <v>0.1</v>
      </c>
      <c r="AR778">
        <v>0.43333333333333335</v>
      </c>
      <c r="AS778">
        <v>0.46666666666666667</v>
      </c>
      <c r="AT778">
        <v>0</v>
      </c>
      <c r="AU778">
        <v>133845.12894483999</v>
      </c>
      <c r="AV778">
        <v>7</v>
      </c>
      <c r="AW778">
        <f t="shared" si="76"/>
        <v>0</v>
      </c>
      <c r="AX778">
        <v>46</v>
      </c>
      <c r="AY778">
        <f t="shared" si="77"/>
        <v>1</v>
      </c>
      <c r="AZ778">
        <v>0.20814479638009051</v>
      </c>
      <c r="BA778">
        <v>1</v>
      </c>
      <c r="BB778">
        <v>2020</v>
      </c>
      <c r="BC778">
        <v>8</v>
      </c>
      <c r="BD778">
        <v>2020</v>
      </c>
      <c r="BE778">
        <v>1</v>
      </c>
      <c r="BF778">
        <v>2020</v>
      </c>
    </row>
    <row r="779" spans="1:58" x14ac:dyDescent="0.2">
      <c r="A779" s="7">
        <v>0</v>
      </c>
      <c r="B779" s="7">
        <v>0</v>
      </c>
      <c r="C779" s="7">
        <v>1</v>
      </c>
      <c r="D779" s="7">
        <v>0</v>
      </c>
      <c r="E779" s="7">
        <f t="shared" si="72"/>
        <v>1</v>
      </c>
      <c r="F779" s="11" t="e">
        <v>#N/A</v>
      </c>
      <c r="G779">
        <v>0</v>
      </c>
      <c r="H779">
        <v>2</v>
      </c>
      <c r="I779">
        <v>0</v>
      </c>
      <c r="J779">
        <v>0</v>
      </c>
      <c r="K779">
        <f t="shared" si="73"/>
        <v>2</v>
      </c>
      <c r="L779" t="e">
        <v>#N/A</v>
      </c>
      <c r="M779">
        <v>107474.93797595</v>
      </c>
      <c r="N779" s="7">
        <v>0</v>
      </c>
      <c r="O779" s="7">
        <v>0</v>
      </c>
      <c r="P779" s="7">
        <v>0</v>
      </c>
      <c r="Q779" s="7">
        <v>0</v>
      </c>
      <c r="R779" s="7">
        <f t="shared" si="74"/>
        <v>0</v>
      </c>
      <c r="S779" t="e">
        <v>#N/A</v>
      </c>
      <c r="T779" s="7">
        <v>0</v>
      </c>
      <c r="U779" s="7">
        <v>0</v>
      </c>
      <c r="V779" s="7">
        <v>0</v>
      </c>
      <c r="W779" s="7">
        <v>0</v>
      </c>
      <c r="X779" s="7">
        <f t="shared" si="75"/>
        <v>0</v>
      </c>
      <c r="Y779" t="e">
        <v>#N/A</v>
      </c>
      <c r="Z779">
        <v>122982.42871012</v>
      </c>
      <c r="AA779" t="s">
        <v>426</v>
      </c>
      <c r="AB779">
        <v>67</v>
      </c>
      <c r="AC779">
        <v>1389</v>
      </c>
      <c r="AD779" t="s">
        <v>272</v>
      </c>
      <c r="AE779" t="s">
        <v>41</v>
      </c>
      <c r="AF779">
        <v>222</v>
      </c>
      <c r="AG779" s="8">
        <v>0</v>
      </c>
      <c r="AH779">
        <v>0</v>
      </c>
      <c r="AI779">
        <v>-1</v>
      </c>
      <c r="AJ779">
        <v>1</v>
      </c>
      <c r="AK779" t="e">
        <v>#N/A</v>
      </c>
      <c r="AL779" t="e">
        <v>#N/A</v>
      </c>
      <c r="AM779">
        <v>-2</v>
      </c>
      <c r="AN779">
        <v>1</v>
      </c>
      <c r="AO779" t="e">
        <v>#N/A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230457.36668606999</v>
      </c>
      <c r="AV779">
        <v>17</v>
      </c>
      <c r="AW779">
        <f t="shared" si="76"/>
        <v>1</v>
      </c>
      <c r="AX779">
        <v>1389</v>
      </c>
      <c r="AY779">
        <f t="shared" si="77"/>
        <v>1</v>
      </c>
      <c r="AZ779">
        <v>6.256756756756757</v>
      </c>
      <c r="BA779">
        <v>1</v>
      </c>
      <c r="BB779">
        <v>2020</v>
      </c>
      <c r="BC779">
        <v>8</v>
      </c>
      <c r="BD779">
        <v>2020</v>
      </c>
      <c r="BE779">
        <v>2</v>
      </c>
      <c r="BF779">
        <v>2020</v>
      </c>
    </row>
    <row r="780" spans="1:58" x14ac:dyDescent="0.2">
      <c r="A780" s="7">
        <v>0</v>
      </c>
      <c r="B780" s="7">
        <v>10</v>
      </c>
      <c r="C780" s="7">
        <v>0</v>
      </c>
      <c r="D780" s="7">
        <v>0</v>
      </c>
      <c r="E780" s="7">
        <f t="shared" si="72"/>
        <v>10</v>
      </c>
      <c r="F780" s="11" t="e">
        <v>#N/A</v>
      </c>
      <c r="G780">
        <v>0</v>
      </c>
      <c r="H780">
        <v>0</v>
      </c>
      <c r="I780">
        <v>0</v>
      </c>
      <c r="J780">
        <v>0</v>
      </c>
      <c r="K780">
        <f t="shared" si="73"/>
        <v>0</v>
      </c>
      <c r="L780" t="e">
        <v>#N/A</v>
      </c>
      <c r="M780">
        <v>24523.874501170001</v>
      </c>
      <c r="N780" s="7">
        <v>2</v>
      </c>
      <c r="O780" s="7">
        <v>10</v>
      </c>
      <c r="P780" s="7">
        <v>0</v>
      </c>
      <c r="Q780" s="7">
        <v>3</v>
      </c>
      <c r="R780" s="7">
        <f t="shared" si="74"/>
        <v>15</v>
      </c>
      <c r="S780" t="e">
        <v>#N/A</v>
      </c>
      <c r="T780" s="7">
        <v>2</v>
      </c>
      <c r="U780" s="7">
        <v>10</v>
      </c>
      <c r="V780" s="7">
        <v>0</v>
      </c>
      <c r="W780" s="7">
        <v>3</v>
      </c>
      <c r="X780" s="7">
        <f t="shared" si="75"/>
        <v>15</v>
      </c>
      <c r="Y780" t="e">
        <v>#N/A</v>
      </c>
      <c r="Z780">
        <v>112475.42015912</v>
      </c>
      <c r="AA780" t="s">
        <v>427</v>
      </c>
      <c r="AB780">
        <v>72</v>
      </c>
      <c r="AC780">
        <v>265</v>
      </c>
      <c r="AD780" t="s">
        <v>254</v>
      </c>
      <c r="AE780" t="s">
        <v>41</v>
      </c>
      <c r="AF780">
        <v>224</v>
      </c>
      <c r="AG780" s="8">
        <v>0</v>
      </c>
      <c r="AH780">
        <v>0</v>
      </c>
      <c r="AI780">
        <v>5</v>
      </c>
      <c r="AJ780">
        <v>-10</v>
      </c>
      <c r="AK780" t="e">
        <v>#N/A</v>
      </c>
      <c r="AL780" t="e">
        <v>#N/A</v>
      </c>
      <c r="AM780">
        <v>15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136999.29466029</v>
      </c>
      <c r="AV780">
        <v>10</v>
      </c>
      <c r="AW780">
        <f t="shared" si="76"/>
        <v>1</v>
      </c>
      <c r="AX780">
        <v>265</v>
      </c>
      <c r="AY780">
        <f t="shared" si="77"/>
        <v>1</v>
      </c>
      <c r="AZ780">
        <v>1.1830357142857142</v>
      </c>
      <c r="BA780">
        <v>1</v>
      </c>
      <c r="BB780">
        <v>2020</v>
      </c>
      <c r="BC780">
        <v>8</v>
      </c>
      <c r="BD780">
        <v>2020</v>
      </c>
      <c r="BE780">
        <v>1</v>
      </c>
      <c r="BF780">
        <v>2020</v>
      </c>
    </row>
    <row r="781" spans="1:58" x14ac:dyDescent="0.2">
      <c r="A781" s="7">
        <v>0</v>
      </c>
      <c r="B781" s="7">
        <v>2</v>
      </c>
      <c r="C781" s="7">
        <v>0</v>
      </c>
      <c r="D781" s="7">
        <v>0</v>
      </c>
      <c r="E781" s="7">
        <f t="shared" si="72"/>
        <v>2</v>
      </c>
      <c r="F781" s="11" t="e">
        <v>#N/A</v>
      </c>
      <c r="G781">
        <v>0</v>
      </c>
      <c r="H781">
        <v>0</v>
      </c>
      <c r="I781">
        <v>0</v>
      </c>
      <c r="J781">
        <v>0</v>
      </c>
      <c r="K781">
        <f t="shared" si="73"/>
        <v>0</v>
      </c>
      <c r="L781" t="e">
        <v>#N/A</v>
      </c>
      <c r="M781">
        <v>61666.648532339997</v>
      </c>
      <c r="N781" s="7">
        <v>0</v>
      </c>
      <c r="O781" s="7">
        <v>4</v>
      </c>
      <c r="P781" s="7">
        <v>0</v>
      </c>
      <c r="Q781" s="7">
        <v>0</v>
      </c>
      <c r="R781" s="7">
        <f t="shared" si="74"/>
        <v>4</v>
      </c>
      <c r="S781" t="e">
        <v>#N/A</v>
      </c>
      <c r="T781" s="7">
        <v>0</v>
      </c>
      <c r="U781" s="7">
        <v>4</v>
      </c>
      <c r="V781" s="7">
        <v>0</v>
      </c>
      <c r="W781" s="7">
        <v>0</v>
      </c>
      <c r="X781" s="7">
        <f t="shared" si="75"/>
        <v>4</v>
      </c>
      <c r="Y781" t="e">
        <v>#N/A</v>
      </c>
      <c r="Z781">
        <v>133984.64584221999</v>
      </c>
      <c r="AA781" t="s">
        <v>428</v>
      </c>
      <c r="AB781">
        <v>25</v>
      </c>
      <c r="AC781">
        <v>689</v>
      </c>
      <c r="AD781" t="s">
        <v>248</v>
      </c>
      <c r="AE781" t="s">
        <v>41</v>
      </c>
      <c r="AF781">
        <v>223</v>
      </c>
      <c r="AG781" s="8">
        <v>0</v>
      </c>
      <c r="AH781">
        <v>0</v>
      </c>
      <c r="AI781">
        <v>2</v>
      </c>
      <c r="AJ781">
        <v>-2</v>
      </c>
      <c r="AK781" t="e">
        <v>#N/A</v>
      </c>
      <c r="AL781" t="e">
        <v>#N/A</v>
      </c>
      <c r="AM781">
        <v>4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195651.29437456001</v>
      </c>
      <c r="AV781">
        <v>18</v>
      </c>
      <c r="AW781">
        <f t="shared" si="76"/>
        <v>1</v>
      </c>
      <c r="AX781">
        <v>689</v>
      </c>
      <c r="AY781">
        <f t="shared" si="77"/>
        <v>1</v>
      </c>
      <c r="AZ781">
        <v>3.0896860986547083</v>
      </c>
      <c r="BA781">
        <v>1</v>
      </c>
      <c r="BB781">
        <v>2020</v>
      </c>
      <c r="BC781">
        <v>8</v>
      </c>
      <c r="BD781">
        <v>2020</v>
      </c>
      <c r="BE781">
        <v>1</v>
      </c>
      <c r="BF781">
        <v>2020</v>
      </c>
    </row>
    <row r="782" spans="1:58" x14ac:dyDescent="0.2">
      <c r="A782" s="7">
        <v>10</v>
      </c>
      <c r="B782" s="7">
        <v>10</v>
      </c>
      <c r="C782" s="7">
        <v>0</v>
      </c>
      <c r="D782" s="7">
        <v>0</v>
      </c>
      <c r="E782" s="7">
        <f t="shared" si="72"/>
        <v>20</v>
      </c>
      <c r="F782" s="11" t="e">
        <v>#N/A</v>
      </c>
      <c r="G782">
        <v>9</v>
      </c>
      <c r="H782">
        <v>10</v>
      </c>
      <c r="I782">
        <v>0</v>
      </c>
      <c r="J782">
        <v>0</v>
      </c>
      <c r="K782">
        <f t="shared" si="73"/>
        <v>19</v>
      </c>
      <c r="L782" t="e">
        <v>#N/A</v>
      </c>
      <c r="M782">
        <v>25805.9791401</v>
      </c>
      <c r="N782" s="7">
        <v>9</v>
      </c>
      <c r="O782" s="7">
        <v>13</v>
      </c>
      <c r="P782" s="7">
        <v>1</v>
      </c>
      <c r="Q782" s="7">
        <v>2</v>
      </c>
      <c r="R782" s="7">
        <f t="shared" si="74"/>
        <v>25</v>
      </c>
      <c r="S782" t="e">
        <v>#N/A</v>
      </c>
      <c r="T782" s="7">
        <v>9</v>
      </c>
      <c r="U782" s="7">
        <v>13</v>
      </c>
      <c r="V782" s="7">
        <v>1</v>
      </c>
      <c r="W782" s="7">
        <v>2</v>
      </c>
      <c r="X782" s="7">
        <f t="shared" si="75"/>
        <v>25</v>
      </c>
      <c r="Y782" t="e">
        <v>#N/A</v>
      </c>
      <c r="Z782">
        <v>98757.913964099993</v>
      </c>
      <c r="AA782" t="s">
        <v>429</v>
      </c>
      <c r="AB782">
        <v>35</v>
      </c>
      <c r="AC782">
        <v>170</v>
      </c>
      <c r="AD782" t="s">
        <v>258</v>
      </c>
      <c r="AE782" t="s">
        <v>41</v>
      </c>
      <c r="AF782">
        <v>228</v>
      </c>
      <c r="AG782" s="8">
        <v>0</v>
      </c>
      <c r="AH782">
        <v>0</v>
      </c>
      <c r="AI782">
        <v>5</v>
      </c>
      <c r="AJ782">
        <v>-1</v>
      </c>
      <c r="AK782" t="e">
        <v>#N/A</v>
      </c>
      <c r="AL782" t="e">
        <v>#N/A</v>
      </c>
      <c r="AM782">
        <v>6</v>
      </c>
      <c r="AN782">
        <v>0</v>
      </c>
      <c r="AO782">
        <v>0</v>
      </c>
      <c r="AP782">
        <v>0</v>
      </c>
      <c r="AQ782">
        <v>0</v>
      </c>
      <c r="AR782">
        <v>0.5</v>
      </c>
      <c r="AS782">
        <v>0.5</v>
      </c>
      <c r="AT782">
        <v>0</v>
      </c>
      <c r="AU782">
        <v>124563.89310419999</v>
      </c>
      <c r="AV782">
        <v>24</v>
      </c>
      <c r="AW782">
        <f t="shared" si="76"/>
        <v>1</v>
      </c>
      <c r="AX782">
        <v>170</v>
      </c>
      <c r="AY782">
        <f t="shared" si="77"/>
        <v>1</v>
      </c>
      <c r="AZ782">
        <v>0.74561403508771928</v>
      </c>
      <c r="BA782">
        <v>1</v>
      </c>
      <c r="BB782">
        <v>2020</v>
      </c>
      <c r="BC782">
        <v>8</v>
      </c>
      <c r="BD782">
        <v>2020</v>
      </c>
      <c r="BE782">
        <v>1</v>
      </c>
      <c r="BF782">
        <v>2020</v>
      </c>
    </row>
    <row r="783" spans="1:58" x14ac:dyDescent="0.2">
      <c r="A783" s="7">
        <v>10</v>
      </c>
      <c r="B783" s="7">
        <v>15</v>
      </c>
      <c r="C783" s="7">
        <v>2</v>
      </c>
      <c r="D783" s="7">
        <v>4</v>
      </c>
      <c r="E783" s="7">
        <f t="shared" si="72"/>
        <v>31</v>
      </c>
      <c r="F783" s="11" t="e">
        <v>#N/A</v>
      </c>
      <c r="G783">
        <v>10</v>
      </c>
      <c r="H783">
        <v>15</v>
      </c>
      <c r="I783">
        <v>2</v>
      </c>
      <c r="J783">
        <v>0</v>
      </c>
      <c r="K783">
        <f t="shared" si="73"/>
        <v>27</v>
      </c>
      <c r="L783" t="e">
        <v>#N/A</v>
      </c>
      <c r="M783">
        <v>20323.85153715</v>
      </c>
      <c r="N783" s="7">
        <v>15</v>
      </c>
      <c r="O783" s="7">
        <v>28</v>
      </c>
      <c r="P783" s="7">
        <v>6</v>
      </c>
      <c r="Q783" s="7">
        <v>6</v>
      </c>
      <c r="R783" s="7">
        <f t="shared" si="74"/>
        <v>55</v>
      </c>
      <c r="S783" t="e">
        <v>#N/A</v>
      </c>
      <c r="T783" s="7">
        <v>15</v>
      </c>
      <c r="U783" s="7">
        <v>28</v>
      </c>
      <c r="V783" s="7">
        <v>6</v>
      </c>
      <c r="W783" s="7">
        <v>6</v>
      </c>
      <c r="X783" s="7">
        <f t="shared" si="75"/>
        <v>55</v>
      </c>
      <c r="Y783" t="e">
        <v>#N/A</v>
      </c>
      <c r="Z783">
        <v>56248.887593599997</v>
      </c>
      <c r="AA783" t="s">
        <v>430</v>
      </c>
      <c r="AB783">
        <v>49</v>
      </c>
      <c r="AC783">
        <v>0</v>
      </c>
      <c r="AD783" t="s">
        <v>241</v>
      </c>
      <c r="AE783" t="s">
        <v>41</v>
      </c>
      <c r="AF783">
        <v>231</v>
      </c>
      <c r="AG783" s="8">
        <v>0</v>
      </c>
      <c r="AH783">
        <v>0</v>
      </c>
      <c r="AI783">
        <v>24</v>
      </c>
      <c r="AJ783">
        <v>-4</v>
      </c>
      <c r="AK783" t="e">
        <v>#N/A</v>
      </c>
      <c r="AL783" t="e">
        <v>#N/A</v>
      </c>
      <c r="AM783">
        <v>28</v>
      </c>
      <c r="AN783">
        <v>0</v>
      </c>
      <c r="AO783">
        <v>0</v>
      </c>
      <c r="AP783">
        <v>0</v>
      </c>
      <c r="AQ783">
        <v>0.12903225806451613</v>
      </c>
      <c r="AR783">
        <v>0.32258064516129031</v>
      </c>
      <c r="AS783">
        <v>0.4838709677419355</v>
      </c>
      <c r="AT783">
        <v>6.4516129032258063E-2</v>
      </c>
      <c r="AU783">
        <v>76572.739130749993</v>
      </c>
      <c r="AV783">
        <v>10</v>
      </c>
      <c r="AW783">
        <f t="shared" si="76"/>
        <v>1</v>
      </c>
      <c r="AX783">
        <v>0</v>
      </c>
      <c r="AY783">
        <f t="shared" si="77"/>
        <v>0</v>
      </c>
      <c r="AZ783">
        <v>0</v>
      </c>
      <c r="BA783">
        <v>1</v>
      </c>
      <c r="BB783">
        <v>2020</v>
      </c>
      <c r="BC783">
        <v>8</v>
      </c>
      <c r="BD783">
        <v>2020</v>
      </c>
      <c r="BE783">
        <v>1</v>
      </c>
      <c r="BF783">
        <v>2020</v>
      </c>
    </row>
    <row r="784" spans="1:58" x14ac:dyDescent="0.2">
      <c r="A784" s="7">
        <v>19</v>
      </c>
      <c r="B784" s="7">
        <v>25</v>
      </c>
      <c r="C784" s="7">
        <v>9</v>
      </c>
      <c r="D784" s="7">
        <v>30</v>
      </c>
      <c r="E784" s="7">
        <f t="shared" si="72"/>
        <v>83</v>
      </c>
      <c r="F784" s="11" t="e">
        <v>#N/A</v>
      </c>
      <c r="G784">
        <v>19</v>
      </c>
      <c r="H784">
        <v>25</v>
      </c>
      <c r="I784">
        <v>9</v>
      </c>
      <c r="J784">
        <v>30</v>
      </c>
      <c r="K784">
        <f t="shared" si="73"/>
        <v>83</v>
      </c>
      <c r="L784" t="e">
        <v>#N/A</v>
      </c>
      <c r="M784">
        <v>30934.55813524</v>
      </c>
      <c r="N784" s="7">
        <v>19</v>
      </c>
      <c r="O784" s="7">
        <v>25</v>
      </c>
      <c r="P784" s="7">
        <v>9</v>
      </c>
      <c r="Q784" s="7">
        <v>8</v>
      </c>
      <c r="R784" s="7">
        <f t="shared" si="74"/>
        <v>61</v>
      </c>
      <c r="S784" t="e">
        <v>#N/A</v>
      </c>
      <c r="T784" s="7">
        <v>19</v>
      </c>
      <c r="U784" s="7">
        <v>25</v>
      </c>
      <c r="V784" s="7">
        <v>9</v>
      </c>
      <c r="W784" s="7">
        <v>8</v>
      </c>
      <c r="X784" s="7">
        <f t="shared" si="75"/>
        <v>61</v>
      </c>
      <c r="Y784" t="e">
        <v>#N/A</v>
      </c>
      <c r="Z784">
        <v>50526.653760779998</v>
      </c>
      <c r="AA784" t="s">
        <v>431</v>
      </c>
      <c r="AB784">
        <v>16</v>
      </c>
      <c r="AC784">
        <v>0</v>
      </c>
      <c r="AD784" t="s">
        <v>174</v>
      </c>
      <c r="AE784" t="s">
        <v>75</v>
      </c>
      <c r="AF784" t="e">
        <v>#N/A</v>
      </c>
      <c r="AG784" s="8">
        <v>0</v>
      </c>
      <c r="AH784">
        <v>0</v>
      </c>
      <c r="AI784">
        <v>-22</v>
      </c>
      <c r="AJ784">
        <v>0</v>
      </c>
      <c r="AK784" t="e">
        <v>#N/A</v>
      </c>
      <c r="AL784" t="e">
        <v>#N/A</v>
      </c>
      <c r="AM784">
        <v>-22</v>
      </c>
      <c r="AN784">
        <v>1</v>
      </c>
      <c r="AO784">
        <v>0</v>
      </c>
      <c r="AP784">
        <v>0</v>
      </c>
      <c r="AQ784">
        <v>0.36144578313253012</v>
      </c>
      <c r="AR784">
        <v>0.2289156626506024</v>
      </c>
      <c r="AS784">
        <v>0.30120481927710846</v>
      </c>
      <c r="AT784">
        <v>0.10843373493975904</v>
      </c>
      <c r="AU784">
        <v>81461.211896020002</v>
      </c>
      <c r="AV784">
        <v>4</v>
      </c>
      <c r="AW784">
        <f t="shared" si="76"/>
        <v>0</v>
      </c>
      <c r="AX784">
        <v>0</v>
      </c>
      <c r="AY784">
        <f t="shared" si="77"/>
        <v>0</v>
      </c>
      <c r="AZ784" t="e">
        <v>#N/A</v>
      </c>
      <c r="BA784">
        <v>1</v>
      </c>
      <c r="BB784">
        <v>2020</v>
      </c>
      <c r="BC784">
        <v>1</v>
      </c>
      <c r="BD784">
        <v>2020</v>
      </c>
      <c r="BE784">
        <v>2</v>
      </c>
      <c r="BF784">
        <v>2020</v>
      </c>
    </row>
    <row r="785" spans="1:58" x14ac:dyDescent="0.2">
      <c r="A785" s="7">
        <v>7</v>
      </c>
      <c r="B785" s="7">
        <v>18</v>
      </c>
      <c r="C785" s="7">
        <v>0</v>
      </c>
      <c r="D785" s="7">
        <v>1</v>
      </c>
      <c r="E785" s="7">
        <f t="shared" si="72"/>
        <v>26</v>
      </c>
      <c r="F785" s="11" t="e">
        <v>#N/A</v>
      </c>
      <c r="G785">
        <v>3</v>
      </c>
      <c r="H785">
        <v>6</v>
      </c>
      <c r="I785">
        <v>0</v>
      </c>
      <c r="J785">
        <v>1</v>
      </c>
      <c r="K785">
        <f t="shared" si="73"/>
        <v>10</v>
      </c>
      <c r="L785" t="e">
        <v>#N/A</v>
      </c>
      <c r="M785">
        <v>28870.986760840002</v>
      </c>
      <c r="N785" s="7">
        <v>13</v>
      </c>
      <c r="O785" s="7">
        <v>32</v>
      </c>
      <c r="P785" s="7">
        <v>5</v>
      </c>
      <c r="Q785" s="7">
        <v>4</v>
      </c>
      <c r="R785" s="7">
        <f t="shared" si="74"/>
        <v>54</v>
      </c>
      <c r="S785" t="e">
        <v>#N/A</v>
      </c>
      <c r="T785" s="7">
        <v>20</v>
      </c>
      <c r="U785" s="7">
        <v>40</v>
      </c>
      <c r="V785" s="7">
        <v>7</v>
      </c>
      <c r="W785" s="7">
        <v>4</v>
      </c>
      <c r="X785" s="7">
        <f t="shared" si="75"/>
        <v>71</v>
      </c>
      <c r="Y785" t="e">
        <v>#N/A</v>
      </c>
      <c r="Z785">
        <v>77186.193032990006</v>
      </c>
      <c r="AA785" t="s">
        <v>432</v>
      </c>
      <c r="AB785">
        <v>40</v>
      </c>
      <c r="AC785">
        <v>0</v>
      </c>
      <c r="AD785" t="s">
        <v>254</v>
      </c>
      <c r="AE785" t="s">
        <v>41</v>
      </c>
      <c r="AF785">
        <v>225</v>
      </c>
      <c r="AG785" s="8">
        <v>346</v>
      </c>
      <c r="AH785">
        <v>17</v>
      </c>
      <c r="AI785">
        <v>45</v>
      </c>
      <c r="AJ785">
        <v>-16</v>
      </c>
      <c r="AK785">
        <v>4.9132947976878616E-2</v>
      </c>
      <c r="AL785">
        <v>0.91392566196979952</v>
      </c>
      <c r="AM785">
        <v>44</v>
      </c>
      <c r="AN785">
        <v>0</v>
      </c>
      <c r="AO785">
        <v>0.31481481481481483</v>
      </c>
      <c r="AP785">
        <v>0.65384615384615385</v>
      </c>
      <c r="AQ785">
        <v>3.8461538461538464E-2</v>
      </c>
      <c r="AR785">
        <v>0.26923076923076922</v>
      </c>
      <c r="AS785">
        <v>0.69230769230769229</v>
      </c>
      <c r="AT785">
        <v>0</v>
      </c>
      <c r="AU785">
        <v>106057.17979383</v>
      </c>
      <c r="AV785">
        <v>11</v>
      </c>
      <c r="AW785">
        <f t="shared" si="76"/>
        <v>1</v>
      </c>
      <c r="AX785">
        <v>0</v>
      </c>
      <c r="AY785">
        <f t="shared" si="77"/>
        <v>0</v>
      </c>
      <c r="AZ785">
        <v>0</v>
      </c>
      <c r="BA785">
        <v>1</v>
      </c>
      <c r="BB785">
        <v>2020</v>
      </c>
      <c r="BC785">
        <v>8</v>
      </c>
      <c r="BD785">
        <v>2020</v>
      </c>
      <c r="BE785">
        <v>1</v>
      </c>
      <c r="BF785">
        <v>2020</v>
      </c>
    </row>
    <row r="786" spans="1:58" x14ac:dyDescent="0.2">
      <c r="A786" s="7">
        <v>0</v>
      </c>
      <c r="B786" s="7">
        <v>11</v>
      </c>
      <c r="C786" s="7">
        <v>0</v>
      </c>
      <c r="D786" s="7">
        <v>2</v>
      </c>
      <c r="E786" s="7">
        <f t="shared" si="72"/>
        <v>13</v>
      </c>
      <c r="F786" s="11" t="e">
        <v>#N/A</v>
      </c>
      <c r="G786">
        <v>1</v>
      </c>
      <c r="H786">
        <v>6</v>
      </c>
      <c r="I786">
        <v>0</v>
      </c>
      <c r="J786">
        <v>0</v>
      </c>
      <c r="K786">
        <f t="shared" si="73"/>
        <v>7</v>
      </c>
      <c r="L786" t="e">
        <v>#N/A</v>
      </c>
      <c r="M786">
        <v>52389.619167459998</v>
      </c>
      <c r="N786" s="7">
        <v>0</v>
      </c>
      <c r="O786" s="7">
        <v>18</v>
      </c>
      <c r="P786" s="7">
        <v>0</v>
      </c>
      <c r="Q786" s="7">
        <v>2</v>
      </c>
      <c r="R786" s="7">
        <f t="shared" si="74"/>
        <v>20</v>
      </c>
      <c r="S786" t="s">
        <v>39</v>
      </c>
      <c r="T786" s="7">
        <v>0</v>
      </c>
      <c r="U786" s="7">
        <v>18</v>
      </c>
      <c r="V786" s="7">
        <v>0</v>
      </c>
      <c r="W786" s="7">
        <v>2</v>
      </c>
      <c r="X786" s="7">
        <f t="shared" si="75"/>
        <v>20</v>
      </c>
      <c r="Y786" t="s">
        <v>39</v>
      </c>
      <c r="Z786">
        <v>96483.172005150001</v>
      </c>
      <c r="AA786" t="s">
        <v>433</v>
      </c>
      <c r="AB786">
        <v>27</v>
      </c>
      <c r="AC786">
        <v>452</v>
      </c>
      <c r="AD786" t="s">
        <v>248</v>
      </c>
      <c r="AE786" t="s">
        <v>41</v>
      </c>
      <c r="AF786">
        <v>229</v>
      </c>
      <c r="AG786" s="8">
        <v>0</v>
      </c>
      <c r="AH786">
        <v>0</v>
      </c>
      <c r="AI786">
        <v>7</v>
      </c>
      <c r="AJ786">
        <v>-6</v>
      </c>
      <c r="AK786" t="e">
        <v>#N/A</v>
      </c>
      <c r="AL786" t="e">
        <v>#N/A</v>
      </c>
      <c r="AM786">
        <v>13</v>
      </c>
      <c r="AN786">
        <v>0</v>
      </c>
      <c r="AO786">
        <v>0</v>
      </c>
      <c r="AP786">
        <v>0</v>
      </c>
      <c r="AQ786">
        <v>0.15384615384615385</v>
      </c>
      <c r="AR786">
        <v>0</v>
      </c>
      <c r="AS786">
        <v>0.84615384615384615</v>
      </c>
      <c r="AT786">
        <v>0</v>
      </c>
      <c r="AU786">
        <v>148872.79117261001</v>
      </c>
      <c r="AV786">
        <v>12</v>
      </c>
      <c r="AW786">
        <f t="shared" si="76"/>
        <v>1</v>
      </c>
      <c r="AX786">
        <v>452</v>
      </c>
      <c r="AY786">
        <f t="shared" si="77"/>
        <v>1</v>
      </c>
      <c r="AZ786">
        <v>1.9737991266375545</v>
      </c>
      <c r="BA786">
        <v>1</v>
      </c>
      <c r="BB786">
        <v>2020</v>
      </c>
      <c r="BC786">
        <v>8</v>
      </c>
      <c r="BD786">
        <v>2020</v>
      </c>
      <c r="BE786">
        <v>1</v>
      </c>
      <c r="BF786">
        <v>2020</v>
      </c>
    </row>
    <row r="787" spans="1:58" x14ac:dyDescent="0.2">
      <c r="A787" s="7">
        <v>0</v>
      </c>
      <c r="B787" s="7">
        <v>10</v>
      </c>
      <c r="C787" s="7">
        <v>0</v>
      </c>
      <c r="D787" s="7">
        <v>0</v>
      </c>
      <c r="E787" s="7">
        <f t="shared" si="72"/>
        <v>10</v>
      </c>
      <c r="F787" s="11" t="e">
        <v>#N/A</v>
      </c>
      <c r="G787">
        <v>0</v>
      </c>
      <c r="H787">
        <v>13</v>
      </c>
      <c r="I787">
        <v>0</v>
      </c>
      <c r="J787">
        <v>3</v>
      </c>
      <c r="K787">
        <f t="shared" si="73"/>
        <v>16</v>
      </c>
      <c r="L787" t="e">
        <v>#N/A</v>
      </c>
      <c r="M787">
        <v>38926.663873860001</v>
      </c>
      <c r="N787" s="7">
        <v>6</v>
      </c>
      <c r="O787" s="7">
        <v>18</v>
      </c>
      <c r="P787" s="7">
        <v>1</v>
      </c>
      <c r="Q787" s="7">
        <v>5</v>
      </c>
      <c r="R787" s="7">
        <f t="shared" si="74"/>
        <v>30</v>
      </c>
      <c r="S787" t="e">
        <v>#N/A</v>
      </c>
      <c r="T787" s="7">
        <v>6</v>
      </c>
      <c r="U787" s="7">
        <v>18</v>
      </c>
      <c r="V787" s="7">
        <v>1</v>
      </c>
      <c r="W787" s="7">
        <v>5</v>
      </c>
      <c r="X787" s="7">
        <f t="shared" si="75"/>
        <v>30</v>
      </c>
      <c r="Y787" t="e">
        <v>#N/A</v>
      </c>
      <c r="Z787">
        <v>84145.0429344</v>
      </c>
      <c r="AA787" t="s">
        <v>434</v>
      </c>
      <c r="AB787">
        <v>26</v>
      </c>
      <c r="AC787">
        <v>0</v>
      </c>
      <c r="AD787" t="s">
        <v>248</v>
      </c>
      <c r="AE787" t="s">
        <v>41</v>
      </c>
      <c r="AF787">
        <v>1</v>
      </c>
      <c r="AG787" s="8">
        <v>0</v>
      </c>
      <c r="AH787">
        <v>0</v>
      </c>
      <c r="AI787">
        <v>20</v>
      </c>
      <c r="AJ787">
        <v>6</v>
      </c>
      <c r="AK787" t="e">
        <v>#N/A</v>
      </c>
      <c r="AL787" t="e">
        <v>#N/A</v>
      </c>
      <c r="AM787">
        <v>14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123071.70680826</v>
      </c>
      <c r="AV787">
        <v>19</v>
      </c>
      <c r="AW787">
        <f t="shared" si="76"/>
        <v>1</v>
      </c>
      <c r="AX787">
        <v>0</v>
      </c>
      <c r="AY787">
        <f t="shared" si="77"/>
        <v>0</v>
      </c>
      <c r="AZ787">
        <v>0</v>
      </c>
      <c r="BA787">
        <v>1</v>
      </c>
      <c r="BB787">
        <v>2020</v>
      </c>
      <c r="BC787">
        <v>1</v>
      </c>
      <c r="BD787">
        <v>2020</v>
      </c>
      <c r="BE787">
        <v>1</v>
      </c>
      <c r="BF787">
        <v>2020</v>
      </c>
    </row>
    <row r="788" spans="1:58" x14ac:dyDescent="0.2">
      <c r="A788" s="7">
        <v>7</v>
      </c>
      <c r="B788" s="7">
        <v>18</v>
      </c>
      <c r="C788" s="7">
        <v>0</v>
      </c>
      <c r="D788" s="7">
        <v>5</v>
      </c>
      <c r="E788" s="7">
        <f t="shared" si="72"/>
        <v>30</v>
      </c>
      <c r="F788" s="11" t="e">
        <v>#N/A</v>
      </c>
      <c r="G788">
        <v>3</v>
      </c>
      <c r="H788">
        <v>18</v>
      </c>
      <c r="I788">
        <v>0</v>
      </c>
      <c r="J788">
        <v>0</v>
      </c>
      <c r="K788">
        <f t="shared" si="73"/>
        <v>21</v>
      </c>
      <c r="L788" t="e">
        <v>#N/A</v>
      </c>
      <c r="M788">
        <v>32021.448812189999</v>
      </c>
      <c r="N788" s="7">
        <v>10</v>
      </c>
      <c r="O788" s="7">
        <v>24</v>
      </c>
      <c r="P788" s="7">
        <v>5</v>
      </c>
      <c r="Q788" s="7">
        <v>6</v>
      </c>
      <c r="R788" s="7">
        <f t="shared" si="74"/>
        <v>45</v>
      </c>
      <c r="S788" t="e">
        <v>#N/A</v>
      </c>
      <c r="T788" s="7">
        <v>10</v>
      </c>
      <c r="U788" s="7">
        <v>24</v>
      </c>
      <c r="V788" s="7">
        <v>5</v>
      </c>
      <c r="W788" s="7">
        <v>6</v>
      </c>
      <c r="X788" s="7">
        <f t="shared" si="75"/>
        <v>45</v>
      </c>
      <c r="Y788" t="e">
        <v>#N/A</v>
      </c>
      <c r="Z788">
        <v>60377.957312029997</v>
      </c>
      <c r="AA788" t="s">
        <v>435</v>
      </c>
      <c r="AB788">
        <v>19</v>
      </c>
      <c r="AC788">
        <v>0</v>
      </c>
      <c r="AD788" t="s">
        <v>258</v>
      </c>
      <c r="AE788" t="s">
        <v>41</v>
      </c>
      <c r="AF788">
        <v>90</v>
      </c>
      <c r="AG788" s="8">
        <v>0</v>
      </c>
      <c r="AH788">
        <v>0</v>
      </c>
      <c r="AI788">
        <v>15</v>
      </c>
      <c r="AJ788">
        <v>-9</v>
      </c>
      <c r="AK788" t="e">
        <v>#N/A</v>
      </c>
      <c r="AL788" t="e">
        <v>#N/A</v>
      </c>
      <c r="AM788">
        <v>24</v>
      </c>
      <c r="AN788">
        <v>0</v>
      </c>
      <c r="AO788">
        <v>0</v>
      </c>
      <c r="AP788">
        <v>0</v>
      </c>
      <c r="AQ788">
        <v>0.16666666666666666</v>
      </c>
      <c r="AR788">
        <v>0.23333333333333334</v>
      </c>
      <c r="AS788">
        <v>0.6</v>
      </c>
      <c r="AT788">
        <v>0</v>
      </c>
      <c r="AU788">
        <v>92399.406124219997</v>
      </c>
      <c r="AV788">
        <v>6</v>
      </c>
      <c r="AW788">
        <f t="shared" si="76"/>
        <v>0</v>
      </c>
      <c r="AX788">
        <v>0</v>
      </c>
      <c r="AY788">
        <f t="shared" si="77"/>
        <v>0</v>
      </c>
      <c r="AZ788">
        <v>0</v>
      </c>
      <c r="BA788">
        <v>1</v>
      </c>
      <c r="BB788">
        <v>2020</v>
      </c>
      <c r="BC788">
        <v>4</v>
      </c>
      <c r="BD788">
        <v>2020</v>
      </c>
      <c r="BE788">
        <v>1</v>
      </c>
      <c r="BF788">
        <v>2020</v>
      </c>
    </row>
    <row r="789" spans="1:58" x14ac:dyDescent="0.2">
      <c r="A789" s="7">
        <v>10</v>
      </c>
      <c r="B789" s="7">
        <v>18</v>
      </c>
      <c r="C789" s="7">
        <v>2</v>
      </c>
      <c r="D789" s="7">
        <v>5</v>
      </c>
      <c r="E789" s="7">
        <f t="shared" si="72"/>
        <v>35</v>
      </c>
      <c r="F789" s="11" t="e">
        <v>#N/A</v>
      </c>
      <c r="G789">
        <v>11</v>
      </c>
      <c r="H789">
        <v>18</v>
      </c>
      <c r="I789">
        <v>0</v>
      </c>
      <c r="J789">
        <v>4</v>
      </c>
      <c r="K789">
        <f t="shared" si="73"/>
        <v>33</v>
      </c>
      <c r="L789" t="e">
        <v>#N/A</v>
      </c>
      <c r="M789">
        <v>26565.559319749998</v>
      </c>
      <c r="N789" s="7">
        <v>8</v>
      </c>
      <c r="O789" s="7">
        <v>18</v>
      </c>
      <c r="P789" s="7">
        <v>0</v>
      </c>
      <c r="Q789" s="7">
        <v>0</v>
      </c>
      <c r="R789" s="7">
        <f t="shared" si="74"/>
        <v>26</v>
      </c>
      <c r="S789" t="e">
        <v>#N/A</v>
      </c>
      <c r="T789" s="7">
        <v>8</v>
      </c>
      <c r="U789" s="7">
        <v>18</v>
      </c>
      <c r="V789" s="7">
        <v>0</v>
      </c>
      <c r="W789" s="7">
        <v>0</v>
      </c>
      <c r="X789" s="7">
        <f t="shared" si="75"/>
        <v>26</v>
      </c>
      <c r="Y789" t="e">
        <v>#N/A</v>
      </c>
      <c r="Z789">
        <v>66757.377481189993</v>
      </c>
      <c r="AA789" t="s">
        <v>436</v>
      </c>
      <c r="AB789">
        <v>74</v>
      </c>
      <c r="AC789">
        <v>0</v>
      </c>
      <c r="AD789" t="s">
        <v>272</v>
      </c>
      <c r="AE789" t="s">
        <v>41</v>
      </c>
      <c r="AF789">
        <v>250</v>
      </c>
      <c r="AG789" s="8">
        <v>0</v>
      </c>
      <c r="AH789">
        <v>0</v>
      </c>
      <c r="AI789">
        <v>-9</v>
      </c>
      <c r="AJ789">
        <v>-2</v>
      </c>
      <c r="AK789" t="e">
        <v>#N/A</v>
      </c>
      <c r="AL789" t="e">
        <v>#N/A</v>
      </c>
      <c r="AM789">
        <v>-7</v>
      </c>
      <c r="AN789">
        <v>1</v>
      </c>
      <c r="AO789">
        <v>0</v>
      </c>
      <c r="AP789">
        <v>0</v>
      </c>
      <c r="AQ789">
        <v>0.14285714285714285</v>
      </c>
      <c r="AR789">
        <v>0.2857142857142857</v>
      </c>
      <c r="AS789">
        <v>0.51428571428571423</v>
      </c>
      <c r="AT789">
        <v>5.7142857142857141E-2</v>
      </c>
      <c r="AU789">
        <v>93322.936800939991</v>
      </c>
      <c r="AV789">
        <v>7</v>
      </c>
      <c r="AW789">
        <f t="shared" si="76"/>
        <v>0</v>
      </c>
      <c r="AX789">
        <v>0</v>
      </c>
      <c r="AY789">
        <f t="shared" si="77"/>
        <v>0</v>
      </c>
      <c r="AZ789">
        <v>0</v>
      </c>
      <c r="BA789">
        <v>1</v>
      </c>
      <c r="BB789">
        <v>2020</v>
      </c>
      <c r="BC789">
        <v>9</v>
      </c>
      <c r="BD789">
        <v>2020</v>
      </c>
      <c r="BE789">
        <v>1</v>
      </c>
      <c r="BF789">
        <v>2020</v>
      </c>
    </row>
    <row r="790" spans="1:58" x14ac:dyDescent="0.2">
      <c r="A790" s="7">
        <v>10</v>
      </c>
      <c r="B790" s="7">
        <v>15</v>
      </c>
      <c r="C790" s="7">
        <v>0</v>
      </c>
      <c r="D790" s="7">
        <v>4</v>
      </c>
      <c r="E790" s="7">
        <f t="shared" si="72"/>
        <v>29</v>
      </c>
      <c r="F790" s="11" t="e">
        <v>#N/A</v>
      </c>
      <c r="G790">
        <v>8</v>
      </c>
      <c r="H790">
        <v>15</v>
      </c>
      <c r="I790">
        <v>0</v>
      </c>
      <c r="J790">
        <v>0</v>
      </c>
      <c r="K790">
        <f t="shared" si="73"/>
        <v>23</v>
      </c>
      <c r="L790" t="e">
        <v>#N/A</v>
      </c>
      <c r="M790">
        <v>33072.545269579998</v>
      </c>
      <c r="N790" s="7">
        <v>13</v>
      </c>
      <c r="O790" s="7">
        <v>31</v>
      </c>
      <c r="P790" s="7">
        <v>5</v>
      </c>
      <c r="Q790" s="7">
        <v>5</v>
      </c>
      <c r="R790" s="7">
        <f t="shared" si="74"/>
        <v>54</v>
      </c>
      <c r="S790" t="e">
        <v>#N/A</v>
      </c>
      <c r="T790" s="7">
        <v>13</v>
      </c>
      <c r="U790" s="7">
        <v>31</v>
      </c>
      <c r="V790" s="7">
        <v>5</v>
      </c>
      <c r="W790" s="7">
        <v>5</v>
      </c>
      <c r="X790" s="7">
        <f t="shared" si="75"/>
        <v>54</v>
      </c>
      <c r="Y790" t="e">
        <v>#N/A</v>
      </c>
      <c r="Z790">
        <v>44429.181218309997</v>
      </c>
      <c r="AA790" t="s">
        <v>437</v>
      </c>
      <c r="AB790">
        <v>54</v>
      </c>
      <c r="AC790">
        <v>0</v>
      </c>
      <c r="AD790" t="s">
        <v>119</v>
      </c>
      <c r="AE790" t="s">
        <v>41</v>
      </c>
      <c r="AF790">
        <v>255</v>
      </c>
      <c r="AG790" s="8">
        <v>0</v>
      </c>
      <c r="AH790">
        <v>0</v>
      </c>
      <c r="AI790">
        <v>25</v>
      </c>
      <c r="AJ790">
        <v>-6</v>
      </c>
      <c r="AK790" t="e">
        <v>#N/A</v>
      </c>
      <c r="AL790" t="e">
        <v>#N/A</v>
      </c>
      <c r="AM790">
        <v>31</v>
      </c>
      <c r="AN790">
        <v>0</v>
      </c>
      <c r="AO790">
        <v>0</v>
      </c>
      <c r="AP790">
        <v>0</v>
      </c>
      <c r="AQ790">
        <v>0.13793103448275862</v>
      </c>
      <c r="AR790">
        <v>0.34482758620689657</v>
      </c>
      <c r="AS790">
        <v>0.51724137931034486</v>
      </c>
      <c r="AT790">
        <v>0</v>
      </c>
      <c r="AU790">
        <v>77501.726487890002</v>
      </c>
      <c r="AV790">
        <v>8</v>
      </c>
      <c r="AW790">
        <f t="shared" si="76"/>
        <v>0</v>
      </c>
      <c r="AX790">
        <v>0</v>
      </c>
      <c r="AY790">
        <f t="shared" si="77"/>
        <v>0</v>
      </c>
      <c r="AZ790">
        <v>0</v>
      </c>
      <c r="BA790">
        <v>1</v>
      </c>
      <c r="BB790">
        <v>2020</v>
      </c>
      <c r="BC790">
        <v>9</v>
      </c>
      <c r="BD790">
        <v>2020</v>
      </c>
      <c r="BE790">
        <v>1</v>
      </c>
      <c r="BF790">
        <v>2020</v>
      </c>
    </row>
    <row r="791" spans="1:58" x14ac:dyDescent="0.2">
      <c r="A791" s="7">
        <v>9</v>
      </c>
      <c r="B791" s="7">
        <v>15</v>
      </c>
      <c r="C791" s="7">
        <v>0</v>
      </c>
      <c r="D791" s="7">
        <v>4</v>
      </c>
      <c r="E791" s="7">
        <f t="shared" si="72"/>
        <v>28</v>
      </c>
      <c r="F791" s="11" t="e">
        <v>#N/A</v>
      </c>
      <c r="G791">
        <v>4</v>
      </c>
      <c r="H791">
        <v>8</v>
      </c>
      <c r="I791">
        <v>0</v>
      </c>
      <c r="J791">
        <v>0</v>
      </c>
      <c r="K791">
        <f t="shared" si="73"/>
        <v>12</v>
      </c>
      <c r="L791" t="e">
        <v>#N/A</v>
      </c>
      <c r="M791">
        <v>68216.742038540004</v>
      </c>
      <c r="N791" s="7">
        <v>9</v>
      </c>
      <c r="O791" s="7">
        <v>18</v>
      </c>
      <c r="P791" s="7">
        <v>0</v>
      </c>
      <c r="Q791" s="7">
        <v>5</v>
      </c>
      <c r="R791" s="7">
        <f t="shared" si="74"/>
        <v>32</v>
      </c>
      <c r="S791" t="e">
        <v>#N/A</v>
      </c>
      <c r="T791" s="7">
        <v>9</v>
      </c>
      <c r="U791" s="7">
        <v>18</v>
      </c>
      <c r="V791" s="7">
        <v>0</v>
      </c>
      <c r="W791" s="7">
        <v>5</v>
      </c>
      <c r="X791" s="7">
        <f t="shared" si="75"/>
        <v>32</v>
      </c>
      <c r="Y791" t="e">
        <v>#N/A</v>
      </c>
      <c r="Z791">
        <v>77089.548104189991</v>
      </c>
      <c r="AA791" t="s">
        <v>438</v>
      </c>
      <c r="AB791">
        <v>46</v>
      </c>
      <c r="AC791">
        <v>457</v>
      </c>
      <c r="AD791" t="s">
        <v>258</v>
      </c>
      <c r="AE791" t="s">
        <v>41</v>
      </c>
      <c r="AF791">
        <v>304</v>
      </c>
      <c r="AG791" s="8">
        <v>0</v>
      </c>
      <c r="AH791">
        <v>0</v>
      </c>
      <c r="AI791">
        <v>4</v>
      </c>
      <c r="AJ791">
        <v>-16</v>
      </c>
      <c r="AK791" t="e">
        <v>#N/A</v>
      </c>
      <c r="AL791" t="e">
        <v>#N/A</v>
      </c>
      <c r="AM791">
        <v>20</v>
      </c>
      <c r="AN791">
        <v>0</v>
      </c>
      <c r="AO791">
        <v>0</v>
      </c>
      <c r="AP791">
        <v>0</v>
      </c>
      <c r="AQ791">
        <v>0.14285714285714285</v>
      </c>
      <c r="AR791">
        <v>0.32142857142857145</v>
      </c>
      <c r="AS791">
        <v>0.5357142857142857</v>
      </c>
      <c r="AT791">
        <v>0</v>
      </c>
      <c r="AU791">
        <v>145306.29014272999</v>
      </c>
      <c r="AV791">
        <v>21</v>
      </c>
      <c r="AW791">
        <f t="shared" si="76"/>
        <v>1</v>
      </c>
      <c r="AX791">
        <v>457</v>
      </c>
      <c r="AY791">
        <f t="shared" si="77"/>
        <v>1</v>
      </c>
      <c r="AZ791">
        <v>1.5032894736842106</v>
      </c>
      <c r="BA791">
        <v>1</v>
      </c>
      <c r="BB791">
        <v>2020</v>
      </c>
      <c r="BC791">
        <v>11</v>
      </c>
      <c r="BD791">
        <v>2020</v>
      </c>
      <c r="BE791">
        <v>1</v>
      </c>
      <c r="BF791">
        <v>2020</v>
      </c>
    </row>
    <row r="792" spans="1:58" x14ac:dyDescent="0.2">
      <c r="A792" s="7">
        <v>1</v>
      </c>
      <c r="B792" s="7">
        <v>2</v>
      </c>
      <c r="C792" s="7">
        <v>0</v>
      </c>
      <c r="D792" s="7">
        <v>0</v>
      </c>
      <c r="E792" s="7">
        <f t="shared" si="72"/>
        <v>3</v>
      </c>
      <c r="F792" s="11" t="e">
        <v>#N/A</v>
      </c>
      <c r="G792">
        <v>2</v>
      </c>
      <c r="H792">
        <v>9</v>
      </c>
      <c r="I792">
        <v>0</v>
      </c>
      <c r="J792">
        <v>0</v>
      </c>
      <c r="K792">
        <f t="shared" si="73"/>
        <v>11</v>
      </c>
      <c r="L792" t="e">
        <v>#N/A</v>
      </c>
      <c r="M792">
        <v>144742.93905252</v>
      </c>
      <c r="N792" s="7">
        <v>5</v>
      </c>
      <c r="O792" s="7">
        <v>6</v>
      </c>
      <c r="P792" s="7">
        <v>0</v>
      </c>
      <c r="Q792" s="7">
        <v>0</v>
      </c>
      <c r="R792" s="7">
        <f t="shared" si="74"/>
        <v>11</v>
      </c>
      <c r="S792" t="e">
        <v>#N/A</v>
      </c>
      <c r="T792" s="7">
        <v>5</v>
      </c>
      <c r="U792" s="7">
        <v>6</v>
      </c>
      <c r="V792" s="7">
        <v>0</v>
      </c>
      <c r="W792" s="7">
        <v>0</v>
      </c>
      <c r="X792" s="7">
        <f t="shared" si="75"/>
        <v>11</v>
      </c>
      <c r="Y792" t="e">
        <v>#N/A</v>
      </c>
      <c r="Z792">
        <v>53693.936454349998</v>
      </c>
      <c r="AA792" t="s">
        <v>439</v>
      </c>
      <c r="AB792">
        <v>68</v>
      </c>
      <c r="AC792">
        <v>1417</v>
      </c>
      <c r="AD792" t="s">
        <v>440</v>
      </c>
      <c r="AE792" t="s">
        <v>75</v>
      </c>
      <c r="AF792">
        <v>249</v>
      </c>
      <c r="AG792" s="8">
        <v>0</v>
      </c>
      <c r="AH792">
        <v>0</v>
      </c>
      <c r="AI792">
        <v>8</v>
      </c>
      <c r="AJ792">
        <v>8</v>
      </c>
      <c r="AK792" t="e">
        <v>#N/A</v>
      </c>
      <c r="AL792" t="e">
        <v>#N/A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0.33333333333333331</v>
      </c>
      <c r="AS792">
        <v>0.66666666666666663</v>
      </c>
      <c r="AT792">
        <v>0</v>
      </c>
      <c r="AU792">
        <v>198436.87550686998</v>
      </c>
      <c r="AV792">
        <v>31</v>
      </c>
      <c r="AW792">
        <f t="shared" si="76"/>
        <v>1</v>
      </c>
      <c r="AX792">
        <v>1417</v>
      </c>
      <c r="AY792">
        <f t="shared" si="77"/>
        <v>1</v>
      </c>
      <c r="AZ792">
        <v>5.690763052208835</v>
      </c>
      <c r="BA792">
        <v>1</v>
      </c>
      <c r="BB792">
        <v>2020</v>
      </c>
      <c r="BC792">
        <v>9</v>
      </c>
      <c r="BD792">
        <v>2020</v>
      </c>
      <c r="BE792">
        <v>1</v>
      </c>
      <c r="BF792">
        <v>2020</v>
      </c>
    </row>
    <row r="793" spans="1:58" x14ac:dyDescent="0.2">
      <c r="A793" s="7">
        <v>10</v>
      </c>
      <c r="B793" s="7">
        <v>13</v>
      </c>
      <c r="C793" s="7">
        <v>0</v>
      </c>
      <c r="D793" s="7">
        <v>2</v>
      </c>
      <c r="E793" s="7">
        <f t="shared" si="72"/>
        <v>25</v>
      </c>
      <c r="F793" s="11" t="e">
        <v>#N/A</v>
      </c>
      <c r="G793">
        <v>8</v>
      </c>
      <c r="H793">
        <v>11</v>
      </c>
      <c r="I793">
        <v>0</v>
      </c>
      <c r="J793">
        <v>0</v>
      </c>
      <c r="K793">
        <f t="shared" si="73"/>
        <v>19</v>
      </c>
      <c r="L793" t="e">
        <v>#N/A</v>
      </c>
      <c r="M793">
        <v>49751.362278850007</v>
      </c>
      <c r="N793" s="7">
        <v>10</v>
      </c>
      <c r="O793" s="7">
        <v>21</v>
      </c>
      <c r="P793" s="7">
        <v>8</v>
      </c>
      <c r="Q793" s="7">
        <v>4</v>
      </c>
      <c r="R793" s="7">
        <f t="shared" si="74"/>
        <v>43</v>
      </c>
      <c r="S793" t="e">
        <v>#N/A</v>
      </c>
      <c r="T793" s="7">
        <v>10</v>
      </c>
      <c r="U793" s="7">
        <v>21</v>
      </c>
      <c r="V793" s="7">
        <v>8</v>
      </c>
      <c r="W793" s="7">
        <v>4</v>
      </c>
      <c r="X793" s="7">
        <f t="shared" si="75"/>
        <v>43</v>
      </c>
      <c r="Y793" t="e">
        <v>#N/A</v>
      </c>
      <c r="Z793">
        <v>73975.117456739987</v>
      </c>
      <c r="AA793" t="s">
        <v>441</v>
      </c>
      <c r="AB793">
        <v>38</v>
      </c>
      <c r="AC793">
        <v>21</v>
      </c>
      <c r="AD793" t="s">
        <v>258</v>
      </c>
      <c r="AE793" t="s">
        <v>41</v>
      </c>
      <c r="AF793">
        <v>248</v>
      </c>
      <c r="AG793" s="8">
        <v>0</v>
      </c>
      <c r="AH793">
        <v>0</v>
      </c>
      <c r="AI793">
        <v>18</v>
      </c>
      <c r="AJ793">
        <v>-6</v>
      </c>
      <c r="AK793" t="e">
        <v>#N/A</v>
      </c>
      <c r="AL793" t="e">
        <v>#N/A</v>
      </c>
      <c r="AM793">
        <v>24</v>
      </c>
      <c r="AN793">
        <v>0</v>
      </c>
      <c r="AO793">
        <v>0</v>
      </c>
      <c r="AP793">
        <v>0</v>
      </c>
      <c r="AQ793">
        <v>0.08</v>
      </c>
      <c r="AR793">
        <v>0.4</v>
      </c>
      <c r="AS793">
        <v>0.52</v>
      </c>
      <c r="AT793">
        <v>0</v>
      </c>
      <c r="AU793">
        <v>123726.47973558999</v>
      </c>
      <c r="AV793">
        <v>21</v>
      </c>
      <c r="AW793">
        <f t="shared" si="76"/>
        <v>1</v>
      </c>
      <c r="AX793">
        <v>21</v>
      </c>
      <c r="AY793">
        <f t="shared" si="77"/>
        <v>1</v>
      </c>
      <c r="AZ793">
        <v>8.4677419354838704E-2</v>
      </c>
      <c r="BA793">
        <v>1</v>
      </c>
      <c r="BB793">
        <v>2020</v>
      </c>
      <c r="BC793">
        <v>9</v>
      </c>
      <c r="BD793">
        <v>2020</v>
      </c>
      <c r="BE793">
        <v>1</v>
      </c>
      <c r="BF793">
        <v>2020</v>
      </c>
    </row>
    <row r="794" spans="1:58" x14ac:dyDescent="0.2">
      <c r="A794" s="7">
        <v>0</v>
      </c>
      <c r="B794" s="7">
        <v>0</v>
      </c>
      <c r="C794" s="7">
        <v>0</v>
      </c>
      <c r="D794" s="7">
        <v>0</v>
      </c>
      <c r="E794" s="7">
        <f t="shared" si="72"/>
        <v>0</v>
      </c>
      <c r="F794" s="11" t="e">
        <v>#N/A</v>
      </c>
      <c r="G794">
        <v>7</v>
      </c>
      <c r="H794">
        <v>13</v>
      </c>
      <c r="I794">
        <v>0</v>
      </c>
      <c r="J794">
        <v>0</v>
      </c>
      <c r="K794">
        <f t="shared" si="73"/>
        <v>20</v>
      </c>
      <c r="L794" t="e">
        <v>#N/A</v>
      </c>
      <c r="M794">
        <v>58332.822075329997</v>
      </c>
      <c r="N794" s="7">
        <v>6</v>
      </c>
      <c r="O794" s="7">
        <v>8</v>
      </c>
      <c r="P794" s="7">
        <v>1</v>
      </c>
      <c r="Q794" s="7">
        <v>2</v>
      </c>
      <c r="R794" s="7">
        <f t="shared" si="74"/>
        <v>17</v>
      </c>
      <c r="S794" t="e">
        <v>#N/A</v>
      </c>
      <c r="T794" s="7">
        <v>6</v>
      </c>
      <c r="U794" s="7">
        <v>8</v>
      </c>
      <c r="V794" s="7">
        <v>1</v>
      </c>
      <c r="W794" s="7">
        <v>2</v>
      </c>
      <c r="X794" s="7">
        <f t="shared" si="75"/>
        <v>17</v>
      </c>
      <c r="Y794" t="e">
        <v>#N/A</v>
      </c>
      <c r="Z794">
        <v>65506.886685099998</v>
      </c>
      <c r="AA794" t="s">
        <v>442</v>
      </c>
      <c r="AB794">
        <v>50</v>
      </c>
      <c r="AC794">
        <v>290</v>
      </c>
      <c r="AD794" t="s">
        <v>119</v>
      </c>
      <c r="AE794" t="s">
        <v>41</v>
      </c>
      <c r="AF794">
        <v>29</v>
      </c>
      <c r="AG794" s="8">
        <v>0</v>
      </c>
      <c r="AH794">
        <v>0</v>
      </c>
      <c r="AI794">
        <v>17</v>
      </c>
      <c r="AJ794">
        <v>20</v>
      </c>
      <c r="AK794" t="e">
        <v>#N/A</v>
      </c>
      <c r="AL794" t="e">
        <v>#N/A</v>
      </c>
      <c r="AM794">
        <v>-3</v>
      </c>
      <c r="AN794">
        <v>1</v>
      </c>
      <c r="AO794">
        <v>0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>
        <v>123839.70876042999</v>
      </c>
      <c r="AV794">
        <v>11</v>
      </c>
      <c r="AW794">
        <f t="shared" si="76"/>
        <v>1</v>
      </c>
      <c r="AX794">
        <v>290</v>
      </c>
      <c r="AY794">
        <f t="shared" si="77"/>
        <v>1</v>
      </c>
      <c r="AZ794">
        <v>10</v>
      </c>
      <c r="BA794">
        <v>9</v>
      </c>
      <c r="BB794">
        <v>2020</v>
      </c>
      <c r="BC794">
        <v>10</v>
      </c>
      <c r="BD794">
        <v>2020</v>
      </c>
      <c r="BE794">
        <v>1</v>
      </c>
      <c r="BF794">
        <v>2020</v>
      </c>
    </row>
    <row r="795" spans="1:58" x14ac:dyDescent="0.2">
      <c r="A795" s="7">
        <v>6</v>
      </c>
      <c r="B795" s="7">
        <v>19</v>
      </c>
      <c r="C795" s="7">
        <v>7</v>
      </c>
      <c r="D795" s="7">
        <v>2</v>
      </c>
      <c r="E795" s="7">
        <f t="shared" si="72"/>
        <v>34</v>
      </c>
      <c r="F795" s="11" t="e">
        <v>#N/A</v>
      </c>
      <c r="G795">
        <v>6</v>
      </c>
      <c r="H795">
        <v>19</v>
      </c>
      <c r="I795">
        <v>4</v>
      </c>
      <c r="J795">
        <v>0</v>
      </c>
      <c r="K795">
        <f t="shared" si="73"/>
        <v>29</v>
      </c>
      <c r="L795" t="e">
        <v>#N/A</v>
      </c>
      <c r="M795">
        <v>42047.743115899997</v>
      </c>
      <c r="N795" s="7">
        <v>16</v>
      </c>
      <c r="O795" s="7">
        <v>25</v>
      </c>
      <c r="P795" s="7">
        <v>7</v>
      </c>
      <c r="Q795" s="7">
        <v>5</v>
      </c>
      <c r="R795" s="7">
        <f t="shared" si="74"/>
        <v>53</v>
      </c>
      <c r="S795" t="e">
        <v>#N/A</v>
      </c>
      <c r="T795" s="7">
        <v>16</v>
      </c>
      <c r="U795" s="7">
        <v>34</v>
      </c>
      <c r="V795" s="7">
        <v>9</v>
      </c>
      <c r="W795" s="7">
        <v>10</v>
      </c>
      <c r="X795" s="7">
        <f t="shared" si="75"/>
        <v>69</v>
      </c>
      <c r="Y795" t="e">
        <v>#N/A</v>
      </c>
      <c r="Z795">
        <v>33060.283879019997</v>
      </c>
      <c r="AA795" t="s">
        <v>443</v>
      </c>
      <c r="AB795">
        <v>73</v>
      </c>
      <c r="AC795">
        <v>98</v>
      </c>
      <c r="AD795" t="s">
        <v>254</v>
      </c>
      <c r="AE795" t="s">
        <v>75</v>
      </c>
      <c r="AF795">
        <v>255</v>
      </c>
      <c r="AG795" s="8">
        <v>306</v>
      </c>
      <c r="AH795">
        <v>16</v>
      </c>
      <c r="AI795">
        <v>35</v>
      </c>
      <c r="AJ795">
        <v>-5</v>
      </c>
      <c r="AK795">
        <v>5.2287581699346407E-2</v>
      </c>
      <c r="AL795">
        <v>0.91465912076004718</v>
      </c>
      <c r="AM795">
        <v>24</v>
      </c>
      <c r="AN795">
        <v>0</v>
      </c>
      <c r="AO795">
        <v>0.30188679245283018</v>
      </c>
      <c r="AP795">
        <v>0.47058823529411764</v>
      </c>
      <c r="AQ795">
        <v>5.8823529411764705E-2</v>
      </c>
      <c r="AR795">
        <v>0.17647058823529413</v>
      </c>
      <c r="AS795">
        <v>0.55882352941176472</v>
      </c>
      <c r="AT795">
        <v>0.20588235294117646</v>
      </c>
      <c r="AU795">
        <v>75108.026994919986</v>
      </c>
      <c r="AV795">
        <v>10</v>
      </c>
      <c r="AW795">
        <f t="shared" si="76"/>
        <v>1</v>
      </c>
      <c r="AX795">
        <v>98</v>
      </c>
      <c r="AY795">
        <f t="shared" si="77"/>
        <v>1</v>
      </c>
      <c r="AZ795">
        <v>0.3843137254901961</v>
      </c>
      <c r="BA795">
        <v>1</v>
      </c>
      <c r="BB795">
        <v>2020</v>
      </c>
      <c r="BC795">
        <v>9</v>
      </c>
      <c r="BD795">
        <v>2020</v>
      </c>
      <c r="BE795">
        <v>1</v>
      </c>
      <c r="BF795">
        <v>2020</v>
      </c>
    </row>
    <row r="796" spans="1:58" x14ac:dyDescent="0.2">
      <c r="A796" s="7">
        <v>14</v>
      </c>
      <c r="B796" s="7">
        <v>11</v>
      </c>
      <c r="C796" s="7">
        <v>5</v>
      </c>
      <c r="D796" s="7">
        <v>5</v>
      </c>
      <c r="E796" s="7">
        <f t="shared" si="72"/>
        <v>35</v>
      </c>
      <c r="F796" s="11" t="e">
        <v>#N/A</v>
      </c>
      <c r="G796">
        <v>11</v>
      </c>
      <c r="H796">
        <v>19</v>
      </c>
      <c r="I796">
        <v>0</v>
      </c>
      <c r="J796">
        <v>0</v>
      </c>
      <c r="K796">
        <f t="shared" si="73"/>
        <v>30</v>
      </c>
      <c r="L796" t="e">
        <v>#N/A</v>
      </c>
      <c r="M796">
        <v>41536.14406993</v>
      </c>
      <c r="N796" s="7">
        <v>17</v>
      </c>
      <c r="O796" s="7">
        <v>31</v>
      </c>
      <c r="P796" s="7">
        <v>6</v>
      </c>
      <c r="Q796" s="7">
        <v>6</v>
      </c>
      <c r="R796" s="7">
        <f t="shared" si="74"/>
        <v>60</v>
      </c>
      <c r="S796" t="e">
        <v>#N/A</v>
      </c>
      <c r="T796" s="7">
        <v>17</v>
      </c>
      <c r="U796" s="7">
        <v>31</v>
      </c>
      <c r="V796" s="7">
        <v>6</v>
      </c>
      <c r="W796" s="7">
        <v>6</v>
      </c>
      <c r="X796" s="7">
        <f t="shared" si="75"/>
        <v>60</v>
      </c>
      <c r="Y796" t="e">
        <v>#N/A</v>
      </c>
      <c r="Z796">
        <v>50909.669344150003</v>
      </c>
      <c r="AA796" t="s">
        <v>444</v>
      </c>
      <c r="AB796">
        <v>29</v>
      </c>
      <c r="AC796">
        <v>0</v>
      </c>
      <c r="AD796" t="s">
        <v>260</v>
      </c>
      <c r="AE796" t="s">
        <v>41</v>
      </c>
      <c r="AF796">
        <v>223</v>
      </c>
      <c r="AG796" s="8">
        <v>0</v>
      </c>
      <c r="AH796">
        <v>0</v>
      </c>
      <c r="AI796">
        <v>25</v>
      </c>
      <c r="AJ796">
        <v>-5</v>
      </c>
      <c r="AK796" t="e">
        <v>#N/A</v>
      </c>
      <c r="AL796" t="e">
        <v>#N/A</v>
      </c>
      <c r="AM796">
        <v>30</v>
      </c>
      <c r="AN796">
        <v>0</v>
      </c>
      <c r="AO796">
        <v>0</v>
      </c>
      <c r="AP796">
        <v>0</v>
      </c>
      <c r="AQ796">
        <v>0.14285714285714285</v>
      </c>
      <c r="AR796">
        <v>0.4</v>
      </c>
      <c r="AS796">
        <v>0.31428571428571428</v>
      </c>
      <c r="AT796">
        <v>0.14285714285714285</v>
      </c>
      <c r="AU796">
        <v>92445.81341408001</v>
      </c>
      <c r="AV796">
        <v>8</v>
      </c>
      <c r="AW796">
        <f t="shared" si="76"/>
        <v>0</v>
      </c>
      <c r="AX796">
        <v>0</v>
      </c>
      <c r="AY796">
        <f t="shared" si="77"/>
        <v>0</v>
      </c>
      <c r="AZ796">
        <v>0</v>
      </c>
      <c r="BA796">
        <v>2</v>
      </c>
      <c r="BB796">
        <v>2020</v>
      </c>
      <c r="BC796">
        <v>9</v>
      </c>
      <c r="BD796">
        <v>2020</v>
      </c>
      <c r="BE796">
        <v>1</v>
      </c>
      <c r="BF796">
        <v>2020</v>
      </c>
    </row>
    <row r="797" spans="1:58" x14ac:dyDescent="0.2">
      <c r="A797" s="7">
        <v>6</v>
      </c>
      <c r="B797" s="7">
        <v>8</v>
      </c>
      <c r="C797" s="7">
        <v>0</v>
      </c>
      <c r="D797" s="7">
        <v>0</v>
      </c>
      <c r="E797" s="7">
        <f t="shared" si="72"/>
        <v>14</v>
      </c>
      <c r="F797" s="11" t="e">
        <v>#N/A</v>
      </c>
      <c r="G797">
        <v>6</v>
      </c>
      <c r="H797">
        <v>8</v>
      </c>
      <c r="I797">
        <v>0</v>
      </c>
      <c r="J797">
        <v>0</v>
      </c>
      <c r="K797">
        <f t="shared" si="73"/>
        <v>14</v>
      </c>
      <c r="L797" t="e">
        <v>#N/A</v>
      </c>
      <c r="M797">
        <v>29960.422461509999</v>
      </c>
      <c r="N797" s="7">
        <v>7</v>
      </c>
      <c r="O797" s="7">
        <v>17</v>
      </c>
      <c r="P797" s="7">
        <v>0</v>
      </c>
      <c r="Q797" s="7">
        <v>5</v>
      </c>
      <c r="R797" s="7">
        <f t="shared" si="74"/>
        <v>29</v>
      </c>
      <c r="S797" t="e">
        <v>#N/A</v>
      </c>
      <c r="T797" s="7">
        <v>7</v>
      </c>
      <c r="U797" s="7">
        <v>17</v>
      </c>
      <c r="V797" s="7">
        <v>0</v>
      </c>
      <c r="W797" s="7">
        <v>5</v>
      </c>
      <c r="X797" s="7">
        <f t="shared" si="75"/>
        <v>29</v>
      </c>
      <c r="Y797" t="e">
        <v>#N/A</v>
      </c>
      <c r="Z797">
        <v>59168.584418240003</v>
      </c>
      <c r="AA797" t="s">
        <v>445</v>
      </c>
      <c r="AB797">
        <v>71</v>
      </c>
      <c r="AC797">
        <v>0</v>
      </c>
      <c r="AD797" t="s">
        <v>446</v>
      </c>
      <c r="AE797" t="s">
        <v>41</v>
      </c>
      <c r="AF797">
        <v>263</v>
      </c>
      <c r="AG797" s="8">
        <v>0</v>
      </c>
      <c r="AH797">
        <v>0</v>
      </c>
      <c r="AI797">
        <v>15</v>
      </c>
      <c r="AJ797">
        <v>0</v>
      </c>
      <c r="AK797" t="e">
        <v>#N/A</v>
      </c>
      <c r="AL797" t="e">
        <v>#N/A</v>
      </c>
      <c r="AM797">
        <v>15</v>
      </c>
      <c r="AN797">
        <v>0</v>
      </c>
      <c r="AO797">
        <v>0</v>
      </c>
      <c r="AP797">
        <v>0</v>
      </c>
      <c r="AQ797">
        <v>0</v>
      </c>
      <c r="AR797">
        <v>0.42857142857142855</v>
      </c>
      <c r="AS797">
        <v>0.5714285714285714</v>
      </c>
      <c r="AT797">
        <v>0</v>
      </c>
      <c r="AU797">
        <v>89129.006879749999</v>
      </c>
      <c r="AV797">
        <v>30</v>
      </c>
      <c r="AW797">
        <f t="shared" si="76"/>
        <v>1</v>
      </c>
      <c r="AX797">
        <v>0</v>
      </c>
      <c r="AY797">
        <f t="shared" si="77"/>
        <v>0</v>
      </c>
      <c r="AZ797">
        <v>0</v>
      </c>
      <c r="BA797">
        <v>1</v>
      </c>
      <c r="BB797">
        <v>2020</v>
      </c>
      <c r="BC797">
        <v>9</v>
      </c>
      <c r="BD797">
        <v>2020</v>
      </c>
      <c r="BE797">
        <v>1</v>
      </c>
      <c r="BF797">
        <v>2020</v>
      </c>
    </row>
    <row r="798" spans="1:58" x14ac:dyDescent="0.2">
      <c r="A798" s="7">
        <v>0</v>
      </c>
      <c r="B798" s="7">
        <v>10</v>
      </c>
      <c r="C798" s="7">
        <v>0</v>
      </c>
      <c r="D798" s="7">
        <v>0</v>
      </c>
      <c r="E798" s="7">
        <f t="shared" si="72"/>
        <v>10</v>
      </c>
      <c r="F798" s="11" t="e">
        <v>#N/A</v>
      </c>
      <c r="G798">
        <v>0</v>
      </c>
      <c r="H798">
        <v>10</v>
      </c>
      <c r="I798">
        <v>0</v>
      </c>
      <c r="J798">
        <v>0</v>
      </c>
      <c r="K798">
        <f t="shared" si="73"/>
        <v>10</v>
      </c>
      <c r="L798" t="e">
        <v>#N/A</v>
      </c>
      <c r="M798">
        <v>58533.656295829998</v>
      </c>
      <c r="N798" s="7">
        <v>4</v>
      </c>
      <c r="O798" s="7">
        <v>10</v>
      </c>
      <c r="P798" s="7">
        <v>0</v>
      </c>
      <c r="Q798" s="7">
        <v>3</v>
      </c>
      <c r="R798" s="7">
        <f t="shared" si="74"/>
        <v>17</v>
      </c>
      <c r="S798" t="e">
        <v>#N/A</v>
      </c>
      <c r="T798" s="7">
        <v>4</v>
      </c>
      <c r="U798" s="7">
        <v>10</v>
      </c>
      <c r="V798" s="7">
        <v>0</v>
      </c>
      <c r="W798" s="7">
        <v>3</v>
      </c>
      <c r="X798" s="7">
        <f t="shared" si="75"/>
        <v>17</v>
      </c>
      <c r="Y798" t="e">
        <v>#N/A</v>
      </c>
      <c r="Z798">
        <v>69010.33168646002</v>
      </c>
      <c r="AA798" t="s">
        <v>447</v>
      </c>
      <c r="AB798">
        <v>56</v>
      </c>
      <c r="AC798">
        <v>0</v>
      </c>
      <c r="AD798" t="s">
        <v>248</v>
      </c>
      <c r="AE798" t="s">
        <v>41</v>
      </c>
      <c r="AF798">
        <v>257</v>
      </c>
      <c r="AG798" s="8">
        <v>0</v>
      </c>
      <c r="AH798">
        <v>0</v>
      </c>
      <c r="AI798">
        <v>7</v>
      </c>
      <c r="AJ798">
        <v>0</v>
      </c>
      <c r="AK798" t="e">
        <v>#N/A</v>
      </c>
      <c r="AL798" t="e">
        <v>#N/A</v>
      </c>
      <c r="AM798">
        <v>7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127543.98798229001</v>
      </c>
      <c r="AV798">
        <v>12</v>
      </c>
      <c r="AW798">
        <f t="shared" si="76"/>
        <v>1</v>
      </c>
      <c r="AX798">
        <v>0</v>
      </c>
      <c r="AY798">
        <f t="shared" si="77"/>
        <v>0</v>
      </c>
      <c r="AZ798">
        <v>0</v>
      </c>
      <c r="BA798">
        <v>1</v>
      </c>
      <c r="BB798">
        <v>2020</v>
      </c>
      <c r="BC798">
        <v>9</v>
      </c>
      <c r="BD798">
        <v>2020</v>
      </c>
      <c r="BE798">
        <v>1</v>
      </c>
      <c r="BF798">
        <v>2020</v>
      </c>
    </row>
    <row r="799" spans="1:58" x14ac:dyDescent="0.2">
      <c r="A799" s="7">
        <v>3</v>
      </c>
      <c r="B799" s="7">
        <v>11</v>
      </c>
      <c r="C799" s="7">
        <v>0</v>
      </c>
      <c r="D799" s="7">
        <v>0</v>
      </c>
      <c r="E799" s="7">
        <f t="shared" si="72"/>
        <v>14</v>
      </c>
      <c r="F799" s="11" t="e">
        <v>#N/A</v>
      </c>
      <c r="G799">
        <v>0</v>
      </c>
      <c r="H799">
        <v>4</v>
      </c>
      <c r="I799">
        <v>0</v>
      </c>
      <c r="J799">
        <v>0</v>
      </c>
      <c r="K799">
        <f t="shared" si="73"/>
        <v>4</v>
      </c>
      <c r="L799" t="e">
        <v>#N/A</v>
      </c>
      <c r="M799">
        <v>49222.431547679997</v>
      </c>
      <c r="N799" s="7">
        <v>12</v>
      </c>
      <c r="O799" s="7">
        <v>12</v>
      </c>
      <c r="P799" s="7">
        <v>0</v>
      </c>
      <c r="Q799" s="7">
        <v>3</v>
      </c>
      <c r="R799" s="7">
        <f t="shared" si="74"/>
        <v>27</v>
      </c>
      <c r="S799" t="e">
        <v>#N/A</v>
      </c>
      <c r="T799" s="7">
        <v>12</v>
      </c>
      <c r="U799" s="7">
        <v>12</v>
      </c>
      <c r="V799" s="7">
        <v>0</v>
      </c>
      <c r="W799" s="7">
        <v>3</v>
      </c>
      <c r="X799" s="7">
        <f t="shared" si="75"/>
        <v>27</v>
      </c>
      <c r="Y799" t="e">
        <v>#N/A</v>
      </c>
      <c r="Z799">
        <v>68167.212137480019</v>
      </c>
      <c r="AA799" t="s">
        <v>448</v>
      </c>
      <c r="AB799">
        <v>64</v>
      </c>
      <c r="AC799">
        <v>313</v>
      </c>
      <c r="AD799" t="s">
        <v>131</v>
      </c>
      <c r="AE799" t="s">
        <v>41</v>
      </c>
      <c r="AF799">
        <v>231</v>
      </c>
      <c r="AG799" s="8">
        <v>0</v>
      </c>
      <c r="AH799">
        <v>0</v>
      </c>
      <c r="AI799">
        <v>13</v>
      </c>
      <c r="AJ799">
        <v>-10</v>
      </c>
      <c r="AK799" t="e">
        <v>#N/A</v>
      </c>
      <c r="AL799" t="e">
        <v>#N/A</v>
      </c>
      <c r="AM799">
        <v>23</v>
      </c>
      <c r="AN799">
        <v>0</v>
      </c>
      <c r="AO799">
        <v>0</v>
      </c>
      <c r="AP799">
        <v>0</v>
      </c>
      <c r="AQ799">
        <v>0</v>
      </c>
      <c r="AR799">
        <v>0.21428571428571427</v>
      </c>
      <c r="AS799">
        <v>0.7857142857142857</v>
      </c>
      <c r="AT799">
        <v>0</v>
      </c>
      <c r="AU799">
        <v>117389.64368516002</v>
      </c>
      <c r="AV799">
        <v>17</v>
      </c>
      <c r="AW799">
        <f t="shared" si="76"/>
        <v>1</v>
      </c>
      <c r="AX799">
        <v>313</v>
      </c>
      <c r="AY799">
        <f t="shared" si="77"/>
        <v>1</v>
      </c>
      <c r="AZ799">
        <v>1.3549783549783549</v>
      </c>
      <c r="BA799">
        <v>2</v>
      </c>
      <c r="BB799">
        <v>2020</v>
      </c>
      <c r="BC799">
        <v>9</v>
      </c>
      <c r="BD799">
        <v>2020</v>
      </c>
      <c r="BE799">
        <v>1</v>
      </c>
      <c r="BF799">
        <v>2020</v>
      </c>
    </row>
    <row r="800" spans="1:58" x14ac:dyDescent="0.2">
      <c r="A800" s="7">
        <v>0</v>
      </c>
      <c r="B800" s="7">
        <v>10</v>
      </c>
      <c r="C800" s="7">
        <v>0</v>
      </c>
      <c r="D800" s="7">
        <v>0</v>
      </c>
      <c r="E800" s="7">
        <f t="shared" si="72"/>
        <v>10</v>
      </c>
      <c r="F800" s="11" t="e">
        <v>#N/A</v>
      </c>
      <c r="G800">
        <v>0</v>
      </c>
      <c r="H800">
        <v>10</v>
      </c>
      <c r="I800">
        <v>0</v>
      </c>
      <c r="J800">
        <v>0</v>
      </c>
      <c r="K800">
        <f t="shared" si="73"/>
        <v>10</v>
      </c>
      <c r="L800" t="e">
        <v>#N/A</v>
      </c>
      <c r="M800">
        <v>39585.162486809997</v>
      </c>
      <c r="N800" s="7">
        <v>5</v>
      </c>
      <c r="O800" s="7">
        <v>18</v>
      </c>
      <c r="P800" s="7">
        <v>0</v>
      </c>
      <c r="Q800" s="7">
        <v>0</v>
      </c>
      <c r="R800" s="7">
        <f t="shared" si="74"/>
        <v>23</v>
      </c>
      <c r="S800" t="e">
        <v>#N/A</v>
      </c>
      <c r="T800" s="7">
        <v>5</v>
      </c>
      <c r="U800" s="7">
        <v>18</v>
      </c>
      <c r="V800" s="7">
        <v>0</v>
      </c>
      <c r="W800" s="7">
        <v>0</v>
      </c>
      <c r="X800" s="7">
        <f t="shared" si="75"/>
        <v>23</v>
      </c>
      <c r="Y800" t="e">
        <v>#N/A</v>
      </c>
      <c r="Z800">
        <v>55341.612031019999</v>
      </c>
      <c r="AA800" t="s">
        <v>449</v>
      </c>
      <c r="AB800">
        <v>61</v>
      </c>
      <c r="AC800">
        <v>0</v>
      </c>
      <c r="AD800" t="s">
        <v>254</v>
      </c>
      <c r="AE800" t="s">
        <v>41</v>
      </c>
      <c r="AF800">
        <v>260</v>
      </c>
      <c r="AG800" s="8">
        <v>0</v>
      </c>
      <c r="AH800">
        <v>0</v>
      </c>
      <c r="AI800">
        <v>13</v>
      </c>
      <c r="AJ800">
        <v>0</v>
      </c>
      <c r="AK800" t="e">
        <v>#N/A</v>
      </c>
      <c r="AL800" t="e">
        <v>#N/A</v>
      </c>
      <c r="AM800">
        <v>13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0</v>
      </c>
      <c r="AU800">
        <v>94926.774517829996</v>
      </c>
      <c r="AV800">
        <v>8</v>
      </c>
      <c r="AW800">
        <f t="shared" si="76"/>
        <v>0</v>
      </c>
      <c r="AX800">
        <v>0</v>
      </c>
      <c r="AY800">
        <f t="shared" si="77"/>
        <v>0</v>
      </c>
      <c r="AZ800">
        <v>0</v>
      </c>
      <c r="BA800">
        <v>1</v>
      </c>
      <c r="BB800">
        <v>2020</v>
      </c>
      <c r="BC800">
        <v>9</v>
      </c>
      <c r="BD800">
        <v>2020</v>
      </c>
      <c r="BE800">
        <v>1</v>
      </c>
      <c r="BF800">
        <v>2020</v>
      </c>
    </row>
    <row r="801" spans="1:58" x14ac:dyDescent="0.2">
      <c r="A801" s="7">
        <v>11</v>
      </c>
      <c r="B801" s="7">
        <v>30</v>
      </c>
      <c r="C801" s="7">
        <v>4</v>
      </c>
      <c r="D801" s="7">
        <v>5</v>
      </c>
      <c r="E801" s="7">
        <f t="shared" si="72"/>
        <v>50</v>
      </c>
      <c r="F801" s="11" t="s">
        <v>36</v>
      </c>
      <c r="G801">
        <v>7</v>
      </c>
      <c r="H801">
        <v>19</v>
      </c>
      <c r="I801">
        <v>0</v>
      </c>
      <c r="J801">
        <v>0</v>
      </c>
      <c r="K801">
        <f t="shared" si="73"/>
        <v>26</v>
      </c>
      <c r="L801" t="s">
        <v>36</v>
      </c>
      <c r="M801">
        <v>23793.528915899999</v>
      </c>
      <c r="N801" s="7">
        <v>10</v>
      </c>
      <c r="O801" s="7">
        <v>30</v>
      </c>
      <c r="P801" s="7">
        <v>4</v>
      </c>
      <c r="Q801" s="7">
        <v>5</v>
      </c>
      <c r="R801" s="7">
        <f t="shared" si="74"/>
        <v>49</v>
      </c>
      <c r="S801" t="s">
        <v>36</v>
      </c>
      <c r="T801" s="7">
        <v>10</v>
      </c>
      <c r="U801" s="7">
        <v>30</v>
      </c>
      <c r="V801" s="7">
        <v>4</v>
      </c>
      <c r="W801" s="7">
        <v>5</v>
      </c>
      <c r="X801" s="7">
        <f t="shared" si="75"/>
        <v>49</v>
      </c>
      <c r="Y801" t="s">
        <v>36</v>
      </c>
      <c r="Z801">
        <v>56470.642774030013</v>
      </c>
      <c r="AA801" t="s">
        <v>450</v>
      </c>
      <c r="AB801">
        <v>71</v>
      </c>
      <c r="AC801">
        <v>0</v>
      </c>
      <c r="AD801" t="s">
        <v>451</v>
      </c>
      <c r="AE801" t="s">
        <v>41</v>
      </c>
      <c r="AF801">
        <v>181</v>
      </c>
      <c r="AG801" s="8">
        <v>0</v>
      </c>
      <c r="AH801">
        <v>0</v>
      </c>
      <c r="AI801">
        <v>-1</v>
      </c>
      <c r="AJ801">
        <v>-24</v>
      </c>
      <c r="AK801" t="e">
        <v>#N/A</v>
      </c>
      <c r="AL801" t="e">
        <v>#N/A</v>
      </c>
      <c r="AM801">
        <v>23</v>
      </c>
      <c r="AN801">
        <v>0</v>
      </c>
      <c r="AO801">
        <v>0</v>
      </c>
      <c r="AP801">
        <v>0</v>
      </c>
      <c r="AQ801">
        <v>0.1</v>
      </c>
      <c r="AR801">
        <v>0.22</v>
      </c>
      <c r="AS801">
        <v>0.6</v>
      </c>
      <c r="AT801">
        <v>0.08</v>
      </c>
      <c r="AU801">
        <v>80264.171689930008</v>
      </c>
      <c r="AV801">
        <v>11</v>
      </c>
      <c r="AW801">
        <f t="shared" si="76"/>
        <v>1</v>
      </c>
      <c r="AX801">
        <v>0</v>
      </c>
      <c r="AY801">
        <f t="shared" si="77"/>
        <v>0</v>
      </c>
      <c r="AZ801">
        <v>0</v>
      </c>
      <c r="BA801">
        <v>1</v>
      </c>
      <c r="BB801">
        <v>2020</v>
      </c>
      <c r="BC801">
        <v>7</v>
      </c>
      <c r="BD801">
        <v>2020</v>
      </c>
      <c r="BE801">
        <v>1</v>
      </c>
      <c r="BF801">
        <v>2020</v>
      </c>
    </row>
    <row r="802" spans="1:58" x14ac:dyDescent="0.2">
      <c r="A802" s="7">
        <v>0</v>
      </c>
      <c r="B802" s="7">
        <v>0</v>
      </c>
      <c r="C802" s="7">
        <v>0</v>
      </c>
      <c r="D802" s="7">
        <v>0</v>
      </c>
      <c r="E802" s="7">
        <f t="shared" si="72"/>
        <v>0</v>
      </c>
      <c r="F802" s="11" t="e">
        <v>#N/A</v>
      </c>
      <c r="G802">
        <v>0</v>
      </c>
      <c r="H802">
        <v>0</v>
      </c>
      <c r="I802">
        <v>0</v>
      </c>
      <c r="J802">
        <v>0</v>
      </c>
      <c r="K802">
        <f t="shared" si="73"/>
        <v>0</v>
      </c>
      <c r="L802" t="e">
        <v>#N/A</v>
      </c>
      <c r="M802">
        <v>82924.183400590016</v>
      </c>
      <c r="N802" s="7">
        <v>0</v>
      </c>
      <c r="O802" s="7">
        <v>0</v>
      </c>
      <c r="P802" s="7">
        <v>0</v>
      </c>
      <c r="Q802" s="7">
        <v>0</v>
      </c>
      <c r="R802" s="7">
        <f t="shared" si="74"/>
        <v>0</v>
      </c>
      <c r="S802" t="e">
        <v>#N/A</v>
      </c>
      <c r="T802" s="7">
        <v>0</v>
      </c>
      <c r="U802" s="7">
        <v>0</v>
      </c>
      <c r="V802" s="7">
        <v>0</v>
      </c>
      <c r="W802" s="7">
        <v>0</v>
      </c>
      <c r="X802" s="7">
        <f t="shared" si="75"/>
        <v>0</v>
      </c>
      <c r="Y802" t="e">
        <v>#N/A</v>
      </c>
      <c r="Z802">
        <v>58424.928036849997</v>
      </c>
      <c r="AA802" t="s">
        <v>452</v>
      </c>
      <c r="AB802">
        <v>61</v>
      </c>
      <c r="AC802">
        <v>917</v>
      </c>
      <c r="AD802" t="s">
        <v>254</v>
      </c>
      <c r="AE802" t="s">
        <v>41</v>
      </c>
      <c r="AF802">
        <v>30</v>
      </c>
      <c r="AG802" s="8">
        <v>0</v>
      </c>
      <c r="AH802">
        <v>0</v>
      </c>
      <c r="AI802">
        <v>0</v>
      </c>
      <c r="AJ802">
        <v>0</v>
      </c>
      <c r="AK802" t="e">
        <v>#N/A</v>
      </c>
      <c r="AL802" t="e">
        <v>#N/A</v>
      </c>
      <c r="AM802">
        <v>0</v>
      </c>
      <c r="AN802">
        <v>0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>
        <v>141349.11143744001</v>
      </c>
      <c r="AV802">
        <v>30</v>
      </c>
      <c r="AW802">
        <f t="shared" si="76"/>
        <v>1</v>
      </c>
      <c r="AX802">
        <v>917</v>
      </c>
      <c r="AY802">
        <f t="shared" si="77"/>
        <v>1</v>
      </c>
      <c r="AZ802">
        <v>30.566666666666666</v>
      </c>
      <c r="BA802">
        <v>1</v>
      </c>
      <c r="BB802">
        <v>2020</v>
      </c>
      <c r="BC802">
        <v>2</v>
      </c>
      <c r="BD802">
        <v>2020</v>
      </c>
      <c r="BE802">
        <v>1</v>
      </c>
      <c r="BF802">
        <v>2020</v>
      </c>
    </row>
    <row r="803" spans="1:58" x14ac:dyDescent="0.2">
      <c r="A803" s="7">
        <v>13</v>
      </c>
      <c r="B803" s="7">
        <v>34</v>
      </c>
      <c r="C803" s="7">
        <v>3</v>
      </c>
      <c r="D803" s="7">
        <v>3</v>
      </c>
      <c r="E803" s="7">
        <f t="shared" si="72"/>
        <v>53</v>
      </c>
      <c r="F803" s="11" t="e">
        <v>#N/A</v>
      </c>
      <c r="G803">
        <v>13</v>
      </c>
      <c r="H803">
        <v>19</v>
      </c>
      <c r="I803">
        <v>2</v>
      </c>
      <c r="J803">
        <v>0</v>
      </c>
      <c r="K803">
        <f t="shared" si="73"/>
        <v>34</v>
      </c>
      <c r="L803" t="e">
        <v>#N/A</v>
      </c>
      <c r="M803">
        <v>21538.589387240001</v>
      </c>
      <c r="N803" s="7">
        <v>15</v>
      </c>
      <c r="O803" s="7">
        <v>34</v>
      </c>
      <c r="P803" s="7">
        <v>5</v>
      </c>
      <c r="Q803" s="7">
        <v>6</v>
      </c>
      <c r="R803" s="7">
        <f t="shared" si="74"/>
        <v>60</v>
      </c>
      <c r="S803" t="e">
        <v>#N/A</v>
      </c>
      <c r="T803" s="7">
        <v>15</v>
      </c>
      <c r="U803" s="7">
        <v>34</v>
      </c>
      <c r="V803" s="7">
        <v>5</v>
      </c>
      <c r="W803" s="7">
        <v>6</v>
      </c>
      <c r="X803" s="7">
        <f t="shared" si="75"/>
        <v>60</v>
      </c>
      <c r="Y803" t="e">
        <v>#N/A</v>
      </c>
      <c r="Z803">
        <v>39366.809470239998</v>
      </c>
      <c r="AA803" t="s">
        <v>453</v>
      </c>
      <c r="AB803">
        <v>53</v>
      </c>
      <c r="AC803">
        <v>0</v>
      </c>
      <c r="AD803" t="s">
        <v>454</v>
      </c>
      <c r="AE803" t="s">
        <v>41</v>
      </c>
      <c r="AF803">
        <v>284</v>
      </c>
      <c r="AG803" s="8">
        <v>0</v>
      </c>
      <c r="AH803">
        <v>0</v>
      </c>
      <c r="AI803">
        <v>7</v>
      </c>
      <c r="AJ803">
        <v>-19</v>
      </c>
      <c r="AK803" t="e">
        <v>#N/A</v>
      </c>
      <c r="AL803" t="e">
        <v>#N/A</v>
      </c>
      <c r="AM803">
        <v>26</v>
      </c>
      <c r="AN803">
        <v>0</v>
      </c>
      <c r="AO803">
        <v>0</v>
      </c>
      <c r="AP803">
        <v>0</v>
      </c>
      <c r="AQ803">
        <v>5.6603773584905662E-2</v>
      </c>
      <c r="AR803">
        <v>0.24528301886792453</v>
      </c>
      <c r="AS803">
        <v>0.64150943396226412</v>
      </c>
      <c r="AT803">
        <v>5.6603773584905662E-2</v>
      </c>
      <c r="AU803">
        <v>60905.398857480002</v>
      </c>
      <c r="AV803">
        <v>8</v>
      </c>
      <c r="AW803">
        <f t="shared" si="76"/>
        <v>0</v>
      </c>
      <c r="AX803">
        <v>0</v>
      </c>
      <c r="AY803">
        <f t="shared" si="77"/>
        <v>0</v>
      </c>
      <c r="AZ803">
        <v>0</v>
      </c>
      <c r="BA803">
        <v>1</v>
      </c>
      <c r="BB803">
        <v>2020</v>
      </c>
      <c r="BC803">
        <v>10</v>
      </c>
      <c r="BD803">
        <v>2020</v>
      </c>
      <c r="BE803">
        <v>1</v>
      </c>
      <c r="BF803">
        <v>2020</v>
      </c>
    </row>
    <row r="804" spans="1:58" x14ac:dyDescent="0.2">
      <c r="A804" s="7">
        <v>9</v>
      </c>
      <c r="B804" s="7">
        <v>18</v>
      </c>
      <c r="C804" s="7">
        <v>0</v>
      </c>
      <c r="D804" s="7">
        <v>0</v>
      </c>
      <c r="E804" s="7">
        <f t="shared" si="72"/>
        <v>27</v>
      </c>
      <c r="F804" s="11" t="e">
        <v>#N/A</v>
      </c>
      <c r="G804">
        <v>9</v>
      </c>
      <c r="H804">
        <v>18</v>
      </c>
      <c r="I804">
        <v>0</v>
      </c>
      <c r="J804">
        <v>0</v>
      </c>
      <c r="K804">
        <f t="shared" si="73"/>
        <v>27</v>
      </c>
      <c r="L804" t="e">
        <v>#N/A</v>
      </c>
      <c r="M804">
        <v>37675.552148850002</v>
      </c>
      <c r="N804" s="7">
        <v>13</v>
      </c>
      <c r="O804" s="7">
        <v>26</v>
      </c>
      <c r="P804" s="7">
        <v>3</v>
      </c>
      <c r="Q804" s="7">
        <v>5</v>
      </c>
      <c r="R804" s="7">
        <f t="shared" si="74"/>
        <v>47</v>
      </c>
      <c r="S804" t="s">
        <v>42</v>
      </c>
      <c r="T804" s="7">
        <v>13</v>
      </c>
      <c r="U804" s="7">
        <v>26</v>
      </c>
      <c r="V804" s="7">
        <v>3</v>
      </c>
      <c r="W804" s="7">
        <v>5</v>
      </c>
      <c r="X804" s="7">
        <f t="shared" si="75"/>
        <v>47</v>
      </c>
      <c r="Y804" t="s">
        <v>42</v>
      </c>
      <c r="Z804">
        <v>28382.179251969999</v>
      </c>
      <c r="AA804" t="s">
        <v>455</v>
      </c>
      <c r="AB804">
        <v>17</v>
      </c>
      <c r="AC804">
        <v>0</v>
      </c>
      <c r="AD804" t="s">
        <v>241</v>
      </c>
      <c r="AE804" t="s">
        <v>41</v>
      </c>
      <c r="AF804" t="e">
        <v>#N/A</v>
      </c>
      <c r="AG804" s="8">
        <v>0</v>
      </c>
      <c r="AH804">
        <v>0</v>
      </c>
      <c r="AI804">
        <v>20</v>
      </c>
      <c r="AJ804">
        <v>0</v>
      </c>
      <c r="AK804" t="e">
        <v>#N/A</v>
      </c>
      <c r="AL804" t="e">
        <v>#N/A</v>
      </c>
      <c r="AM804">
        <v>20</v>
      </c>
      <c r="AN804">
        <v>0</v>
      </c>
      <c r="AO804">
        <v>0</v>
      </c>
      <c r="AP804">
        <v>0</v>
      </c>
      <c r="AQ804">
        <v>0</v>
      </c>
      <c r="AR804">
        <v>0.33333333333333331</v>
      </c>
      <c r="AS804">
        <v>0.66666666666666663</v>
      </c>
      <c r="AT804">
        <v>0</v>
      </c>
      <c r="AU804">
        <v>66057.731400820005</v>
      </c>
      <c r="AV804">
        <v>8</v>
      </c>
      <c r="AW804">
        <f t="shared" si="76"/>
        <v>0</v>
      </c>
      <c r="AX804">
        <v>0</v>
      </c>
      <c r="AY804">
        <f t="shared" si="77"/>
        <v>0</v>
      </c>
      <c r="AZ804" t="e">
        <v>#N/A</v>
      </c>
      <c r="BA804">
        <v>1</v>
      </c>
      <c r="BB804">
        <v>2020</v>
      </c>
      <c r="BC804">
        <v>1</v>
      </c>
      <c r="BD804">
        <v>2020</v>
      </c>
      <c r="BE804">
        <v>1</v>
      </c>
      <c r="BF804">
        <v>2020</v>
      </c>
    </row>
    <row r="805" spans="1:58" x14ac:dyDescent="0.2">
      <c r="A805" s="7">
        <v>6</v>
      </c>
      <c r="B805" s="7">
        <v>15</v>
      </c>
      <c r="C805" s="7">
        <v>0</v>
      </c>
      <c r="D805" s="7">
        <v>0</v>
      </c>
      <c r="E805" s="7">
        <f t="shared" si="72"/>
        <v>21</v>
      </c>
      <c r="F805" s="11" t="e">
        <v>#N/A</v>
      </c>
      <c r="G805">
        <v>6</v>
      </c>
      <c r="H805">
        <v>15</v>
      </c>
      <c r="I805">
        <v>0</v>
      </c>
      <c r="J805">
        <v>0</v>
      </c>
      <c r="K805">
        <f t="shared" si="73"/>
        <v>21</v>
      </c>
      <c r="L805" t="e">
        <v>#N/A</v>
      </c>
      <c r="M805">
        <v>33388.733690679997</v>
      </c>
      <c r="N805" s="7">
        <v>10</v>
      </c>
      <c r="O805" s="7">
        <v>25</v>
      </c>
      <c r="P805" s="7">
        <v>2</v>
      </c>
      <c r="Q805" s="7">
        <v>4</v>
      </c>
      <c r="R805" s="7">
        <f t="shared" si="74"/>
        <v>41</v>
      </c>
      <c r="S805" t="e">
        <v>#N/A</v>
      </c>
      <c r="T805" s="7">
        <v>10</v>
      </c>
      <c r="U805" s="7">
        <v>25</v>
      </c>
      <c r="V805" s="7">
        <v>2</v>
      </c>
      <c r="W805" s="7">
        <v>4</v>
      </c>
      <c r="X805" s="7">
        <f t="shared" si="75"/>
        <v>41</v>
      </c>
      <c r="Y805" t="e">
        <v>#N/A</v>
      </c>
      <c r="Z805">
        <v>32527.35728185</v>
      </c>
      <c r="AA805" t="s">
        <v>456</v>
      </c>
      <c r="AB805">
        <v>58</v>
      </c>
      <c r="AC805">
        <v>0</v>
      </c>
      <c r="AD805" t="s">
        <v>254</v>
      </c>
      <c r="AE805" t="s">
        <v>41</v>
      </c>
      <c r="AF805" t="e">
        <v>#N/A</v>
      </c>
      <c r="AG805" s="8">
        <v>0</v>
      </c>
      <c r="AH805">
        <v>0</v>
      </c>
      <c r="AI805">
        <v>20</v>
      </c>
      <c r="AJ805">
        <v>0</v>
      </c>
      <c r="AK805" t="e">
        <v>#N/A</v>
      </c>
      <c r="AL805" t="e">
        <v>#N/A</v>
      </c>
      <c r="AM805">
        <v>20</v>
      </c>
      <c r="AN805">
        <v>0</v>
      </c>
      <c r="AO805">
        <v>0</v>
      </c>
      <c r="AP805">
        <v>0</v>
      </c>
      <c r="AQ805">
        <v>0</v>
      </c>
      <c r="AR805">
        <v>0.2857142857142857</v>
      </c>
      <c r="AS805">
        <v>0.7142857142857143</v>
      </c>
      <c r="AT805">
        <v>0</v>
      </c>
      <c r="AU805">
        <v>65916.090972530001</v>
      </c>
      <c r="AV805">
        <v>6</v>
      </c>
      <c r="AW805">
        <f t="shared" si="76"/>
        <v>0</v>
      </c>
      <c r="AX805">
        <v>0</v>
      </c>
      <c r="AY805">
        <f t="shared" si="77"/>
        <v>0</v>
      </c>
      <c r="AZ805" t="e">
        <v>#N/A</v>
      </c>
      <c r="BA805">
        <v>1</v>
      </c>
      <c r="BB805">
        <v>2020</v>
      </c>
      <c r="BC805">
        <v>1</v>
      </c>
      <c r="BD805">
        <v>2020</v>
      </c>
      <c r="BE805">
        <v>1</v>
      </c>
      <c r="BF805">
        <v>2020</v>
      </c>
    </row>
    <row r="806" spans="1:58" x14ac:dyDescent="0.2">
      <c r="A806" s="7">
        <v>6</v>
      </c>
      <c r="B806" s="7">
        <v>11</v>
      </c>
      <c r="C806" s="7">
        <v>0</v>
      </c>
      <c r="D806" s="7">
        <v>0</v>
      </c>
      <c r="E806" s="7">
        <f t="shared" si="72"/>
        <v>17</v>
      </c>
      <c r="F806" s="11" t="e">
        <v>#N/A</v>
      </c>
      <c r="G806">
        <v>6</v>
      </c>
      <c r="H806">
        <v>11</v>
      </c>
      <c r="I806">
        <v>0</v>
      </c>
      <c r="J806">
        <v>0</v>
      </c>
      <c r="K806">
        <f t="shared" si="73"/>
        <v>17</v>
      </c>
      <c r="L806" t="e">
        <v>#N/A</v>
      </c>
      <c r="M806">
        <v>48799.48742392</v>
      </c>
      <c r="N806" s="7">
        <v>10</v>
      </c>
      <c r="O806" s="7">
        <v>11</v>
      </c>
      <c r="P806" s="7">
        <v>0</v>
      </c>
      <c r="Q806" s="7">
        <v>0</v>
      </c>
      <c r="R806" s="7">
        <f t="shared" si="74"/>
        <v>21</v>
      </c>
      <c r="S806" t="e">
        <v>#N/A</v>
      </c>
      <c r="T806" s="7">
        <v>10</v>
      </c>
      <c r="U806" s="7">
        <v>11</v>
      </c>
      <c r="V806" s="7">
        <v>0</v>
      </c>
      <c r="W806" s="7">
        <v>0</v>
      </c>
      <c r="X806" s="7">
        <f t="shared" si="75"/>
        <v>21</v>
      </c>
      <c r="Y806" t="e">
        <v>#N/A</v>
      </c>
      <c r="Z806">
        <v>17706.204819139999</v>
      </c>
      <c r="AA806" t="s">
        <v>457</v>
      </c>
      <c r="AB806">
        <v>69</v>
      </c>
      <c r="AC806">
        <v>360</v>
      </c>
      <c r="AD806" t="s">
        <v>119</v>
      </c>
      <c r="AE806" t="s">
        <v>41</v>
      </c>
      <c r="AF806" t="e">
        <v>#N/A</v>
      </c>
      <c r="AG806" s="8">
        <v>0</v>
      </c>
      <c r="AH806">
        <v>0</v>
      </c>
      <c r="AI806">
        <v>4</v>
      </c>
      <c r="AJ806">
        <v>0</v>
      </c>
      <c r="AK806" t="e">
        <v>#N/A</v>
      </c>
      <c r="AL806" t="e">
        <v>#N/A</v>
      </c>
      <c r="AM806">
        <v>4</v>
      </c>
      <c r="AN806">
        <v>0</v>
      </c>
      <c r="AO806">
        <v>0</v>
      </c>
      <c r="AP806">
        <v>0</v>
      </c>
      <c r="AQ806">
        <v>0</v>
      </c>
      <c r="AR806">
        <v>0.35294117647058826</v>
      </c>
      <c r="AS806">
        <v>0.6470588235294118</v>
      </c>
      <c r="AT806">
        <v>0</v>
      </c>
      <c r="AU806">
        <v>66505.692243059995</v>
      </c>
      <c r="AV806">
        <v>25</v>
      </c>
      <c r="AW806">
        <f t="shared" si="76"/>
        <v>1</v>
      </c>
      <c r="AX806">
        <v>360</v>
      </c>
      <c r="AY806">
        <f t="shared" si="77"/>
        <v>1</v>
      </c>
      <c r="AZ806" t="e">
        <v>#N/A</v>
      </c>
      <c r="BA806">
        <v>1</v>
      </c>
      <c r="BB806">
        <v>2020</v>
      </c>
      <c r="BC806">
        <v>1</v>
      </c>
      <c r="BD806">
        <v>2020</v>
      </c>
      <c r="BE806">
        <v>1</v>
      </c>
      <c r="BF806">
        <v>2020</v>
      </c>
    </row>
    <row r="807" spans="1:58" x14ac:dyDescent="0.2">
      <c r="A807" s="7">
        <v>11</v>
      </c>
      <c r="B807" s="7">
        <v>26</v>
      </c>
      <c r="C807" s="7">
        <v>4</v>
      </c>
      <c r="D807" s="7">
        <v>5</v>
      </c>
      <c r="E807" s="7">
        <f t="shared" si="72"/>
        <v>46</v>
      </c>
      <c r="F807" s="11" t="s">
        <v>36</v>
      </c>
      <c r="G807">
        <v>10</v>
      </c>
      <c r="H807">
        <v>10</v>
      </c>
      <c r="I807">
        <v>2</v>
      </c>
      <c r="J807">
        <v>5</v>
      </c>
      <c r="K807">
        <f t="shared" si="73"/>
        <v>27</v>
      </c>
      <c r="L807" t="s">
        <v>36</v>
      </c>
      <c r="M807">
        <v>28789.381880919998</v>
      </c>
      <c r="N807" s="7">
        <v>0</v>
      </c>
      <c r="O807" s="7">
        <v>0</v>
      </c>
      <c r="P807" s="7">
        <v>0</v>
      </c>
      <c r="Q807" s="7">
        <v>0</v>
      </c>
      <c r="R807" s="7">
        <f t="shared" si="74"/>
        <v>0</v>
      </c>
      <c r="S807" t="e">
        <v>#N/A</v>
      </c>
      <c r="T807" s="7">
        <v>0</v>
      </c>
      <c r="U807" s="7">
        <v>0</v>
      </c>
      <c r="V807" s="7">
        <v>0</v>
      </c>
      <c r="W807" s="7">
        <v>0</v>
      </c>
      <c r="X807" s="7">
        <f t="shared" si="75"/>
        <v>0</v>
      </c>
      <c r="Y807" t="e">
        <v>#N/A</v>
      </c>
      <c r="AA807" t="s">
        <v>458</v>
      </c>
      <c r="AB807">
        <v>36</v>
      </c>
      <c r="AC807">
        <v>0</v>
      </c>
      <c r="AD807" t="s">
        <v>260</v>
      </c>
      <c r="AE807" t="s">
        <v>41</v>
      </c>
      <c r="AF807">
        <v>151</v>
      </c>
      <c r="AG807" s="8"/>
      <c r="AH807">
        <v>0</v>
      </c>
      <c r="AI807">
        <v>-46</v>
      </c>
      <c r="AJ807">
        <v>-19</v>
      </c>
      <c r="AK807" t="e">
        <v>#N/A</v>
      </c>
      <c r="AL807" t="e">
        <v>#N/A</v>
      </c>
      <c r="AM807">
        <v>-27</v>
      </c>
      <c r="AN807">
        <v>1</v>
      </c>
      <c r="AO807" t="e">
        <v>#N/A</v>
      </c>
      <c r="AP807">
        <v>0</v>
      </c>
      <c r="AQ807">
        <v>0.10869565217391304</v>
      </c>
      <c r="AR807">
        <v>0.2391304347826087</v>
      </c>
      <c r="AS807">
        <v>0.56521739130434778</v>
      </c>
      <c r="AT807">
        <v>8.6956521739130432E-2</v>
      </c>
      <c r="AU807">
        <v>28789.381880919998</v>
      </c>
      <c r="AV807">
        <v>9</v>
      </c>
      <c r="AW807">
        <f t="shared" si="76"/>
        <v>0</v>
      </c>
      <c r="AX807">
        <v>0</v>
      </c>
      <c r="AY807">
        <f t="shared" si="77"/>
        <v>0</v>
      </c>
      <c r="AZ807">
        <v>0</v>
      </c>
      <c r="BA807">
        <v>1</v>
      </c>
      <c r="BB807">
        <v>2020</v>
      </c>
      <c r="BC807">
        <v>6</v>
      </c>
      <c r="BD807">
        <v>2020</v>
      </c>
      <c r="BE807" t="e">
        <v>#N/A</v>
      </c>
      <c r="BF807" t="e">
        <v>#N/A</v>
      </c>
    </row>
    <row r="808" spans="1:58" x14ac:dyDescent="0.2">
      <c r="A808" s="7">
        <v>9</v>
      </c>
      <c r="B808" s="7">
        <v>8</v>
      </c>
      <c r="C808" s="7">
        <v>0</v>
      </c>
      <c r="D808" s="7">
        <v>0</v>
      </c>
      <c r="E808" s="7">
        <f t="shared" si="72"/>
        <v>17</v>
      </c>
      <c r="F808" s="11" t="e">
        <v>#N/A</v>
      </c>
      <c r="G808">
        <v>9</v>
      </c>
      <c r="H808">
        <v>8</v>
      </c>
      <c r="I808">
        <v>0</v>
      </c>
      <c r="J808">
        <v>0</v>
      </c>
      <c r="K808">
        <f t="shared" si="73"/>
        <v>17</v>
      </c>
      <c r="L808" t="e">
        <v>#N/A</v>
      </c>
      <c r="M808">
        <v>22750.114258549998</v>
      </c>
      <c r="N808" s="7">
        <v>9</v>
      </c>
      <c r="O808" s="7">
        <v>10</v>
      </c>
      <c r="P808" s="7">
        <v>3</v>
      </c>
      <c r="Q808" s="7">
        <v>5</v>
      </c>
      <c r="R808" s="7">
        <f t="shared" si="74"/>
        <v>27</v>
      </c>
      <c r="S808" t="e">
        <v>#N/A</v>
      </c>
      <c r="T808" s="7">
        <v>9</v>
      </c>
      <c r="U808" s="7">
        <v>10</v>
      </c>
      <c r="V808" s="7">
        <v>3</v>
      </c>
      <c r="W808" s="7">
        <v>5</v>
      </c>
      <c r="X808" s="7">
        <f t="shared" si="75"/>
        <v>27</v>
      </c>
      <c r="Y808" t="e">
        <v>#N/A</v>
      </c>
      <c r="Z808">
        <v>42733.682398280012</v>
      </c>
      <c r="AA808" t="s">
        <v>459</v>
      </c>
      <c r="AB808">
        <v>20</v>
      </c>
      <c r="AC808">
        <v>0</v>
      </c>
      <c r="AD808" t="s">
        <v>358</v>
      </c>
      <c r="AE808" t="s">
        <v>75</v>
      </c>
      <c r="AF808" t="e">
        <v>#N/A</v>
      </c>
      <c r="AG808" s="8">
        <v>0</v>
      </c>
      <c r="AH808">
        <v>0</v>
      </c>
      <c r="AI808">
        <v>10</v>
      </c>
      <c r="AJ808">
        <v>0</v>
      </c>
      <c r="AK808" t="e">
        <v>#N/A</v>
      </c>
      <c r="AL808" t="e">
        <v>#N/A</v>
      </c>
      <c r="AM808">
        <v>10</v>
      </c>
      <c r="AN808">
        <v>0</v>
      </c>
      <c r="AO808">
        <v>0</v>
      </c>
      <c r="AP808">
        <v>0</v>
      </c>
      <c r="AQ808">
        <v>0</v>
      </c>
      <c r="AR808">
        <v>0.52941176470588236</v>
      </c>
      <c r="AS808">
        <v>0.47058823529411764</v>
      </c>
      <c r="AT808">
        <v>0</v>
      </c>
      <c r="AU808">
        <v>65483.796656830011</v>
      </c>
      <c r="AV808">
        <v>18</v>
      </c>
      <c r="AW808">
        <f t="shared" si="76"/>
        <v>1</v>
      </c>
      <c r="AX808">
        <v>0</v>
      </c>
      <c r="AY808">
        <f t="shared" si="77"/>
        <v>0</v>
      </c>
      <c r="AZ808" t="e">
        <v>#N/A</v>
      </c>
      <c r="BA808">
        <v>10</v>
      </c>
      <c r="BB808">
        <v>2020</v>
      </c>
      <c r="BC808">
        <v>10</v>
      </c>
      <c r="BD808">
        <v>2020</v>
      </c>
      <c r="BE808">
        <v>1</v>
      </c>
      <c r="BF808">
        <v>2020</v>
      </c>
    </row>
    <row r="809" spans="1:58" x14ac:dyDescent="0.2">
      <c r="A809" s="7">
        <v>3</v>
      </c>
      <c r="B809" s="7">
        <v>0</v>
      </c>
      <c r="C809" s="7">
        <v>0</v>
      </c>
      <c r="D809" s="7">
        <v>0</v>
      </c>
      <c r="E809" s="7">
        <f t="shared" si="72"/>
        <v>3</v>
      </c>
      <c r="F809" s="11" t="e">
        <v>#N/A</v>
      </c>
      <c r="G809">
        <v>3</v>
      </c>
      <c r="H809">
        <v>0</v>
      </c>
      <c r="I809">
        <v>0</v>
      </c>
      <c r="J809">
        <v>0</v>
      </c>
      <c r="K809">
        <f t="shared" si="73"/>
        <v>3</v>
      </c>
      <c r="L809" t="e">
        <v>#N/A</v>
      </c>
      <c r="M809">
        <v>66174.487749740016</v>
      </c>
      <c r="N809" s="7">
        <v>0</v>
      </c>
      <c r="O809" s="7">
        <v>0</v>
      </c>
      <c r="P809" s="7">
        <v>0</v>
      </c>
      <c r="Q809" s="7">
        <v>0</v>
      </c>
      <c r="R809" s="7">
        <f t="shared" si="74"/>
        <v>0</v>
      </c>
      <c r="S809" t="e">
        <v>#N/A</v>
      </c>
      <c r="T809" s="7">
        <v>0</v>
      </c>
      <c r="U809" s="7">
        <v>0</v>
      </c>
      <c r="V809" s="7">
        <v>0</v>
      </c>
      <c r="W809" s="7">
        <v>0</v>
      </c>
      <c r="X809" s="7">
        <f t="shared" si="75"/>
        <v>0</v>
      </c>
      <c r="Y809" t="e">
        <v>#N/A</v>
      </c>
      <c r="AA809" t="s">
        <v>460</v>
      </c>
      <c r="AB809">
        <v>76</v>
      </c>
      <c r="AC809">
        <v>481</v>
      </c>
      <c r="AD809" t="s">
        <v>249</v>
      </c>
      <c r="AE809" t="s">
        <v>75</v>
      </c>
      <c r="AF809">
        <v>90</v>
      </c>
      <c r="AG809" s="8"/>
      <c r="AH809">
        <v>0</v>
      </c>
      <c r="AI809">
        <v>-3</v>
      </c>
      <c r="AJ809">
        <v>0</v>
      </c>
      <c r="AK809" t="e">
        <v>#N/A</v>
      </c>
      <c r="AL809" t="e">
        <v>#N/A</v>
      </c>
      <c r="AM809">
        <v>-3</v>
      </c>
      <c r="AN809">
        <v>1</v>
      </c>
      <c r="AO809" t="e">
        <v>#N/A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66174.487749740016</v>
      </c>
      <c r="AV809">
        <v>28</v>
      </c>
      <c r="AW809">
        <f t="shared" si="76"/>
        <v>1</v>
      </c>
      <c r="AX809">
        <v>481</v>
      </c>
      <c r="AY809">
        <f t="shared" si="77"/>
        <v>1</v>
      </c>
      <c r="AZ809">
        <v>5.3444444444444441</v>
      </c>
      <c r="BA809">
        <v>1</v>
      </c>
      <c r="BB809">
        <v>2020</v>
      </c>
      <c r="BC809">
        <v>4</v>
      </c>
      <c r="BD809">
        <v>2020</v>
      </c>
      <c r="BE809" t="e">
        <v>#N/A</v>
      </c>
      <c r="BF809" t="e">
        <v>#N/A</v>
      </c>
    </row>
    <row r="810" spans="1:58" x14ac:dyDescent="0.2">
      <c r="A810" s="7">
        <v>0</v>
      </c>
      <c r="B810" s="7">
        <v>10</v>
      </c>
      <c r="C810" s="7">
        <v>0</v>
      </c>
      <c r="D810" s="7">
        <v>0</v>
      </c>
      <c r="E810" s="7">
        <f t="shared" si="72"/>
        <v>10</v>
      </c>
      <c r="F810" s="11" t="e">
        <v>#N/A</v>
      </c>
      <c r="G810">
        <v>0</v>
      </c>
      <c r="H810">
        <v>10</v>
      </c>
      <c r="I810">
        <v>0</v>
      </c>
      <c r="J810">
        <v>0</v>
      </c>
      <c r="K810">
        <f t="shared" si="73"/>
        <v>10</v>
      </c>
      <c r="L810" t="e">
        <v>#N/A</v>
      </c>
      <c r="M810">
        <v>50055.939368879997</v>
      </c>
      <c r="N810" s="7">
        <v>0</v>
      </c>
      <c r="O810" s="7">
        <v>0</v>
      </c>
      <c r="P810" s="7">
        <v>0</v>
      </c>
      <c r="Q810" s="7">
        <v>0</v>
      </c>
      <c r="R810" s="7">
        <f t="shared" si="74"/>
        <v>0</v>
      </c>
      <c r="S810" t="e">
        <v>#N/A</v>
      </c>
      <c r="T810" s="7">
        <v>0</v>
      </c>
      <c r="U810" s="7">
        <v>0</v>
      </c>
      <c r="V810" s="7">
        <v>0</v>
      </c>
      <c r="W810" s="7">
        <v>0</v>
      </c>
      <c r="X810" s="7">
        <f t="shared" si="75"/>
        <v>0</v>
      </c>
      <c r="Y810" t="e">
        <v>#N/A</v>
      </c>
      <c r="AA810" t="s">
        <v>461</v>
      </c>
      <c r="AB810">
        <v>20</v>
      </c>
      <c r="AC810">
        <v>242</v>
      </c>
      <c r="AD810" t="s">
        <v>205</v>
      </c>
      <c r="AE810" t="s">
        <v>41</v>
      </c>
      <c r="AF810">
        <v>309</v>
      </c>
      <c r="AG810" s="8"/>
      <c r="AH810">
        <v>0</v>
      </c>
      <c r="AI810">
        <v>-10</v>
      </c>
      <c r="AJ810">
        <v>0</v>
      </c>
      <c r="AK810" t="e">
        <v>#N/A</v>
      </c>
      <c r="AL810" t="e">
        <v>#N/A</v>
      </c>
      <c r="AM810">
        <v>-10</v>
      </c>
      <c r="AN810">
        <v>1</v>
      </c>
      <c r="AO810" t="e">
        <v>#N/A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50055.939368879997</v>
      </c>
      <c r="AV810">
        <v>13</v>
      </c>
      <c r="AW810">
        <f t="shared" si="76"/>
        <v>1</v>
      </c>
      <c r="AX810">
        <v>242</v>
      </c>
      <c r="AY810">
        <f t="shared" si="77"/>
        <v>1</v>
      </c>
      <c r="AZ810">
        <v>0.78317152103559873</v>
      </c>
      <c r="BA810">
        <v>1</v>
      </c>
      <c r="BB810">
        <v>2020</v>
      </c>
      <c r="BC810">
        <v>11</v>
      </c>
      <c r="BD810">
        <v>2020</v>
      </c>
      <c r="BE810" t="e">
        <v>#N/A</v>
      </c>
      <c r="BF810" t="e">
        <v>#N/A</v>
      </c>
    </row>
    <row r="811" spans="1:58" x14ac:dyDescent="0.2">
      <c r="A811" s="7">
        <v>3</v>
      </c>
      <c r="B811" s="7">
        <v>5</v>
      </c>
      <c r="C811" s="7">
        <v>0</v>
      </c>
      <c r="D811" s="7">
        <v>0</v>
      </c>
      <c r="E811" s="7">
        <f t="shared" si="72"/>
        <v>8</v>
      </c>
      <c r="F811" s="11" t="e">
        <v>#N/A</v>
      </c>
      <c r="G811">
        <v>4</v>
      </c>
      <c r="H811">
        <v>2</v>
      </c>
      <c r="I811">
        <v>0</v>
      </c>
      <c r="J811">
        <v>0</v>
      </c>
      <c r="K811">
        <f t="shared" si="73"/>
        <v>6</v>
      </c>
      <c r="L811" t="e">
        <v>#N/A</v>
      </c>
      <c r="M811">
        <v>52235.572497929999</v>
      </c>
      <c r="N811" s="7">
        <v>0</v>
      </c>
      <c r="O811" s="7">
        <v>0</v>
      </c>
      <c r="P811" s="7">
        <v>0</v>
      </c>
      <c r="Q811" s="7">
        <v>0</v>
      </c>
      <c r="R811" s="7">
        <f t="shared" si="74"/>
        <v>0</v>
      </c>
      <c r="S811" t="e">
        <v>#N/A</v>
      </c>
      <c r="T811" s="7">
        <v>0</v>
      </c>
      <c r="U811" s="7">
        <v>0</v>
      </c>
      <c r="V811" s="7">
        <v>0</v>
      </c>
      <c r="W811" s="7">
        <v>0</v>
      </c>
      <c r="X811" s="7">
        <f t="shared" si="75"/>
        <v>0</v>
      </c>
      <c r="Y811" t="e">
        <v>#N/A</v>
      </c>
      <c r="AA811" t="s">
        <v>462</v>
      </c>
      <c r="AB811">
        <v>72</v>
      </c>
      <c r="AC811">
        <v>335</v>
      </c>
      <c r="AD811" t="s">
        <v>254</v>
      </c>
      <c r="AE811" t="s">
        <v>41</v>
      </c>
      <c r="AF811">
        <v>151</v>
      </c>
      <c r="AG811" s="8"/>
      <c r="AH811">
        <v>0</v>
      </c>
      <c r="AI811">
        <v>-8</v>
      </c>
      <c r="AJ811">
        <v>-2</v>
      </c>
      <c r="AK811" t="e">
        <v>#N/A</v>
      </c>
      <c r="AL811" t="e">
        <v>#N/A</v>
      </c>
      <c r="AM811">
        <v>-6</v>
      </c>
      <c r="AN811">
        <v>1</v>
      </c>
      <c r="AO811" t="e">
        <v>#N/A</v>
      </c>
      <c r="AP811">
        <v>0</v>
      </c>
      <c r="AQ811">
        <v>0</v>
      </c>
      <c r="AR811">
        <v>0.375</v>
      </c>
      <c r="AS811">
        <v>0.625</v>
      </c>
      <c r="AT811">
        <v>0</v>
      </c>
      <c r="AU811">
        <v>52235.572497929999</v>
      </c>
      <c r="AV811">
        <v>13</v>
      </c>
      <c r="AW811">
        <f t="shared" si="76"/>
        <v>1</v>
      </c>
      <c r="AX811">
        <v>335</v>
      </c>
      <c r="AY811">
        <f t="shared" si="77"/>
        <v>1</v>
      </c>
      <c r="AZ811">
        <v>2.2185430463576159</v>
      </c>
      <c r="BA811">
        <v>1</v>
      </c>
      <c r="BB811">
        <v>2020</v>
      </c>
      <c r="BC811">
        <v>6</v>
      </c>
      <c r="BD811">
        <v>2020</v>
      </c>
      <c r="BE811" t="e">
        <v>#N/A</v>
      </c>
      <c r="BF811" t="e">
        <v>#N/A</v>
      </c>
    </row>
    <row r="812" spans="1:58" x14ac:dyDescent="0.2">
      <c r="A812" s="7">
        <v>10</v>
      </c>
      <c r="B812" s="7">
        <v>18</v>
      </c>
      <c r="C812" s="7">
        <v>0</v>
      </c>
      <c r="D812" s="7">
        <v>4</v>
      </c>
      <c r="E812" s="7">
        <f t="shared" si="72"/>
        <v>32</v>
      </c>
      <c r="F812" s="11" t="e">
        <v>#N/A</v>
      </c>
      <c r="G812">
        <v>0</v>
      </c>
      <c r="H812">
        <v>10</v>
      </c>
      <c r="I812">
        <v>0</v>
      </c>
      <c r="J812">
        <v>1</v>
      </c>
      <c r="K812">
        <f t="shared" si="73"/>
        <v>11</v>
      </c>
      <c r="L812" t="e">
        <v>#N/A</v>
      </c>
      <c r="M812">
        <v>32923.678445650003</v>
      </c>
      <c r="N812" s="7">
        <v>0</v>
      </c>
      <c r="O812" s="7">
        <v>0</v>
      </c>
      <c r="P812" s="7">
        <v>0</v>
      </c>
      <c r="Q812" s="7">
        <v>0</v>
      </c>
      <c r="R812" s="7">
        <f t="shared" si="74"/>
        <v>0</v>
      </c>
      <c r="S812" t="e">
        <v>#N/A</v>
      </c>
      <c r="T812" s="7">
        <v>0</v>
      </c>
      <c r="U812" s="7">
        <v>0</v>
      </c>
      <c r="V812" s="7">
        <v>0</v>
      </c>
      <c r="W812" s="7">
        <v>0</v>
      </c>
      <c r="X812" s="7">
        <f t="shared" si="75"/>
        <v>0</v>
      </c>
      <c r="Y812" t="e">
        <v>#N/A</v>
      </c>
      <c r="AA812" t="s">
        <v>463</v>
      </c>
      <c r="AB812">
        <v>63</v>
      </c>
      <c r="AC812">
        <v>0</v>
      </c>
      <c r="AD812" t="s">
        <v>254</v>
      </c>
      <c r="AE812" t="s">
        <v>75</v>
      </c>
      <c r="AF812">
        <v>152</v>
      </c>
      <c r="AG812" s="8"/>
      <c r="AH812">
        <v>0</v>
      </c>
      <c r="AI812">
        <v>-32</v>
      </c>
      <c r="AJ812">
        <v>-21</v>
      </c>
      <c r="AK812" t="e">
        <v>#N/A</v>
      </c>
      <c r="AL812" t="e">
        <v>#N/A</v>
      </c>
      <c r="AM812">
        <v>-11</v>
      </c>
      <c r="AN812">
        <v>1</v>
      </c>
      <c r="AO812" t="e">
        <v>#N/A</v>
      </c>
      <c r="AP812">
        <v>0</v>
      </c>
      <c r="AQ812">
        <v>0.125</v>
      </c>
      <c r="AR812">
        <v>0.3125</v>
      </c>
      <c r="AS812">
        <v>0.5625</v>
      </c>
      <c r="AT812">
        <v>0</v>
      </c>
      <c r="AU812">
        <v>32923.678445650003</v>
      </c>
      <c r="AV812">
        <v>6</v>
      </c>
      <c r="AW812">
        <f t="shared" si="76"/>
        <v>0</v>
      </c>
      <c r="AX812">
        <v>0</v>
      </c>
      <c r="AY812">
        <f t="shared" si="77"/>
        <v>0</v>
      </c>
      <c r="AZ812">
        <v>0</v>
      </c>
      <c r="BA812">
        <v>3</v>
      </c>
      <c r="BB812">
        <v>2020</v>
      </c>
      <c r="BC812">
        <v>8</v>
      </c>
      <c r="BD812">
        <v>2020</v>
      </c>
      <c r="BE812" t="e">
        <v>#N/A</v>
      </c>
      <c r="BF812" t="e">
        <v>#N/A</v>
      </c>
    </row>
    <row r="813" spans="1:58" x14ac:dyDescent="0.2">
      <c r="A813" s="7">
        <v>13</v>
      </c>
      <c r="B813" s="7">
        <v>39</v>
      </c>
      <c r="C813" s="7">
        <v>8</v>
      </c>
      <c r="D813" s="7">
        <v>0</v>
      </c>
      <c r="E813" s="7">
        <f t="shared" si="72"/>
        <v>60</v>
      </c>
      <c r="F813" s="11" t="e">
        <v>#N/A</v>
      </c>
      <c r="G813">
        <v>13</v>
      </c>
      <c r="H813">
        <v>39</v>
      </c>
      <c r="I813">
        <v>8</v>
      </c>
      <c r="J813">
        <v>0</v>
      </c>
      <c r="K813">
        <f t="shared" si="73"/>
        <v>60</v>
      </c>
      <c r="L813" t="e">
        <v>#N/A</v>
      </c>
      <c r="M813">
        <v>17615.649392709998</v>
      </c>
      <c r="N813" s="7">
        <v>0</v>
      </c>
      <c r="O813" s="7">
        <v>0</v>
      </c>
      <c r="P813" s="7">
        <v>0</v>
      </c>
      <c r="Q813" s="7">
        <v>0</v>
      </c>
      <c r="R813" s="7">
        <f t="shared" si="74"/>
        <v>0</v>
      </c>
      <c r="S813" t="e">
        <v>#N/A</v>
      </c>
      <c r="T813" s="7">
        <v>0</v>
      </c>
      <c r="U813" s="7">
        <v>0</v>
      </c>
      <c r="V813" s="7">
        <v>0</v>
      </c>
      <c r="W813" s="7">
        <v>0</v>
      </c>
      <c r="X813" s="7">
        <f t="shared" si="75"/>
        <v>0</v>
      </c>
      <c r="Y813" t="e">
        <v>#N/A</v>
      </c>
      <c r="AA813" t="s">
        <v>464</v>
      </c>
      <c r="AB813">
        <v>43</v>
      </c>
      <c r="AC813">
        <v>0</v>
      </c>
      <c r="AD813" t="s">
        <v>241</v>
      </c>
      <c r="AE813" t="s">
        <v>41</v>
      </c>
      <c r="AF813" t="e">
        <v>#N/A</v>
      </c>
      <c r="AG813" s="8"/>
      <c r="AH813">
        <v>0</v>
      </c>
      <c r="AI813">
        <v>-60</v>
      </c>
      <c r="AJ813">
        <v>0</v>
      </c>
      <c r="AK813" t="e">
        <v>#N/A</v>
      </c>
      <c r="AL813" t="e">
        <v>#N/A</v>
      </c>
      <c r="AM813">
        <v>-60</v>
      </c>
      <c r="AN813">
        <v>1</v>
      </c>
      <c r="AO813" t="e">
        <v>#N/A</v>
      </c>
      <c r="AP813">
        <v>0</v>
      </c>
      <c r="AQ813">
        <v>0</v>
      </c>
      <c r="AR813">
        <v>0.21666666666666667</v>
      </c>
      <c r="AS813">
        <v>0.65</v>
      </c>
      <c r="AT813">
        <v>0.13333333333333333</v>
      </c>
      <c r="AU813">
        <v>17615.649392709998</v>
      </c>
      <c r="AV813">
        <v>9</v>
      </c>
      <c r="AW813">
        <f t="shared" si="76"/>
        <v>0</v>
      </c>
      <c r="AX813">
        <v>0</v>
      </c>
      <c r="AY813">
        <f t="shared" si="77"/>
        <v>0</v>
      </c>
      <c r="AZ813" t="e">
        <v>#N/A</v>
      </c>
      <c r="BA813">
        <v>11</v>
      </c>
      <c r="BB813">
        <v>2020</v>
      </c>
      <c r="BC813">
        <v>11</v>
      </c>
      <c r="BD813">
        <v>2020</v>
      </c>
      <c r="BE813" t="e">
        <v>#N/A</v>
      </c>
      <c r="BF813" t="e">
        <v>#N/A</v>
      </c>
    </row>
    <row r="814" spans="1:58" x14ac:dyDescent="0.2">
      <c r="A814" s="7">
        <v>1</v>
      </c>
      <c r="B814" s="7">
        <v>0</v>
      </c>
      <c r="C814" s="7">
        <v>0</v>
      </c>
      <c r="D814" s="7">
        <v>0</v>
      </c>
      <c r="E814" s="7">
        <f t="shared" si="72"/>
        <v>1</v>
      </c>
      <c r="F814" s="11" t="e">
        <v>#N/A</v>
      </c>
      <c r="G814">
        <v>0</v>
      </c>
      <c r="H814">
        <v>0</v>
      </c>
      <c r="I814">
        <v>0</v>
      </c>
      <c r="J814">
        <v>0</v>
      </c>
      <c r="K814">
        <f t="shared" si="73"/>
        <v>0</v>
      </c>
      <c r="L814" t="e">
        <v>#N/A</v>
      </c>
      <c r="M814">
        <v>69340.31322032999</v>
      </c>
      <c r="N814" s="7">
        <v>0</v>
      </c>
      <c r="O814" s="7">
        <v>0</v>
      </c>
      <c r="P814" s="7">
        <v>0</v>
      </c>
      <c r="Q814" s="7">
        <v>0</v>
      </c>
      <c r="R814" s="7">
        <f t="shared" si="74"/>
        <v>0</v>
      </c>
      <c r="S814" t="e">
        <v>#N/A</v>
      </c>
      <c r="T814" s="7">
        <v>0</v>
      </c>
      <c r="U814" s="7">
        <v>0</v>
      </c>
      <c r="V814" s="7">
        <v>0</v>
      </c>
      <c r="W814" s="7">
        <v>0</v>
      </c>
      <c r="X814" s="7">
        <f t="shared" si="75"/>
        <v>0</v>
      </c>
      <c r="Y814" t="e">
        <v>#N/A</v>
      </c>
      <c r="AA814" t="s">
        <v>465</v>
      </c>
      <c r="AB814">
        <v>53</v>
      </c>
      <c r="AC814">
        <v>569</v>
      </c>
      <c r="AD814" t="s">
        <v>258</v>
      </c>
      <c r="AE814" t="s">
        <v>75</v>
      </c>
      <c r="AF814">
        <v>310</v>
      </c>
      <c r="AG814" s="8"/>
      <c r="AH814">
        <v>0</v>
      </c>
      <c r="AI814">
        <v>-1</v>
      </c>
      <c r="AJ814">
        <v>-1</v>
      </c>
      <c r="AK814" t="e">
        <v>#N/A</v>
      </c>
      <c r="AL814" t="e">
        <v>#N/A</v>
      </c>
      <c r="AM814">
        <v>0</v>
      </c>
      <c r="AN814">
        <v>0</v>
      </c>
      <c r="AO814" t="e">
        <v>#N/A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69340.31322032999</v>
      </c>
      <c r="AV814">
        <v>21</v>
      </c>
      <c r="AW814">
        <f t="shared" si="76"/>
        <v>1</v>
      </c>
      <c r="AX814">
        <v>569</v>
      </c>
      <c r="AY814">
        <f t="shared" si="77"/>
        <v>1</v>
      </c>
      <c r="AZ814">
        <v>1.8354838709677419</v>
      </c>
      <c r="BA814">
        <v>1</v>
      </c>
      <c r="BB814">
        <v>2020</v>
      </c>
      <c r="BC814">
        <v>11</v>
      </c>
      <c r="BD814">
        <v>2020</v>
      </c>
      <c r="BE814" t="e">
        <v>#N/A</v>
      </c>
      <c r="BF814" t="e">
        <v>#N/A</v>
      </c>
    </row>
    <row r="815" spans="1:58" x14ac:dyDescent="0.2">
      <c r="A815" s="7">
        <v>0</v>
      </c>
      <c r="B815" s="7">
        <v>2</v>
      </c>
      <c r="C815" s="7">
        <v>0</v>
      </c>
      <c r="D815" s="7">
        <v>0</v>
      </c>
      <c r="E815" s="7">
        <f t="shared" si="72"/>
        <v>2</v>
      </c>
      <c r="F815" s="11" t="e">
        <v>#N/A</v>
      </c>
      <c r="G815">
        <v>0</v>
      </c>
      <c r="H815">
        <v>2</v>
      </c>
      <c r="I815">
        <v>0</v>
      </c>
      <c r="J815">
        <v>0</v>
      </c>
      <c r="K815">
        <f t="shared" si="73"/>
        <v>2</v>
      </c>
      <c r="L815" t="e">
        <v>#N/A</v>
      </c>
      <c r="M815">
        <v>45594.113165640003</v>
      </c>
      <c r="N815" s="7">
        <v>0</v>
      </c>
      <c r="O815" s="7">
        <v>2</v>
      </c>
      <c r="P815" s="7">
        <v>0</v>
      </c>
      <c r="Q815" s="7" t="s">
        <v>43</v>
      </c>
      <c r="R815" s="7">
        <f t="shared" si="74"/>
        <v>2</v>
      </c>
      <c r="S815" t="e">
        <v>#N/A</v>
      </c>
      <c r="T815" s="7">
        <v>0</v>
      </c>
      <c r="U815" s="7">
        <v>2</v>
      </c>
      <c r="V815" s="7">
        <v>0</v>
      </c>
      <c r="W815" s="7">
        <v>0</v>
      </c>
      <c r="X815" s="7">
        <f t="shared" si="75"/>
        <v>2</v>
      </c>
      <c r="Y815" t="e">
        <v>#N/A</v>
      </c>
      <c r="Z815">
        <v>22019.43880838</v>
      </c>
      <c r="AA815" t="s">
        <v>466</v>
      </c>
      <c r="AB815">
        <v>85</v>
      </c>
      <c r="AC815">
        <v>0</v>
      </c>
      <c r="AD815" t="s">
        <v>254</v>
      </c>
      <c r="AE815" t="s">
        <v>75</v>
      </c>
      <c r="AF815" t="e">
        <v>#N/A</v>
      </c>
      <c r="AG815" s="8">
        <v>0</v>
      </c>
      <c r="AH815">
        <v>0</v>
      </c>
      <c r="AI815">
        <v>0</v>
      </c>
      <c r="AJ815">
        <v>0</v>
      </c>
      <c r="AK815" t="e">
        <v>#N/A</v>
      </c>
      <c r="AL815" t="e">
        <v>#N/A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67613.551974019996</v>
      </c>
      <c r="AV815">
        <v>15</v>
      </c>
      <c r="AW815">
        <f t="shared" si="76"/>
        <v>1</v>
      </c>
      <c r="AX815">
        <v>0</v>
      </c>
      <c r="AY815">
        <f t="shared" si="77"/>
        <v>0</v>
      </c>
      <c r="AZ815" t="e">
        <v>#N/A</v>
      </c>
      <c r="BA815">
        <v>11</v>
      </c>
      <c r="BB815">
        <v>2020</v>
      </c>
      <c r="BC815">
        <v>11</v>
      </c>
      <c r="BD815">
        <v>2020</v>
      </c>
      <c r="BE815">
        <v>1</v>
      </c>
      <c r="BF815">
        <v>2020</v>
      </c>
    </row>
    <row r="816" spans="1:58" x14ac:dyDescent="0.2">
      <c r="A816" s="7">
        <v>20</v>
      </c>
      <c r="B816" s="7">
        <v>40</v>
      </c>
      <c r="C816" s="7">
        <v>9</v>
      </c>
      <c r="D816" s="7">
        <v>7</v>
      </c>
      <c r="E816" s="7">
        <f t="shared" si="72"/>
        <v>76</v>
      </c>
      <c r="F816" s="11" t="e">
        <v>#N/A</v>
      </c>
      <c r="G816">
        <v>20</v>
      </c>
      <c r="H816">
        <v>40</v>
      </c>
      <c r="I816">
        <v>6</v>
      </c>
      <c r="J816">
        <v>0</v>
      </c>
      <c r="K816">
        <f t="shared" si="73"/>
        <v>66</v>
      </c>
      <c r="L816" t="e">
        <v>#N/A</v>
      </c>
      <c r="M816">
        <v>19734.540491970001</v>
      </c>
      <c r="N816" s="7">
        <v>20</v>
      </c>
      <c r="O816" s="7">
        <v>40</v>
      </c>
      <c r="P816" s="7">
        <v>9</v>
      </c>
      <c r="Q816" s="7" t="s">
        <v>37</v>
      </c>
      <c r="R816" s="7">
        <f t="shared" si="74"/>
        <v>69</v>
      </c>
      <c r="S816" t="e">
        <v>#N/A</v>
      </c>
      <c r="T816" s="7">
        <v>20</v>
      </c>
      <c r="U816" s="7">
        <v>40</v>
      </c>
      <c r="V816" s="7">
        <v>9</v>
      </c>
      <c r="W816" s="7">
        <v>9</v>
      </c>
      <c r="X816" s="7">
        <f t="shared" si="75"/>
        <v>78</v>
      </c>
      <c r="Y816" t="e">
        <v>#N/A</v>
      </c>
      <c r="Z816">
        <v>9983.0686702600015</v>
      </c>
      <c r="AA816" t="s">
        <v>467</v>
      </c>
      <c r="AB816">
        <v>31</v>
      </c>
      <c r="AC816">
        <v>0</v>
      </c>
      <c r="AD816" t="s">
        <v>119</v>
      </c>
      <c r="AE816" t="s">
        <v>75</v>
      </c>
      <c r="AF816">
        <v>250</v>
      </c>
      <c r="AG816" s="8">
        <v>0</v>
      </c>
      <c r="AH816">
        <v>9</v>
      </c>
      <c r="AI816">
        <v>2</v>
      </c>
      <c r="AJ816">
        <v>-10</v>
      </c>
      <c r="AK816" t="e">
        <v>#N/A</v>
      </c>
      <c r="AL816" t="e">
        <v>#N/A</v>
      </c>
      <c r="AM816">
        <v>3</v>
      </c>
      <c r="AN816">
        <v>0</v>
      </c>
      <c r="AO816">
        <v>0.13043478260869565</v>
      </c>
      <c r="AP816">
        <v>0.11842105263157894</v>
      </c>
      <c r="AQ816">
        <v>9.2105263157894732E-2</v>
      </c>
      <c r="AR816">
        <v>0.26315789473684209</v>
      </c>
      <c r="AS816">
        <v>0.52631578947368418</v>
      </c>
      <c r="AT816">
        <v>0.11842105263157894</v>
      </c>
      <c r="AU816">
        <v>29717.609162230001</v>
      </c>
      <c r="AV816">
        <v>6</v>
      </c>
      <c r="AW816">
        <f t="shared" si="76"/>
        <v>0</v>
      </c>
      <c r="AX816">
        <v>0</v>
      </c>
      <c r="AY816">
        <f t="shared" si="77"/>
        <v>0</v>
      </c>
      <c r="AZ816">
        <v>0</v>
      </c>
      <c r="BA816">
        <v>3</v>
      </c>
      <c r="BB816">
        <v>2020</v>
      </c>
      <c r="BC816">
        <v>11</v>
      </c>
      <c r="BD816">
        <v>2020</v>
      </c>
      <c r="BE816">
        <v>12</v>
      </c>
      <c r="BF816">
        <v>2020</v>
      </c>
    </row>
    <row r="817" spans="1:58" x14ac:dyDescent="0.2">
      <c r="A817" s="7">
        <v>0</v>
      </c>
      <c r="B817" s="7">
        <v>0</v>
      </c>
      <c r="C817" s="7">
        <v>0</v>
      </c>
      <c r="D817" s="7">
        <v>0</v>
      </c>
      <c r="E817" s="7">
        <f t="shared" si="72"/>
        <v>0</v>
      </c>
      <c r="F817" s="11" t="e">
        <v>#N/A</v>
      </c>
      <c r="G817">
        <v>0</v>
      </c>
      <c r="H817">
        <v>0</v>
      </c>
      <c r="I817">
        <v>0</v>
      </c>
      <c r="J817">
        <v>0</v>
      </c>
      <c r="K817">
        <f t="shared" si="73"/>
        <v>0</v>
      </c>
      <c r="L817" t="e">
        <v>#N/A</v>
      </c>
      <c r="M817">
        <v>57035.188697069992</v>
      </c>
      <c r="N817" s="7">
        <v>0</v>
      </c>
      <c r="O817" s="7">
        <v>0</v>
      </c>
      <c r="P817" s="7">
        <v>0</v>
      </c>
      <c r="R817" s="7">
        <f t="shared" si="74"/>
        <v>0</v>
      </c>
      <c r="S817" t="e">
        <v>#N/A</v>
      </c>
      <c r="W817" s="7">
        <v>0</v>
      </c>
      <c r="X817" s="7">
        <f t="shared" si="75"/>
        <v>0</v>
      </c>
      <c r="Y817" t="e">
        <v>#N/A</v>
      </c>
      <c r="AA817" t="s">
        <v>468</v>
      </c>
      <c r="AB817">
        <v>66</v>
      </c>
      <c r="AC817">
        <v>428</v>
      </c>
      <c r="AD817" t="s">
        <v>253</v>
      </c>
      <c r="AE817" t="s">
        <v>75</v>
      </c>
      <c r="AF817">
        <v>313</v>
      </c>
      <c r="AH817">
        <v>0</v>
      </c>
      <c r="AK817" t="e">
        <v>#N/A</v>
      </c>
      <c r="AL817" t="e">
        <v>#N/A</v>
      </c>
      <c r="AM817">
        <v>0</v>
      </c>
      <c r="AN817">
        <v>0</v>
      </c>
      <c r="AO817" t="e">
        <v>#N/A</v>
      </c>
      <c r="AP817" t="e">
        <v>#N/A</v>
      </c>
      <c r="AQ817" t="e">
        <v>#N/A</v>
      </c>
      <c r="AR817" t="e">
        <v>#N/A</v>
      </c>
      <c r="AS817" t="e">
        <v>#N/A</v>
      </c>
      <c r="AT817" t="e">
        <v>#N/A</v>
      </c>
      <c r="AU817">
        <v>57035.188697069992</v>
      </c>
      <c r="AV817">
        <v>17</v>
      </c>
      <c r="AW817">
        <f t="shared" si="76"/>
        <v>1</v>
      </c>
      <c r="AX817">
        <v>428</v>
      </c>
      <c r="AY817">
        <f t="shared" si="77"/>
        <v>1</v>
      </c>
      <c r="AZ817">
        <v>1.3674121405750799</v>
      </c>
      <c r="BA817">
        <v>1</v>
      </c>
      <c r="BB817">
        <v>2020</v>
      </c>
      <c r="BC817">
        <v>11</v>
      </c>
      <c r="BD817">
        <v>2020</v>
      </c>
      <c r="BE817" t="e">
        <v>#N/A</v>
      </c>
      <c r="BF817" t="e">
        <v>#N/A</v>
      </c>
    </row>
    <row r="818" spans="1:58" x14ac:dyDescent="0.2">
      <c r="A818" s="7">
        <v>0</v>
      </c>
      <c r="B818" s="7">
        <v>0</v>
      </c>
      <c r="C818" s="7">
        <v>0</v>
      </c>
      <c r="D818" s="7">
        <v>0</v>
      </c>
      <c r="E818" s="7">
        <f t="shared" si="72"/>
        <v>0</v>
      </c>
      <c r="F818" s="11" t="e">
        <v>#N/A</v>
      </c>
      <c r="G818">
        <v>0</v>
      </c>
      <c r="H818">
        <v>0</v>
      </c>
      <c r="I818">
        <v>0</v>
      </c>
      <c r="J818">
        <v>0</v>
      </c>
      <c r="K818">
        <f t="shared" si="73"/>
        <v>0</v>
      </c>
      <c r="L818" t="e">
        <v>#N/A</v>
      </c>
      <c r="M818">
        <v>51139.078841990013</v>
      </c>
      <c r="N818" s="7">
        <v>0</v>
      </c>
      <c r="O818" s="7">
        <v>0</v>
      </c>
      <c r="P818" s="7">
        <v>0</v>
      </c>
      <c r="R818" s="7">
        <f t="shared" si="74"/>
        <v>0</v>
      </c>
      <c r="S818" t="e">
        <v>#N/A</v>
      </c>
      <c r="W818" s="7">
        <v>0</v>
      </c>
      <c r="X818" s="7">
        <f t="shared" si="75"/>
        <v>0</v>
      </c>
      <c r="Y818" t="e">
        <v>#N/A</v>
      </c>
      <c r="AA818" t="s">
        <v>469</v>
      </c>
      <c r="AB818">
        <v>56</v>
      </c>
      <c r="AC818">
        <v>385</v>
      </c>
      <c r="AD818" t="s">
        <v>248</v>
      </c>
      <c r="AE818" t="s">
        <v>75</v>
      </c>
      <c r="AF818" t="e">
        <v>#N/A</v>
      </c>
      <c r="AH818">
        <v>0</v>
      </c>
      <c r="AK818" t="e">
        <v>#N/A</v>
      </c>
      <c r="AL818" t="e">
        <v>#N/A</v>
      </c>
      <c r="AM818">
        <v>0</v>
      </c>
      <c r="AN818">
        <v>0</v>
      </c>
      <c r="AO818" t="e">
        <v>#N/A</v>
      </c>
      <c r="AP818" t="e">
        <v>#N/A</v>
      </c>
      <c r="AQ818" t="e">
        <v>#N/A</v>
      </c>
      <c r="AR818" t="e">
        <v>#N/A</v>
      </c>
      <c r="AS818" t="e">
        <v>#N/A</v>
      </c>
      <c r="AT818" t="e">
        <v>#N/A</v>
      </c>
      <c r="AU818">
        <v>51139.078841990013</v>
      </c>
      <c r="AV818">
        <v>17</v>
      </c>
      <c r="AW818">
        <f t="shared" si="76"/>
        <v>1</v>
      </c>
      <c r="AX818">
        <v>385</v>
      </c>
      <c r="AY818">
        <f t="shared" si="77"/>
        <v>1</v>
      </c>
      <c r="AZ818" t="e">
        <v>#N/A</v>
      </c>
      <c r="BA818">
        <v>3</v>
      </c>
      <c r="BB818">
        <v>2020</v>
      </c>
      <c r="BC818">
        <v>3</v>
      </c>
      <c r="BD818">
        <v>2020</v>
      </c>
      <c r="BE818" t="e">
        <v>#N/A</v>
      </c>
      <c r="BF818" t="e">
        <v>#N/A</v>
      </c>
    </row>
    <row r="819" spans="1:58" x14ac:dyDescent="0.2">
      <c r="A819" s="7">
        <v>0</v>
      </c>
      <c r="B819" s="7">
        <v>0</v>
      </c>
      <c r="C819" s="7">
        <v>0</v>
      </c>
      <c r="D819" s="7">
        <v>0</v>
      </c>
      <c r="E819" s="7">
        <f t="shared" si="72"/>
        <v>0</v>
      </c>
      <c r="F819" s="11" t="e">
        <v>#N/A</v>
      </c>
      <c r="G819">
        <v>0</v>
      </c>
      <c r="H819">
        <v>0</v>
      </c>
      <c r="I819">
        <v>0</v>
      </c>
      <c r="J819">
        <v>0</v>
      </c>
      <c r="K819">
        <f t="shared" si="73"/>
        <v>0</v>
      </c>
      <c r="L819" t="e">
        <v>#N/A</v>
      </c>
      <c r="M819">
        <v>42423.009145060001</v>
      </c>
      <c r="N819" s="7">
        <v>0</v>
      </c>
      <c r="O819" s="7">
        <v>0</v>
      </c>
      <c r="P819" s="7">
        <v>0</v>
      </c>
      <c r="R819" s="7">
        <f t="shared" si="74"/>
        <v>0</v>
      </c>
      <c r="S819" t="e">
        <v>#N/A</v>
      </c>
      <c r="W819" s="7">
        <v>0</v>
      </c>
      <c r="X819" s="7">
        <f t="shared" si="75"/>
        <v>0</v>
      </c>
      <c r="Y819" t="e">
        <v>#N/A</v>
      </c>
      <c r="AA819" t="s">
        <v>470</v>
      </c>
      <c r="AB819">
        <v>59</v>
      </c>
      <c r="AC819">
        <v>478</v>
      </c>
      <c r="AD819" t="s">
        <v>187</v>
      </c>
      <c r="AE819" t="s">
        <v>75</v>
      </c>
      <c r="AF819" t="e">
        <v>#N/A</v>
      </c>
      <c r="AH819">
        <v>0</v>
      </c>
      <c r="AK819" t="e">
        <v>#N/A</v>
      </c>
      <c r="AL819" t="e">
        <v>#N/A</v>
      </c>
      <c r="AM819">
        <v>0</v>
      </c>
      <c r="AN819">
        <v>0</v>
      </c>
      <c r="AO819" t="e">
        <v>#N/A</v>
      </c>
      <c r="AP819" t="e">
        <v>#N/A</v>
      </c>
      <c r="AQ819" t="e">
        <v>#N/A</v>
      </c>
      <c r="AR819" t="e">
        <v>#N/A</v>
      </c>
      <c r="AS819" t="e">
        <v>#N/A</v>
      </c>
      <c r="AT819" t="e">
        <v>#N/A</v>
      </c>
      <c r="AU819">
        <v>42423.009145060001</v>
      </c>
      <c r="AV819">
        <v>18</v>
      </c>
      <c r="AW819">
        <f t="shared" si="76"/>
        <v>1</v>
      </c>
      <c r="AX819">
        <v>478</v>
      </c>
      <c r="AY819">
        <f t="shared" si="77"/>
        <v>1</v>
      </c>
      <c r="AZ819" t="e">
        <v>#N/A</v>
      </c>
      <c r="BA819">
        <v>10</v>
      </c>
      <c r="BB819">
        <v>2020</v>
      </c>
      <c r="BC819">
        <v>10</v>
      </c>
      <c r="BD819">
        <v>2020</v>
      </c>
      <c r="BE819" t="e">
        <v>#N/A</v>
      </c>
      <c r="BF819" t="e">
        <v>#N/A</v>
      </c>
    </row>
    <row r="820" spans="1:58" x14ac:dyDescent="0.2">
      <c r="AF820" t="s">
        <v>473</v>
      </c>
    </row>
    <row r="821" spans="1:58" x14ac:dyDescent="0.2">
      <c r="AF821" t="s">
        <v>473</v>
      </c>
    </row>
    <row r="822" spans="1:58" x14ac:dyDescent="0.2">
      <c r="AF822" t="s">
        <v>473</v>
      </c>
    </row>
    <row r="823" spans="1:58" x14ac:dyDescent="0.2">
      <c r="AF823" t="s">
        <v>473</v>
      </c>
    </row>
    <row r="824" spans="1:58" x14ac:dyDescent="0.2">
      <c r="AF824" t="s">
        <v>473</v>
      </c>
    </row>
    <row r="825" spans="1:58" x14ac:dyDescent="0.2">
      <c r="AF825" t="s">
        <v>473</v>
      </c>
    </row>
    <row r="826" spans="1:58" x14ac:dyDescent="0.2">
      <c r="AF826" t="s">
        <v>473</v>
      </c>
    </row>
    <row r="827" spans="1:58" x14ac:dyDescent="0.2">
      <c r="AF827" t="s">
        <v>473</v>
      </c>
    </row>
    <row r="828" spans="1:58" x14ac:dyDescent="0.2">
      <c r="AF828" t="s">
        <v>473</v>
      </c>
    </row>
    <row r="829" spans="1:58" x14ac:dyDescent="0.2">
      <c r="AF829" t="s">
        <v>473</v>
      </c>
    </row>
    <row r="830" spans="1:58" x14ac:dyDescent="0.2">
      <c r="AF830" t="s">
        <v>473</v>
      </c>
    </row>
    <row r="831" spans="1:58" x14ac:dyDescent="0.2">
      <c r="AF831" t="s">
        <v>473</v>
      </c>
    </row>
    <row r="832" spans="1:58" x14ac:dyDescent="0.2">
      <c r="AF832" t="s">
        <v>473</v>
      </c>
    </row>
    <row r="833" spans="32:32" x14ac:dyDescent="0.2">
      <c r="AF833" t="s">
        <v>473</v>
      </c>
    </row>
    <row r="834" spans="32:32" x14ac:dyDescent="0.2">
      <c r="AF834" t="s">
        <v>473</v>
      </c>
    </row>
    <row r="835" spans="32:32" x14ac:dyDescent="0.2">
      <c r="AF835" t="s">
        <v>473</v>
      </c>
    </row>
    <row r="836" spans="32:32" x14ac:dyDescent="0.2">
      <c r="AF836" t="s">
        <v>473</v>
      </c>
    </row>
    <row r="837" spans="32:32" x14ac:dyDescent="0.2">
      <c r="AF837" t="s">
        <v>473</v>
      </c>
    </row>
    <row r="838" spans="32:32" x14ac:dyDescent="0.2">
      <c r="AF838" t="s">
        <v>473</v>
      </c>
    </row>
    <row r="839" spans="32:32" x14ac:dyDescent="0.2">
      <c r="AF839" t="s">
        <v>473</v>
      </c>
    </row>
    <row r="840" spans="32:32" x14ac:dyDescent="0.2">
      <c r="AF840" t="s">
        <v>473</v>
      </c>
    </row>
    <row r="841" spans="32:32" x14ac:dyDescent="0.2">
      <c r="AF841" t="s">
        <v>473</v>
      </c>
    </row>
    <row r="842" spans="32:32" x14ac:dyDescent="0.2">
      <c r="AF842" t="s">
        <v>473</v>
      </c>
    </row>
    <row r="843" spans="32:32" x14ac:dyDescent="0.2">
      <c r="AF843" t="s">
        <v>473</v>
      </c>
    </row>
    <row r="844" spans="32:32" x14ac:dyDescent="0.2">
      <c r="AF844" t="s">
        <v>473</v>
      </c>
    </row>
    <row r="845" spans="32:32" x14ac:dyDescent="0.2">
      <c r="AF845" t="s">
        <v>473</v>
      </c>
    </row>
    <row r="846" spans="32:32" x14ac:dyDescent="0.2">
      <c r="AF846" t="s">
        <v>473</v>
      </c>
    </row>
    <row r="847" spans="32:32" x14ac:dyDescent="0.2">
      <c r="AF847" t="s">
        <v>473</v>
      </c>
    </row>
    <row r="848" spans="32:32" x14ac:dyDescent="0.2">
      <c r="AF848" t="s">
        <v>473</v>
      </c>
    </row>
    <row r="849" spans="32:32" x14ac:dyDescent="0.2">
      <c r="AF849" t="s">
        <v>473</v>
      </c>
    </row>
    <row r="850" spans="32:32" x14ac:dyDescent="0.2">
      <c r="AF850" t="s">
        <v>473</v>
      </c>
    </row>
    <row r="851" spans="32:32" x14ac:dyDescent="0.2">
      <c r="AF851" t="s">
        <v>473</v>
      </c>
    </row>
    <row r="852" spans="32:32" x14ac:dyDescent="0.2">
      <c r="AF852" t="s">
        <v>473</v>
      </c>
    </row>
    <row r="853" spans="32:32" x14ac:dyDescent="0.2">
      <c r="AF853" t="s">
        <v>473</v>
      </c>
    </row>
    <row r="854" spans="32:32" x14ac:dyDescent="0.2">
      <c r="AF854" t="s">
        <v>473</v>
      </c>
    </row>
    <row r="855" spans="32:32" x14ac:dyDescent="0.2">
      <c r="AF855" t="s">
        <v>473</v>
      </c>
    </row>
    <row r="856" spans="32:32" x14ac:dyDescent="0.2">
      <c r="AF856" t="s">
        <v>473</v>
      </c>
    </row>
    <row r="857" spans="32:32" x14ac:dyDescent="0.2">
      <c r="AF857" t="s">
        <v>473</v>
      </c>
    </row>
    <row r="858" spans="32:32" x14ac:dyDescent="0.2">
      <c r="AF858" t="s">
        <v>473</v>
      </c>
    </row>
    <row r="859" spans="32:32" x14ac:dyDescent="0.2">
      <c r="AF859" t="s">
        <v>473</v>
      </c>
    </row>
    <row r="860" spans="32:32" x14ac:dyDescent="0.2">
      <c r="AF860" t="s">
        <v>473</v>
      </c>
    </row>
    <row r="861" spans="32:32" x14ac:dyDescent="0.2">
      <c r="AF861" t="s">
        <v>473</v>
      </c>
    </row>
    <row r="862" spans="32:32" x14ac:dyDescent="0.2">
      <c r="AF862" t="s">
        <v>473</v>
      </c>
    </row>
    <row r="863" spans="32:32" x14ac:dyDescent="0.2">
      <c r="AF863" t="s">
        <v>473</v>
      </c>
    </row>
    <row r="864" spans="32:32" x14ac:dyDescent="0.2">
      <c r="AF864" t="s">
        <v>473</v>
      </c>
    </row>
    <row r="865" spans="32:32" x14ac:dyDescent="0.2">
      <c r="AF865" t="s">
        <v>473</v>
      </c>
    </row>
    <row r="866" spans="32:32" x14ac:dyDescent="0.2">
      <c r="AF866" t="s">
        <v>473</v>
      </c>
    </row>
    <row r="867" spans="32:32" x14ac:dyDescent="0.2">
      <c r="AF867" t="s">
        <v>473</v>
      </c>
    </row>
    <row r="868" spans="32:32" x14ac:dyDescent="0.2">
      <c r="AF868" t="s">
        <v>473</v>
      </c>
    </row>
    <row r="869" spans="32:32" x14ac:dyDescent="0.2">
      <c r="AF869" t="s">
        <v>473</v>
      </c>
    </row>
    <row r="870" spans="32:32" x14ac:dyDescent="0.2">
      <c r="AF870" t="s">
        <v>473</v>
      </c>
    </row>
    <row r="871" spans="32:32" x14ac:dyDescent="0.2">
      <c r="AF871" t="s">
        <v>473</v>
      </c>
    </row>
    <row r="872" spans="32:32" x14ac:dyDescent="0.2">
      <c r="AF872" t="s">
        <v>473</v>
      </c>
    </row>
    <row r="873" spans="32:32" x14ac:dyDescent="0.2">
      <c r="AF873" t="s">
        <v>473</v>
      </c>
    </row>
    <row r="874" spans="32:32" x14ac:dyDescent="0.2">
      <c r="AF874" t="s">
        <v>473</v>
      </c>
    </row>
    <row r="875" spans="32:32" x14ac:dyDescent="0.2">
      <c r="AF875" t="s">
        <v>473</v>
      </c>
    </row>
    <row r="876" spans="32:32" x14ac:dyDescent="0.2">
      <c r="AF876" t="s">
        <v>473</v>
      </c>
    </row>
    <row r="877" spans="32:32" x14ac:dyDescent="0.2">
      <c r="AF877" t="s">
        <v>473</v>
      </c>
    </row>
    <row r="878" spans="32:32" x14ac:dyDescent="0.2">
      <c r="AF878" t="s">
        <v>473</v>
      </c>
    </row>
    <row r="879" spans="32:32" x14ac:dyDescent="0.2">
      <c r="AF879" t="s">
        <v>473</v>
      </c>
    </row>
    <row r="880" spans="32:32" x14ac:dyDescent="0.2">
      <c r="AF880" t="s">
        <v>473</v>
      </c>
    </row>
    <row r="881" spans="32:32" x14ac:dyDescent="0.2">
      <c r="AF881" t="s">
        <v>473</v>
      </c>
    </row>
    <row r="882" spans="32:32" x14ac:dyDescent="0.2">
      <c r="AF882" t="s">
        <v>473</v>
      </c>
    </row>
    <row r="883" spans="32:32" x14ac:dyDescent="0.2">
      <c r="AF883" t="s">
        <v>473</v>
      </c>
    </row>
    <row r="884" spans="32:32" x14ac:dyDescent="0.2">
      <c r="AF884" t="s">
        <v>473</v>
      </c>
    </row>
    <row r="885" spans="32:32" x14ac:dyDescent="0.2">
      <c r="AF885" t="s">
        <v>473</v>
      </c>
    </row>
    <row r="886" spans="32:32" x14ac:dyDescent="0.2">
      <c r="AF886" t="s">
        <v>473</v>
      </c>
    </row>
    <row r="887" spans="32:32" x14ac:dyDescent="0.2">
      <c r="AF887" t="s">
        <v>473</v>
      </c>
    </row>
    <row r="888" spans="32:32" x14ac:dyDescent="0.2">
      <c r="AF888" t="s">
        <v>473</v>
      </c>
    </row>
    <row r="889" spans="32:32" x14ac:dyDescent="0.2">
      <c r="AF889" t="s">
        <v>473</v>
      </c>
    </row>
    <row r="890" spans="32:32" x14ac:dyDescent="0.2">
      <c r="AF890" t="s">
        <v>473</v>
      </c>
    </row>
    <row r="891" spans="32:32" x14ac:dyDescent="0.2">
      <c r="AF891" t="s">
        <v>473</v>
      </c>
    </row>
    <row r="892" spans="32:32" x14ac:dyDescent="0.2">
      <c r="AF892" t="s">
        <v>473</v>
      </c>
    </row>
    <row r="893" spans="32:32" x14ac:dyDescent="0.2">
      <c r="AF893" t="s">
        <v>473</v>
      </c>
    </row>
    <row r="894" spans="32:32" x14ac:dyDescent="0.2">
      <c r="AF894" t="s">
        <v>473</v>
      </c>
    </row>
    <row r="895" spans="32:32" x14ac:dyDescent="0.2">
      <c r="AF895" t="s">
        <v>473</v>
      </c>
    </row>
    <row r="896" spans="32:32" x14ac:dyDescent="0.2">
      <c r="AF896" t="s">
        <v>473</v>
      </c>
    </row>
    <row r="897" spans="32:32" x14ac:dyDescent="0.2">
      <c r="AF897" t="s">
        <v>473</v>
      </c>
    </row>
    <row r="898" spans="32:32" x14ac:dyDescent="0.2">
      <c r="AF898" t="s">
        <v>473</v>
      </c>
    </row>
    <row r="899" spans="32:32" x14ac:dyDescent="0.2">
      <c r="AF899" t="s">
        <v>473</v>
      </c>
    </row>
    <row r="900" spans="32:32" x14ac:dyDescent="0.2">
      <c r="AF900" t="s">
        <v>473</v>
      </c>
    </row>
    <row r="901" spans="32:32" x14ac:dyDescent="0.2">
      <c r="AF901" t="s">
        <v>473</v>
      </c>
    </row>
    <row r="902" spans="32:32" x14ac:dyDescent="0.2">
      <c r="AF902" t="s">
        <v>473</v>
      </c>
    </row>
    <row r="903" spans="32:32" x14ac:dyDescent="0.2">
      <c r="AF903" t="s">
        <v>473</v>
      </c>
    </row>
    <row r="904" spans="32:32" x14ac:dyDescent="0.2">
      <c r="AF904" t="s">
        <v>473</v>
      </c>
    </row>
    <row r="905" spans="32:32" x14ac:dyDescent="0.2">
      <c r="AF905" t="s">
        <v>473</v>
      </c>
    </row>
    <row r="906" spans="32:32" x14ac:dyDescent="0.2">
      <c r="AF906" t="s">
        <v>473</v>
      </c>
    </row>
    <row r="907" spans="32:32" x14ac:dyDescent="0.2">
      <c r="AF907" t="s">
        <v>473</v>
      </c>
    </row>
    <row r="908" spans="32:32" x14ac:dyDescent="0.2">
      <c r="AF908" t="s">
        <v>473</v>
      </c>
    </row>
    <row r="909" spans="32:32" x14ac:dyDescent="0.2">
      <c r="AF909" t="s">
        <v>473</v>
      </c>
    </row>
    <row r="910" spans="32:32" x14ac:dyDescent="0.2">
      <c r="AF910" t="s">
        <v>473</v>
      </c>
    </row>
    <row r="911" spans="32:32" x14ac:dyDescent="0.2">
      <c r="AF911" t="s">
        <v>473</v>
      </c>
    </row>
    <row r="912" spans="32:32" x14ac:dyDescent="0.2">
      <c r="AF912" t="s">
        <v>473</v>
      </c>
    </row>
    <row r="913" spans="32:32" x14ac:dyDescent="0.2">
      <c r="AF913" t="s">
        <v>473</v>
      </c>
    </row>
    <row r="914" spans="32:32" x14ac:dyDescent="0.2">
      <c r="AF914" t="s">
        <v>473</v>
      </c>
    </row>
    <row r="915" spans="32:32" x14ac:dyDescent="0.2">
      <c r="AF915" t="s">
        <v>473</v>
      </c>
    </row>
    <row r="916" spans="32:32" x14ac:dyDescent="0.2">
      <c r="AF916" t="s">
        <v>473</v>
      </c>
    </row>
    <row r="917" spans="32:32" x14ac:dyDescent="0.2">
      <c r="AF917" t="s">
        <v>473</v>
      </c>
    </row>
    <row r="918" spans="32:32" x14ac:dyDescent="0.2">
      <c r="AF918" t="s">
        <v>473</v>
      </c>
    </row>
    <row r="919" spans="32:32" x14ac:dyDescent="0.2">
      <c r="AF919" t="s">
        <v>473</v>
      </c>
    </row>
    <row r="920" spans="32:32" x14ac:dyDescent="0.2">
      <c r="AF920" t="s">
        <v>473</v>
      </c>
    </row>
    <row r="921" spans="32:32" x14ac:dyDescent="0.2">
      <c r="AF921" t="s">
        <v>473</v>
      </c>
    </row>
    <row r="922" spans="32:32" x14ac:dyDescent="0.2">
      <c r="AF922" t="s">
        <v>473</v>
      </c>
    </row>
    <row r="923" spans="32:32" x14ac:dyDescent="0.2">
      <c r="AF923" t="s">
        <v>473</v>
      </c>
    </row>
    <row r="924" spans="32:32" x14ac:dyDescent="0.2">
      <c r="AF924" t="s">
        <v>473</v>
      </c>
    </row>
    <row r="925" spans="32:32" x14ac:dyDescent="0.2">
      <c r="AF925" t="s">
        <v>473</v>
      </c>
    </row>
    <row r="926" spans="32:32" x14ac:dyDescent="0.2">
      <c r="AF926" t="s">
        <v>473</v>
      </c>
    </row>
    <row r="927" spans="32:32" x14ac:dyDescent="0.2">
      <c r="AF927" t="s">
        <v>473</v>
      </c>
    </row>
    <row r="928" spans="32:32" x14ac:dyDescent="0.2">
      <c r="AF928" t="s">
        <v>473</v>
      </c>
    </row>
    <row r="929" spans="32:32" x14ac:dyDescent="0.2">
      <c r="AF929" t="s">
        <v>473</v>
      </c>
    </row>
    <row r="930" spans="32:32" x14ac:dyDescent="0.2">
      <c r="AF930" t="s">
        <v>473</v>
      </c>
    </row>
    <row r="931" spans="32:32" x14ac:dyDescent="0.2">
      <c r="AF931" t="s">
        <v>473</v>
      </c>
    </row>
    <row r="932" spans="32:32" x14ac:dyDescent="0.2">
      <c r="AF932" t="s">
        <v>473</v>
      </c>
    </row>
    <row r="933" spans="32:32" x14ac:dyDescent="0.2">
      <c r="AF933" t="s">
        <v>473</v>
      </c>
    </row>
    <row r="934" spans="32:32" x14ac:dyDescent="0.2">
      <c r="AF934" t="s">
        <v>473</v>
      </c>
    </row>
    <row r="935" spans="32:32" x14ac:dyDescent="0.2">
      <c r="AF935" t="s">
        <v>473</v>
      </c>
    </row>
    <row r="936" spans="32:32" x14ac:dyDescent="0.2">
      <c r="AF936" t="s">
        <v>473</v>
      </c>
    </row>
    <row r="937" spans="32:32" x14ac:dyDescent="0.2">
      <c r="AF937" t="s">
        <v>473</v>
      </c>
    </row>
    <row r="938" spans="32:32" x14ac:dyDescent="0.2">
      <c r="AF938" t="s">
        <v>473</v>
      </c>
    </row>
    <row r="939" spans="32:32" x14ac:dyDescent="0.2">
      <c r="AF939" t="s">
        <v>473</v>
      </c>
    </row>
    <row r="940" spans="32:32" x14ac:dyDescent="0.2">
      <c r="AF940" t="s">
        <v>473</v>
      </c>
    </row>
    <row r="941" spans="32:32" x14ac:dyDescent="0.2">
      <c r="AF941" t="s">
        <v>473</v>
      </c>
    </row>
    <row r="942" spans="32:32" x14ac:dyDescent="0.2">
      <c r="AF942" t="s">
        <v>473</v>
      </c>
    </row>
    <row r="943" spans="32:32" x14ac:dyDescent="0.2">
      <c r="AF943" t="s">
        <v>473</v>
      </c>
    </row>
    <row r="944" spans="32:32" x14ac:dyDescent="0.2">
      <c r="AF944" t="s">
        <v>473</v>
      </c>
    </row>
    <row r="945" spans="32:32" x14ac:dyDescent="0.2">
      <c r="AF945" t="s">
        <v>473</v>
      </c>
    </row>
    <row r="946" spans="32:32" x14ac:dyDescent="0.2">
      <c r="AF946" t="s">
        <v>473</v>
      </c>
    </row>
    <row r="947" spans="32:32" x14ac:dyDescent="0.2">
      <c r="AF947" t="s">
        <v>473</v>
      </c>
    </row>
    <row r="948" spans="32:32" x14ac:dyDescent="0.2">
      <c r="AF948" t="s">
        <v>473</v>
      </c>
    </row>
    <row r="949" spans="32:32" x14ac:dyDescent="0.2">
      <c r="AF949" t="s">
        <v>473</v>
      </c>
    </row>
    <row r="950" spans="32:32" x14ac:dyDescent="0.2">
      <c r="AF950" t="s">
        <v>473</v>
      </c>
    </row>
    <row r="951" spans="32:32" x14ac:dyDescent="0.2">
      <c r="AF951" t="s">
        <v>473</v>
      </c>
    </row>
    <row r="952" spans="32:32" x14ac:dyDescent="0.2">
      <c r="AF952" t="s">
        <v>473</v>
      </c>
    </row>
    <row r="953" spans="32:32" x14ac:dyDescent="0.2">
      <c r="AF953" t="s">
        <v>473</v>
      </c>
    </row>
    <row r="954" spans="32:32" x14ac:dyDescent="0.2">
      <c r="AF954" t="s">
        <v>473</v>
      </c>
    </row>
    <row r="955" spans="32:32" x14ac:dyDescent="0.2">
      <c r="AF955" t="s">
        <v>473</v>
      </c>
    </row>
    <row r="956" spans="32:32" x14ac:dyDescent="0.2">
      <c r="AF956" t="s">
        <v>473</v>
      </c>
    </row>
    <row r="957" spans="32:32" x14ac:dyDescent="0.2">
      <c r="AF957" t="s">
        <v>473</v>
      </c>
    </row>
    <row r="958" spans="32:32" x14ac:dyDescent="0.2">
      <c r="AF958" t="s">
        <v>473</v>
      </c>
    </row>
    <row r="959" spans="32:32" x14ac:dyDescent="0.2">
      <c r="AF959" t="s">
        <v>473</v>
      </c>
    </row>
    <row r="960" spans="32:32" x14ac:dyDescent="0.2">
      <c r="AF960" t="s">
        <v>473</v>
      </c>
    </row>
    <row r="961" spans="32:32" x14ac:dyDescent="0.2">
      <c r="AF961" t="s">
        <v>473</v>
      </c>
    </row>
    <row r="962" spans="32:32" x14ac:dyDescent="0.2">
      <c r="AF962" t="s">
        <v>473</v>
      </c>
    </row>
    <row r="963" spans="32:32" x14ac:dyDescent="0.2">
      <c r="AF963" t="s">
        <v>473</v>
      </c>
    </row>
    <row r="964" spans="32:32" x14ac:dyDescent="0.2">
      <c r="AF964" t="s">
        <v>473</v>
      </c>
    </row>
    <row r="965" spans="32:32" x14ac:dyDescent="0.2">
      <c r="AF965" t="s">
        <v>473</v>
      </c>
    </row>
    <row r="966" spans="32:32" x14ac:dyDescent="0.2">
      <c r="AF966" t="s">
        <v>473</v>
      </c>
    </row>
    <row r="967" spans="32:32" x14ac:dyDescent="0.2">
      <c r="AF967" t="s">
        <v>473</v>
      </c>
    </row>
    <row r="968" spans="32:32" x14ac:dyDescent="0.2">
      <c r="AF968" t="s">
        <v>473</v>
      </c>
    </row>
    <row r="969" spans="32:32" x14ac:dyDescent="0.2">
      <c r="AF969" t="s">
        <v>473</v>
      </c>
    </row>
    <row r="970" spans="32:32" x14ac:dyDescent="0.2">
      <c r="AF970" t="s">
        <v>473</v>
      </c>
    </row>
    <row r="971" spans="32:32" x14ac:dyDescent="0.2">
      <c r="AF971" t="s">
        <v>473</v>
      </c>
    </row>
    <row r="972" spans="32:32" x14ac:dyDescent="0.2">
      <c r="AF972" t="s">
        <v>473</v>
      </c>
    </row>
    <row r="973" spans="32:32" x14ac:dyDescent="0.2">
      <c r="AF973" t="s">
        <v>473</v>
      </c>
    </row>
    <row r="974" spans="32:32" x14ac:dyDescent="0.2">
      <c r="AF974" t="s">
        <v>473</v>
      </c>
    </row>
    <row r="975" spans="32:32" x14ac:dyDescent="0.2">
      <c r="AF975" t="s">
        <v>473</v>
      </c>
    </row>
    <row r="976" spans="32:32" x14ac:dyDescent="0.2">
      <c r="AF976" t="s">
        <v>473</v>
      </c>
    </row>
    <row r="977" spans="32:32" x14ac:dyDescent="0.2">
      <c r="AF977" t="s">
        <v>473</v>
      </c>
    </row>
    <row r="978" spans="32:32" x14ac:dyDescent="0.2">
      <c r="AF978" t="s">
        <v>473</v>
      </c>
    </row>
    <row r="979" spans="32:32" x14ac:dyDescent="0.2">
      <c r="AF979" t="s">
        <v>473</v>
      </c>
    </row>
    <row r="980" spans="32:32" x14ac:dyDescent="0.2">
      <c r="AF980" t="s">
        <v>473</v>
      </c>
    </row>
    <row r="981" spans="32:32" x14ac:dyDescent="0.2">
      <c r="AF981" t="s">
        <v>473</v>
      </c>
    </row>
    <row r="982" spans="32:32" x14ac:dyDescent="0.2">
      <c r="AF982" t="s">
        <v>473</v>
      </c>
    </row>
    <row r="983" spans="32:32" x14ac:dyDescent="0.2">
      <c r="AF983" t="s">
        <v>473</v>
      </c>
    </row>
    <row r="984" spans="32:32" x14ac:dyDescent="0.2">
      <c r="AF984" t="s">
        <v>473</v>
      </c>
    </row>
    <row r="985" spans="32:32" x14ac:dyDescent="0.2">
      <c r="AF985" t="s">
        <v>473</v>
      </c>
    </row>
    <row r="986" spans="32:32" x14ac:dyDescent="0.2">
      <c r="AF986" t="s">
        <v>473</v>
      </c>
    </row>
    <row r="987" spans="32:32" x14ac:dyDescent="0.2">
      <c r="AF987" t="s">
        <v>473</v>
      </c>
    </row>
    <row r="988" spans="32:32" x14ac:dyDescent="0.2">
      <c r="AF988" t="s">
        <v>473</v>
      </c>
    </row>
    <row r="989" spans="32:32" x14ac:dyDescent="0.2">
      <c r="AF989" t="s">
        <v>473</v>
      </c>
    </row>
    <row r="990" spans="32:32" x14ac:dyDescent="0.2">
      <c r="AF990" t="s">
        <v>473</v>
      </c>
    </row>
    <row r="991" spans="32:32" x14ac:dyDescent="0.2">
      <c r="AF991" t="s">
        <v>473</v>
      </c>
    </row>
    <row r="992" spans="32:32" x14ac:dyDescent="0.2">
      <c r="AF992" t="s">
        <v>473</v>
      </c>
    </row>
    <row r="993" spans="32:32" x14ac:dyDescent="0.2">
      <c r="AF993" t="s">
        <v>473</v>
      </c>
    </row>
    <row r="994" spans="32:32" x14ac:dyDescent="0.2">
      <c r="AF994" t="s">
        <v>473</v>
      </c>
    </row>
    <row r="995" spans="32:32" x14ac:dyDescent="0.2">
      <c r="AF995" t="s">
        <v>473</v>
      </c>
    </row>
    <row r="996" spans="32:32" x14ac:dyDescent="0.2">
      <c r="AF996" t="s">
        <v>473</v>
      </c>
    </row>
    <row r="997" spans="32:32" x14ac:dyDescent="0.2">
      <c r="AF997" t="s">
        <v>473</v>
      </c>
    </row>
    <row r="998" spans="32:32" x14ac:dyDescent="0.2">
      <c r="AF998" t="s">
        <v>473</v>
      </c>
    </row>
    <row r="999" spans="32:32" x14ac:dyDescent="0.2">
      <c r="AF999" t="s">
        <v>473</v>
      </c>
    </row>
    <row r="1000" spans="32:32" x14ac:dyDescent="0.2">
      <c r="AF1000" t="s">
        <v>473</v>
      </c>
    </row>
    <row r="1001" spans="32:32" x14ac:dyDescent="0.2">
      <c r="AF1001" t="s">
        <v>473</v>
      </c>
    </row>
    <row r="1002" spans="32:32" x14ac:dyDescent="0.2">
      <c r="AF1002" t="s">
        <v>473</v>
      </c>
    </row>
    <row r="1003" spans="32:32" x14ac:dyDescent="0.2">
      <c r="AF1003" t="s">
        <v>473</v>
      </c>
    </row>
    <row r="1004" spans="32:32" x14ac:dyDescent="0.2">
      <c r="AF1004" t="s">
        <v>473</v>
      </c>
    </row>
    <row r="1005" spans="32:32" x14ac:dyDescent="0.2">
      <c r="AF1005" t="s">
        <v>473</v>
      </c>
    </row>
    <row r="1006" spans="32:32" x14ac:dyDescent="0.2">
      <c r="AF1006" t="s">
        <v>473</v>
      </c>
    </row>
    <row r="1007" spans="32:32" x14ac:dyDescent="0.2">
      <c r="AF1007" t="s">
        <v>473</v>
      </c>
    </row>
    <row r="1008" spans="32:32" x14ac:dyDescent="0.2">
      <c r="AF1008" t="s">
        <v>473</v>
      </c>
    </row>
    <row r="1009" spans="32:32" x14ac:dyDescent="0.2">
      <c r="AF1009" t="s">
        <v>473</v>
      </c>
    </row>
    <row r="1010" spans="32:32" x14ac:dyDescent="0.2">
      <c r="AF1010" t="s">
        <v>473</v>
      </c>
    </row>
    <row r="1011" spans="32:32" x14ac:dyDescent="0.2">
      <c r="AF1011" t="s">
        <v>473</v>
      </c>
    </row>
    <row r="1012" spans="32:32" x14ac:dyDescent="0.2">
      <c r="AF1012" t="s">
        <v>473</v>
      </c>
    </row>
    <row r="1013" spans="32:32" x14ac:dyDescent="0.2">
      <c r="AF1013" t="s">
        <v>473</v>
      </c>
    </row>
    <row r="1014" spans="32:32" x14ac:dyDescent="0.2">
      <c r="AF1014" t="s">
        <v>473</v>
      </c>
    </row>
    <row r="1015" spans="32:32" x14ac:dyDescent="0.2">
      <c r="AF1015" t="s">
        <v>473</v>
      </c>
    </row>
    <row r="1016" spans="32:32" x14ac:dyDescent="0.2">
      <c r="AF1016" t="s">
        <v>473</v>
      </c>
    </row>
    <row r="1017" spans="32:32" x14ac:dyDescent="0.2">
      <c r="AF1017" t="s">
        <v>473</v>
      </c>
    </row>
    <row r="1018" spans="32:32" x14ac:dyDescent="0.2">
      <c r="AF1018" t="s">
        <v>473</v>
      </c>
    </row>
    <row r="1019" spans="32:32" x14ac:dyDescent="0.2">
      <c r="AF1019" t="s">
        <v>473</v>
      </c>
    </row>
    <row r="1020" spans="32:32" x14ac:dyDescent="0.2">
      <c r="AF1020" t="s">
        <v>473</v>
      </c>
    </row>
    <row r="1021" spans="32:32" x14ac:dyDescent="0.2">
      <c r="AF1021" t="s">
        <v>473</v>
      </c>
    </row>
    <row r="1022" spans="32:32" x14ac:dyDescent="0.2">
      <c r="AF1022" t="s">
        <v>473</v>
      </c>
    </row>
    <row r="1023" spans="32:32" x14ac:dyDescent="0.2">
      <c r="AF1023" t="s">
        <v>473</v>
      </c>
    </row>
    <row r="1024" spans="32:32" x14ac:dyDescent="0.2">
      <c r="AF1024" t="s">
        <v>473</v>
      </c>
    </row>
    <row r="1025" spans="32:32" x14ac:dyDescent="0.2">
      <c r="AF1025" t="s">
        <v>473</v>
      </c>
    </row>
    <row r="1026" spans="32:32" x14ac:dyDescent="0.2">
      <c r="AF1026" t="s">
        <v>473</v>
      </c>
    </row>
    <row r="1027" spans="32:32" x14ac:dyDescent="0.2">
      <c r="AF1027" t="s">
        <v>473</v>
      </c>
    </row>
    <row r="1028" spans="32:32" x14ac:dyDescent="0.2">
      <c r="AF1028" t="s">
        <v>473</v>
      </c>
    </row>
    <row r="1029" spans="32:32" x14ac:dyDescent="0.2">
      <c r="AF1029" t="s">
        <v>473</v>
      </c>
    </row>
    <row r="1030" spans="32:32" x14ac:dyDescent="0.2">
      <c r="AF1030" t="s">
        <v>473</v>
      </c>
    </row>
    <row r="1031" spans="32:32" x14ac:dyDescent="0.2">
      <c r="AF1031" t="s">
        <v>473</v>
      </c>
    </row>
    <row r="1032" spans="32:32" x14ac:dyDescent="0.2">
      <c r="AF1032" t="s">
        <v>473</v>
      </c>
    </row>
    <row r="1033" spans="32:32" x14ac:dyDescent="0.2">
      <c r="AF1033" t="s">
        <v>473</v>
      </c>
    </row>
    <row r="1034" spans="32:32" x14ac:dyDescent="0.2">
      <c r="AF1034" t="s">
        <v>473</v>
      </c>
    </row>
    <row r="1035" spans="32:32" x14ac:dyDescent="0.2">
      <c r="AF1035" t="s">
        <v>473</v>
      </c>
    </row>
    <row r="1036" spans="32:32" x14ac:dyDescent="0.2">
      <c r="AF1036" t="s">
        <v>473</v>
      </c>
    </row>
    <row r="1037" spans="32:32" x14ac:dyDescent="0.2">
      <c r="AF1037" t="s">
        <v>473</v>
      </c>
    </row>
    <row r="1038" spans="32:32" x14ac:dyDescent="0.2">
      <c r="AF1038" t="s">
        <v>473</v>
      </c>
    </row>
    <row r="1039" spans="32:32" x14ac:dyDescent="0.2">
      <c r="AF1039" t="s">
        <v>473</v>
      </c>
    </row>
    <row r="1040" spans="32:32" x14ac:dyDescent="0.2">
      <c r="AF1040" t="s">
        <v>473</v>
      </c>
    </row>
    <row r="1041" spans="32:32" x14ac:dyDescent="0.2">
      <c r="AF1041" t="s">
        <v>473</v>
      </c>
    </row>
    <row r="1042" spans="32:32" x14ac:dyDescent="0.2">
      <c r="AF1042" t="s">
        <v>473</v>
      </c>
    </row>
    <row r="1043" spans="32:32" x14ac:dyDescent="0.2">
      <c r="AF1043" t="s">
        <v>473</v>
      </c>
    </row>
    <row r="1044" spans="32:32" x14ac:dyDescent="0.2">
      <c r="AF1044" t="s">
        <v>473</v>
      </c>
    </row>
    <row r="1045" spans="32:32" x14ac:dyDescent="0.2">
      <c r="AF1045" t="s">
        <v>473</v>
      </c>
    </row>
    <row r="1046" spans="32:32" x14ac:dyDescent="0.2">
      <c r="AF1046" t="s">
        <v>473</v>
      </c>
    </row>
    <row r="1047" spans="32:32" x14ac:dyDescent="0.2">
      <c r="AF1047" t="s">
        <v>473</v>
      </c>
    </row>
    <row r="1048" spans="32:32" x14ac:dyDescent="0.2">
      <c r="AF1048" t="s">
        <v>473</v>
      </c>
    </row>
    <row r="1049" spans="32:32" x14ac:dyDescent="0.2">
      <c r="AF1049" t="s">
        <v>473</v>
      </c>
    </row>
    <row r="1050" spans="32:32" x14ac:dyDescent="0.2">
      <c r="AF1050" t="s">
        <v>473</v>
      </c>
    </row>
    <row r="1051" spans="32:32" x14ac:dyDescent="0.2">
      <c r="AF1051" t="s">
        <v>473</v>
      </c>
    </row>
    <row r="1052" spans="32:32" x14ac:dyDescent="0.2">
      <c r="AF1052" t="s">
        <v>473</v>
      </c>
    </row>
    <row r="1053" spans="32:32" x14ac:dyDescent="0.2">
      <c r="AF1053" t="s">
        <v>473</v>
      </c>
    </row>
    <row r="1054" spans="32:32" x14ac:dyDescent="0.2">
      <c r="AF1054" t="s">
        <v>473</v>
      </c>
    </row>
    <row r="1055" spans="32:32" x14ac:dyDescent="0.2">
      <c r="AF1055" t="s">
        <v>473</v>
      </c>
    </row>
    <row r="1056" spans="32:32" x14ac:dyDescent="0.2">
      <c r="AF1056" t="s">
        <v>473</v>
      </c>
    </row>
    <row r="1057" spans="32:32" x14ac:dyDescent="0.2">
      <c r="AF1057" t="s">
        <v>473</v>
      </c>
    </row>
    <row r="1058" spans="32:32" x14ac:dyDescent="0.2">
      <c r="AF1058" t="s">
        <v>473</v>
      </c>
    </row>
    <row r="1059" spans="32:32" x14ac:dyDescent="0.2">
      <c r="AF1059" t="s">
        <v>473</v>
      </c>
    </row>
    <row r="1060" spans="32:32" x14ac:dyDescent="0.2">
      <c r="AF1060" t="s">
        <v>473</v>
      </c>
    </row>
    <row r="1061" spans="32:32" x14ac:dyDescent="0.2">
      <c r="AF1061" t="s">
        <v>473</v>
      </c>
    </row>
    <row r="1062" spans="32:32" x14ac:dyDescent="0.2">
      <c r="AF1062" t="s">
        <v>473</v>
      </c>
    </row>
    <row r="1063" spans="32:32" x14ac:dyDescent="0.2">
      <c r="AF1063" t="s">
        <v>473</v>
      </c>
    </row>
    <row r="1064" spans="32:32" x14ac:dyDescent="0.2">
      <c r="AF1064" t="s">
        <v>473</v>
      </c>
    </row>
    <row r="1065" spans="32:32" x14ac:dyDescent="0.2">
      <c r="AF1065" t="s">
        <v>473</v>
      </c>
    </row>
    <row r="1066" spans="32:32" x14ac:dyDescent="0.2">
      <c r="AF1066" t="s">
        <v>473</v>
      </c>
    </row>
    <row r="1067" spans="32:32" x14ac:dyDescent="0.2">
      <c r="AF1067" t="s">
        <v>473</v>
      </c>
    </row>
    <row r="1068" spans="32:32" x14ac:dyDescent="0.2">
      <c r="AF1068" t="s">
        <v>473</v>
      </c>
    </row>
    <row r="1069" spans="32:32" x14ac:dyDescent="0.2">
      <c r="AF1069" t="s">
        <v>473</v>
      </c>
    </row>
    <row r="1070" spans="32:32" x14ac:dyDescent="0.2">
      <c r="AF1070" t="s">
        <v>473</v>
      </c>
    </row>
    <row r="1071" spans="32:32" x14ac:dyDescent="0.2">
      <c r="AF1071" t="s">
        <v>473</v>
      </c>
    </row>
    <row r="1072" spans="32:32" x14ac:dyDescent="0.2">
      <c r="AF1072" t="s">
        <v>473</v>
      </c>
    </row>
    <row r="1073" spans="32:32" x14ac:dyDescent="0.2">
      <c r="AF1073" t="s">
        <v>473</v>
      </c>
    </row>
    <row r="1074" spans="32:32" x14ac:dyDescent="0.2">
      <c r="AF1074" t="s">
        <v>473</v>
      </c>
    </row>
    <row r="1075" spans="32:32" x14ac:dyDescent="0.2">
      <c r="AF1075" t="s">
        <v>473</v>
      </c>
    </row>
    <row r="1076" spans="32:32" x14ac:dyDescent="0.2">
      <c r="AF1076" t="s">
        <v>473</v>
      </c>
    </row>
    <row r="1077" spans="32:32" x14ac:dyDescent="0.2">
      <c r="AF1077" t="s">
        <v>473</v>
      </c>
    </row>
    <row r="1078" spans="32:32" x14ac:dyDescent="0.2">
      <c r="AF1078" t="s">
        <v>473</v>
      </c>
    </row>
    <row r="1079" spans="32:32" x14ac:dyDescent="0.2">
      <c r="AF1079" t="s">
        <v>473</v>
      </c>
    </row>
    <row r="1080" spans="32:32" x14ac:dyDescent="0.2">
      <c r="AF1080" t="s">
        <v>473</v>
      </c>
    </row>
    <row r="1081" spans="32:32" x14ac:dyDescent="0.2">
      <c r="AF1081" t="s">
        <v>473</v>
      </c>
    </row>
    <row r="1082" spans="32:32" x14ac:dyDescent="0.2">
      <c r="AF1082" t="s">
        <v>473</v>
      </c>
    </row>
    <row r="1083" spans="32:32" x14ac:dyDescent="0.2">
      <c r="AF1083" t="s">
        <v>473</v>
      </c>
    </row>
    <row r="1084" spans="32:32" x14ac:dyDescent="0.2">
      <c r="AF1084" t="s">
        <v>473</v>
      </c>
    </row>
    <row r="1085" spans="32:32" x14ac:dyDescent="0.2">
      <c r="AF1085" t="s">
        <v>473</v>
      </c>
    </row>
    <row r="1086" spans="32:32" x14ac:dyDescent="0.2">
      <c r="AF1086" t="s">
        <v>473</v>
      </c>
    </row>
    <row r="1087" spans="32:32" x14ac:dyDescent="0.2">
      <c r="AF1087" t="s">
        <v>473</v>
      </c>
    </row>
    <row r="1088" spans="32:32" x14ac:dyDescent="0.2">
      <c r="AF1088" t="s">
        <v>473</v>
      </c>
    </row>
    <row r="1089" spans="32:32" x14ac:dyDescent="0.2">
      <c r="AF1089" t="s">
        <v>473</v>
      </c>
    </row>
    <row r="1090" spans="32:32" x14ac:dyDescent="0.2">
      <c r="AF1090" t="s">
        <v>473</v>
      </c>
    </row>
    <row r="1091" spans="32:32" x14ac:dyDescent="0.2">
      <c r="AF1091" t="s">
        <v>473</v>
      </c>
    </row>
    <row r="1092" spans="32:32" x14ac:dyDescent="0.2">
      <c r="AF1092" t="s">
        <v>473</v>
      </c>
    </row>
    <row r="1093" spans="32:32" x14ac:dyDescent="0.2">
      <c r="AF1093" t="s">
        <v>473</v>
      </c>
    </row>
    <row r="1094" spans="32:32" x14ac:dyDescent="0.2">
      <c r="AF1094" t="s">
        <v>473</v>
      </c>
    </row>
    <row r="1095" spans="32:32" x14ac:dyDescent="0.2">
      <c r="AF1095" t="s">
        <v>473</v>
      </c>
    </row>
    <row r="1096" spans="32:32" x14ac:dyDescent="0.2">
      <c r="AF1096" t="s">
        <v>473</v>
      </c>
    </row>
    <row r="1097" spans="32:32" x14ac:dyDescent="0.2">
      <c r="AF1097" t="s">
        <v>473</v>
      </c>
    </row>
    <row r="1098" spans="32:32" x14ac:dyDescent="0.2">
      <c r="AF1098" t="s">
        <v>473</v>
      </c>
    </row>
    <row r="1099" spans="32:32" x14ac:dyDescent="0.2">
      <c r="AF1099" t="s">
        <v>473</v>
      </c>
    </row>
    <row r="1100" spans="32:32" x14ac:dyDescent="0.2">
      <c r="AF1100" t="s">
        <v>473</v>
      </c>
    </row>
    <row r="1101" spans="32:32" x14ac:dyDescent="0.2">
      <c r="AF1101" t="s">
        <v>473</v>
      </c>
    </row>
    <row r="1102" spans="32:32" x14ac:dyDescent="0.2">
      <c r="AF1102" t="s">
        <v>473</v>
      </c>
    </row>
    <row r="1103" spans="32:32" x14ac:dyDescent="0.2">
      <c r="AF1103" t="s">
        <v>473</v>
      </c>
    </row>
    <row r="1104" spans="32:32" x14ac:dyDescent="0.2">
      <c r="AF1104" t="s">
        <v>473</v>
      </c>
    </row>
    <row r="1105" spans="32:32" x14ac:dyDescent="0.2">
      <c r="AF1105" t="s">
        <v>473</v>
      </c>
    </row>
    <row r="1106" spans="32:32" x14ac:dyDescent="0.2">
      <c r="AF1106" t="s">
        <v>473</v>
      </c>
    </row>
    <row r="1107" spans="32:32" x14ac:dyDescent="0.2">
      <c r="AF1107" t="s">
        <v>473</v>
      </c>
    </row>
    <row r="1108" spans="32:32" x14ac:dyDescent="0.2">
      <c r="AF1108" t="s">
        <v>473</v>
      </c>
    </row>
    <row r="1109" spans="32:32" x14ac:dyDescent="0.2">
      <c r="AF1109" t="s">
        <v>473</v>
      </c>
    </row>
    <row r="1110" spans="32:32" x14ac:dyDescent="0.2">
      <c r="AF1110" t="s">
        <v>473</v>
      </c>
    </row>
    <row r="1111" spans="32:32" x14ac:dyDescent="0.2">
      <c r="AF1111" t="s">
        <v>473</v>
      </c>
    </row>
    <row r="1112" spans="32:32" x14ac:dyDescent="0.2">
      <c r="AF1112" t="s">
        <v>473</v>
      </c>
    </row>
    <row r="1113" spans="32:32" x14ac:dyDescent="0.2">
      <c r="AF1113" t="s">
        <v>473</v>
      </c>
    </row>
    <row r="1114" spans="32:32" x14ac:dyDescent="0.2">
      <c r="AF1114" t="s">
        <v>473</v>
      </c>
    </row>
    <row r="1115" spans="32:32" x14ac:dyDescent="0.2">
      <c r="AF1115" t="s">
        <v>473</v>
      </c>
    </row>
    <row r="1116" spans="32:32" x14ac:dyDescent="0.2">
      <c r="AF1116" t="s">
        <v>473</v>
      </c>
    </row>
    <row r="1117" spans="32:32" x14ac:dyDescent="0.2">
      <c r="AF1117" t="s">
        <v>473</v>
      </c>
    </row>
    <row r="1118" spans="32:32" x14ac:dyDescent="0.2">
      <c r="AF1118" t="s">
        <v>473</v>
      </c>
    </row>
    <row r="1119" spans="32:32" x14ac:dyDescent="0.2">
      <c r="AF1119" t="s">
        <v>473</v>
      </c>
    </row>
    <row r="1120" spans="32:32" x14ac:dyDescent="0.2">
      <c r="AF1120" t="s">
        <v>473</v>
      </c>
    </row>
    <row r="1121" spans="32:32" x14ac:dyDescent="0.2">
      <c r="AF1121" t="s">
        <v>473</v>
      </c>
    </row>
    <row r="1122" spans="32:32" x14ac:dyDescent="0.2">
      <c r="AF1122" t="s">
        <v>473</v>
      </c>
    </row>
    <row r="1123" spans="32:32" x14ac:dyDescent="0.2">
      <c r="AF1123" t="s">
        <v>473</v>
      </c>
    </row>
    <row r="1124" spans="32:32" x14ac:dyDescent="0.2">
      <c r="AF1124" t="s">
        <v>473</v>
      </c>
    </row>
    <row r="1125" spans="32:32" x14ac:dyDescent="0.2">
      <c r="AF1125" t="s">
        <v>473</v>
      </c>
    </row>
    <row r="1126" spans="32:32" x14ac:dyDescent="0.2">
      <c r="AF1126" t="s">
        <v>473</v>
      </c>
    </row>
    <row r="1127" spans="32:32" x14ac:dyDescent="0.2">
      <c r="AF1127" t="s">
        <v>473</v>
      </c>
    </row>
    <row r="1128" spans="32:32" x14ac:dyDescent="0.2">
      <c r="AF1128" t="s">
        <v>473</v>
      </c>
    </row>
    <row r="1129" spans="32:32" x14ac:dyDescent="0.2">
      <c r="AF1129" t="s">
        <v>473</v>
      </c>
    </row>
    <row r="1130" spans="32:32" x14ac:dyDescent="0.2">
      <c r="AF1130" t="s">
        <v>473</v>
      </c>
    </row>
    <row r="1131" spans="32:32" x14ac:dyDescent="0.2">
      <c r="AF1131" t="s">
        <v>473</v>
      </c>
    </row>
    <row r="1132" spans="32:32" x14ac:dyDescent="0.2">
      <c r="AF1132" t="s">
        <v>473</v>
      </c>
    </row>
    <row r="1133" spans="32:32" x14ac:dyDescent="0.2">
      <c r="AF1133" t="s">
        <v>473</v>
      </c>
    </row>
    <row r="1134" spans="32:32" x14ac:dyDescent="0.2">
      <c r="AF1134" t="s">
        <v>473</v>
      </c>
    </row>
    <row r="1135" spans="32:32" x14ac:dyDescent="0.2">
      <c r="AF1135" t="s">
        <v>473</v>
      </c>
    </row>
    <row r="1136" spans="32:32" x14ac:dyDescent="0.2">
      <c r="AF1136" t="s">
        <v>473</v>
      </c>
    </row>
    <row r="1137" spans="32:32" x14ac:dyDescent="0.2">
      <c r="AF1137" t="s">
        <v>473</v>
      </c>
    </row>
    <row r="1138" spans="32:32" x14ac:dyDescent="0.2">
      <c r="AF1138" t="s">
        <v>473</v>
      </c>
    </row>
    <row r="1139" spans="32:32" x14ac:dyDescent="0.2">
      <c r="AF1139" t="s">
        <v>473</v>
      </c>
    </row>
    <row r="1140" spans="32:32" x14ac:dyDescent="0.2">
      <c r="AF1140" t="s">
        <v>473</v>
      </c>
    </row>
    <row r="1141" spans="32:32" x14ac:dyDescent="0.2">
      <c r="AF1141" t="s">
        <v>473</v>
      </c>
    </row>
    <row r="1142" spans="32:32" x14ac:dyDescent="0.2">
      <c r="AF1142" t="s">
        <v>473</v>
      </c>
    </row>
    <row r="1143" spans="32:32" x14ac:dyDescent="0.2">
      <c r="AF1143" t="s">
        <v>473</v>
      </c>
    </row>
    <row r="1144" spans="32:32" x14ac:dyDescent="0.2">
      <c r="AF1144" t="s">
        <v>473</v>
      </c>
    </row>
    <row r="1145" spans="32:32" x14ac:dyDescent="0.2">
      <c r="AF1145" t="s">
        <v>473</v>
      </c>
    </row>
    <row r="1146" spans="32:32" x14ac:dyDescent="0.2">
      <c r="AF1146" t="s">
        <v>473</v>
      </c>
    </row>
    <row r="1147" spans="32:32" x14ac:dyDescent="0.2">
      <c r="AF1147" t="s">
        <v>473</v>
      </c>
    </row>
    <row r="1148" spans="32:32" x14ac:dyDescent="0.2">
      <c r="AF1148" t="s">
        <v>473</v>
      </c>
    </row>
    <row r="1149" spans="32:32" x14ac:dyDescent="0.2">
      <c r="AF1149" t="s">
        <v>473</v>
      </c>
    </row>
    <row r="1150" spans="32:32" x14ac:dyDescent="0.2">
      <c r="AF1150" t="s">
        <v>473</v>
      </c>
    </row>
    <row r="1151" spans="32:32" x14ac:dyDescent="0.2">
      <c r="AF1151" t="s">
        <v>473</v>
      </c>
    </row>
    <row r="1152" spans="32:32" x14ac:dyDescent="0.2">
      <c r="AF1152" t="s">
        <v>473</v>
      </c>
    </row>
    <row r="1153" spans="32:32" x14ac:dyDescent="0.2">
      <c r="AF1153" t="s">
        <v>473</v>
      </c>
    </row>
    <row r="1154" spans="32:32" x14ac:dyDescent="0.2">
      <c r="AF1154" t="s">
        <v>473</v>
      </c>
    </row>
    <row r="1155" spans="32:32" x14ac:dyDescent="0.2">
      <c r="AF1155" t="s">
        <v>473</v>
      </c>
    </row>
    <row r="1156" spans="32:32" x14ac:dyDescent="0.2">
      <c r="AF1156" t="s">
        <v>473</v>
      </c>
    </row>
    <row r="1157" spans="32:32" x14ac:dyDescent="0.2">
      <c r="AF1157" t="s">
        <v>473</v>
      </c>
    </row>
    <row r="1158" spans="32:32" x14ac:dyDescent="0.2">
      <c r="AF1158" t="s">
        <v>473</v>
      </c>
    </row>
    <row r="1159" spans="32:32" x14ac:dyDescent="0.2">
      <c r="AF1159" t="s">
        <v>473</v>
      </c>
    </row>
    <row r="1160" spans="32:32" x14ac:dyDescent="0.2">
      <c r="AF1160" t="s">
        <v>473</v>
      </c>
    </row>
    <row r="1161" spans="32:32" x14ac:dyDescent="0.2">
      <c r="AF1161" t="s">
        <v>473</v>
      </c>
    </row>
    <row r="1162" spans="32:32" x14ac:dyDescent="0.2">
      <c r="AF1162" t="s">
        <v>473</v>
      </c>
    </row>
    <row r="1163" spans="32:32" x14ac:dyDescent="0.2">
      <c r="AF1163" t="s">
        <v>473</v>
      </c>
    </row>
    <row r="1164" spans="32:32" x14ac:dyDescent="0.2">
      <c r="AF1164" t="s">
        <v>473</v>
      </c>
    </row>
    <row r="1165" spans="32:32" x14ac:dyDescent="0.2">
      <c r="AF1165" t="s">
        <v>473</v>
      </c>
    </row>
    <row r="1166" spans="32:32" x14ac:dyDescent="0.2">
      <c r="AF1166" t="s">
        <v>473</v>
      </c>
    </row>
    <row r="1167" spans="32:32" x14ac:dyDescent="0.2">
      <c r="AF1167" t="s">
        <v>473</v>
      </c>
    </row>
    <row r="1168" spans="32:32" x14ac:dyDescent="0.2">
      <c r="AF1168" t="s">
        <v>473</v>
      </c>
    </row>
    <row r="1169" spans="32:32" x14ac:dyDescent="0.2">
      <c r="AF1169" t="s">
        <v>473</v>
      </c>
    </row>
    <row r="1170" spans="32:32" x14ac:dyDescent="0.2">
      <c r="AF1170" t="s">
        <v>473</v>
      </c>
    </row>
    <row r="1171" spans="32:32" x14ac:dyDescent="0.2">
      <c r="AF1171" t="s">
        <v>473</v>
      </c>
    </row>
    <row r="1172" spans="32:32" x14ac:dyDescent="0.2">
      <c r="AF1172" t="s">
        <v>473</v>
      </c>
    </row>
    <row r="1173" spans="32:32" x14ac:dyDescent="0.2">
      <c r="AF1173" t="s">
        <v>473</v>
      </c>
    </row>
    <row r="1174" spans="32:32" x14ac:dyDescent="0.2">
      <c r="AF1174" t="s">
        <v>473</v>
      </c>
    </row>
    <row r="1175" spans="32:32" x14ac:dyDescent="0.2">
      <c r="AF1175" t="s">
        <v>473</v>
      </c>
    </row>
    <row r="1176" spans="32:32" x14ac:dyDescent="0.2">
      <c r="AF1176" t="s">
        <v>473</v>
      </c>
    </row>
    <row r="1177" spans="32:32" x14ac:dyDescent="0.2">
      <c r="AF1177" t="s">
        <v>473</v>
      </c>
    </row>
    <row r="1178" spans="32:32" x14ac:dyDescent="0.2">
      <c r="AF1178" t="s">
        <v>473</v>
      </c>
    </row>
    <row r="1179" spans="32:32" x14ac:dyDescent="0.2">
      <c r="AF1179" t="s">
        <v>473</v>
      </c>
    </row>
    <row r="1180" spans="32:32" x14ac:dyDescent="0.2">
      <c r="AF1180" t="s">
        <v>473</v>
      </c>
    </row>
    <row r="1181" spans="32:32" x14ac:dyDescent="0.2">
      <c r="AF1181" t="s">
        <v>473</v>
      </c>
    </row>
    <row r="1182" spans="32:32" x14ac:dyDescent="0.2">
      <c r="AF1182" t="s">
        <v>473</v>
      </c>
    </row>
    <row r="1183" spans="32:32" x14ac:dyDescent="0.2">
      <c r="AF1183" t="s">
        <v>473</v>
      </c>
    </row>
    <row r="1184" spans="32:32" x14ac:dyDescent="0.2">
      <c r="AF1184" t="s">
        <v>473</v>
      </c>
    </row>
    <row r="1185" spans="32:32" x14ac:dyDescent="0.2">
      <c r="AF1185" t="s">
        <v>473</v>
      </c>
    </row>
    <row r="1186" spans="32:32" x14ac:dyDescent="0.2">
      <c r="AF1186" t="s">
        <v>473</v>
      </c>
    </row>
    <row r="1187" spans="32:32" x14ac:dyDescent="0.2">
      <c r="AF1187" t="s">
        <v>473</v>
      </c>
    </row>
    <row r="1188" spans="32:32" x14ac:dyDescent="0.2">
      <c r="AF1188" t="s">
        <v>473</v>
      </c>
    </row>
    <row r="1189" spans="32:32" x14ac:dyDescent="0.2">
      <c r="AF1189" t="s">
        <v>473</v>
      </c>
    </row>
    <row r="1190" spans="32:32" x14ac:dyDescent="0.2">
      <c r="AF1190" t="s">
        <v>473</v>
      </c>
    </row>
    <row r="1191" spans="32:32" x14ac:dyDescent="0.2">
      <c r="AF1191" t="s">
        <v>473</v>
      </c>
    </row>
    <row r="1192" spans="32:32" x14ac:dyDescent="0.2">
      <c r="AF1192" t="s">
        <v>473</v>
      </c>
    </row>
    <row r="1193" spans="32:32" x14ac:dyDescent="0.2">
      <c r="AF1193" t="s">
        <v>473</v>
      </c>
    </row>
    <row r="1194" spans="32:32" x14ac:dyDescent="0.2">
      <c r="AF1194" t="s">
        <v>473</v>
      </c>
    </row>
    <row r="1195" spans="32:32" x14ac:dyDescent="0.2">
      <c r="AF1195" t="s">
        <v>473</v>
      </c>
    </row>
    <row r="1196" spans="32:32" x14ac:dyDescent="0.2">
      <c r="AF1196" t="s">
        <v>473</v>
      </c>
    </row>
    <row r="1197" spans="32:32" x14ac:dyDescent="0.2">
      <c r="AF1197" t="s">
        <v>473</v>
      </c>
    </row>
    <row r="1198" spans="32:32" x14ac:dyDescent="0.2">
      <c r="AF1198" t="s">
        <v>473</v>
      </c>
    </row>
    <row r="1199" spans="32:32" x14ac:dyDescent="0.2">
      <c r="AF1199" t="s">
        <v>473</v>
      </c>
    </row>
    <row r="1200" spans="32:32" x14ac:dyDescent="0.2">
      <c r="AF1200" t="s">
        <v>473</v>
      </c>
    </row>
    <row r="1201" spans="32:32" x14ac:dyDescent="0.2">
      <c r="AF1201" t="s">
        <v>473</v>
      </c>
    </row>
    <row r="1202" spans="32:32" x14ac:dyDescent="0.2">
      <c r="AF1202" t="s">
        <v>473</v>
      </c>
    </row>
    <row r="1203" spans="32:32" x14ac:dyDescent="0.2">
      <c r="AF1203" t="s">
        <v>473</v>
      </c>
    </row>
    <row r="1204" spans="32:32" x14ac:dyDescent="0.2">
      <c r="AF1204" t="s">
        <v>473</v>
      </c>
    </row>
    <row r="1205" spans="32:32" x14ac:dyDescent="0.2">
      <c r="AF1205" t="s">
        <v>473</v>
      </c>
    </row>
    <row r="1206" spans="32:32" x14ac:dyDescent="0.2">
      <c r="AF1206" t="s">
        <v>473</v>
      </c>
    </row>
    <row r="1207" spans="32:32" x14ac:dyDescent="0.2">
      <c r="AF1207" t="s">
        <v>473</v>
      </c>
    </row>
    <row r="1208" spans="32:32" x14ac:dyDescent="0.2">
      <c r="AF1208" t="s">
        <v>473</v>
      </c>
    </row>
    <row r="1209" spans="32:32" x14ac:dyDescent="0.2">
      <c r="AF1209" t="s">
        <v>473</v>
      </c>
    </row>
    <row r="1210" spans="32:32" x14ac:dyDescent="0.2">
      <c r="AF1210" t="s">
        <v>473</v>
      </c>
    </row>
    <row r="1211" spans="32:32" x14ac:dyDescent="0.2">
      <c r="AF1211" t="s">
        <v>473</v>
      </c>
    </row>
    <row r="1212" spans="32:32" x14ac:dyDescent="0.2">
      <c r="AF1212" t="s">
        <v>473</v>
      </c>
    </row>
    <row r="1213" spans="32:32" x14ac:dyDescent="0.2">
      <c r="AF1213" t="s">
        <v>473</v>
      </c>
    </row>
    <row r="1214" spans="32:32" x14ac:dyDescent="0.2">
      <c r="AF1214" t="s">
        <v>473</v>
      </c>
    </row>
    <row r="1215" spans="32:32" x14ac:dyDescent="0.2">
      <c r="AF1215" t="s">
        <v>473</v>
      </c>
    </row>
    <row r="1216" spans="32:32" x14ac:dyDescent="0.2">
      <c r="AF1216" t="s">
        <v>473</v>
      </c>
    </row>
    <row r="1217" spans="32:32" x14ac:dyDescent="0.2">
      <c r="AF1217" t="s">
        <v>473</v>
      </c>
    </row>
    <row r="1218" spans="32:32" x14ac:dyDescent="0.2">
      <c r="AF1218" t="s">
        <v>473</v>
      </c>
    </row>
    <row r="1219" spans="32:32" x14ac:dyDescent="0.2">
      <c r="AF1219" t="s">
        <v>473</v>
      </c>
    </row>
    <row r="1220" spans="32:32" x14ac:dyDescent="0.2">
      <c r="AF1220" t="s">
        <v>473</v>
      </c>
    </row>
    <row r="1221" spans="32:32" x14ac:dyDescent="0.2">
      <c r="AF1221" t="s">
        <v>473</v>
      </c>
    </row>
    <row r="1222" spans="32:32" x14ac:dyDescent="0.2">
      <c r="AF1222" t="s">
        <v>473</v>
      </c>
    </row>
    <row r="1223" spans="32:32" x14ac:dyDescent="0.2">
      <c r="AF1223" t="s">
        <v>473</v>
      </c>
    </row>
    <row r="1224" spans="32:32" x14ac:dyDescent="0.2">
      <c r="AF1224" t="s">
        <v>473</v>
      </c>
    </row>
    <row r="1225" spans="32:32" x14ac:dyDescent="0.2">
      <c r="AF1225" t="s">
        <v>473</v>
      </c>
    </row>
    <row r="1226" spans="32:32" x14ac:dyDescent="0.2">
      <c r="AF1226" t="s">
        <v>473</v>
      </c>
    </row>
    <row r="1227" spans="32:32" x14ac:dyDescent="0.2">
      <c r="AF1227" t="s">
        <v>473</v>
      </c>
    </row>
    <row r="1228" spans="32:32" x14ac:dyDescent="0.2">
      <c r="AF1228" t="s">
        <v>473</v>
      </c>
    </row>
    <row r="1229" spans="32:32" x14ac:dyDescent="0.2">
      <c r="AF1229" t="s">
        <v>473</v>
      </c>
    </row>
    <row r="1230" spans="32:32" x14ac:dyDescent="0.2">
      <c r="AF1230" t="s">
        <v>473</v>
      </c>
    </row>
    <row r="1231" spans="32:32" x14ac:dyDescent="0.2">
      <c r="AF1231" t="s">
        <v>473</v>
      </c>
    </row>
    <row r="1232" spans="32:32" x14ac:dyDescent="0.2">
      <c r="AF1232" t="s">
        <v>473</v>
      </c>
    </row>
    <row r="1233" spans="32:32" x14ac:dyDescent="0.2">
      <c r="AF1233" t="s">
        <v>473</v>
      </c>
    </row>
    <row r="1234" spans="32:32" x14ac:dyDescent="0.2">
      <c r="AF1234" t="s">
        <v>473</v>
      </c>
    </row>
    <row r="1235" spans="32:32" x14ac:dyDescent="0.2">
      <c r="AF1235" t="s">
        <v>473</v>
      </c>
    </row>
    <row r="1236" spans="32:32" x14ac:dyDescent="0.2">
      <c r="AF1236" t="s">
        <v>473</v>
      </c>
    </row>
    <row r="1237" spans="32:32" x14ac:dyDescent="0.2">
      <c r="AF1237" t="s">
        <v>473</v>
      </c>
    </row>
    <row r="1238" spans="32:32" x14ac:dyDescent="0.2">
      <c r="AF1238" t="s">
        <v>473</v>
      </c>
    </row>
    <row r="1239" spans="32:32" x14ac:dyDescent="0.2">
      <c r="AF1239" t="s">
        <v>473</v>
      </c>
    </row>
    <row r="1240" spans="32:32" x14ac:dyDescent="0.2">
      <c r="AF1240" t="s">
        <v>473</v>
      </c>
    </row>
    <row r="1241" spans="32:32" x14ac:dyDescent="0.2">
      <c r="AF1241" t="s">
        <v>473</v>
      </c>
    </row>
    <row r="1242" spans="32:32" x14ac:dyDescent="0.2">
      <c r="AF1242" t="s">
        <v>473</v>
      </c>
    </row>
    <row r="1243" spans="32:32" x14ac:dyDescent="0.2">
      <c r="AF1243" t="s">
        <v>473</v>
      </c>
    </row>
    <row r="1244" spans="32:32" x14ac:dyDescent="0.2">
      <c r="AF1244" t="s">
        <v>473</v>
      </c>
    </row>
    <row r="1245" spans="32:32" x14ac:dyDescent="0.2">
      <c r="AF1245" t="s">
        <v>473</v>
      </c>
    </row>
    <row r="1246" spans="32:32" x14ac:dyDescent="0.2">
      <c r="AF1246" t="s">
        <v>473</v>
      </c>
    </row>
    <row r="1247" spans="32:32" x14ac:dyDescent="0.2">
      <c r="AF1247" t="s">
        <v>473</v>
      </c>
    </row>
    <row r="1248" spans="32:32" x14ac:dyDescent="0.2">
      <c r="AF1248" t="s">
        <v>473</v>
      </c>
    </row>
    <row r="1249" spans="32:32" x14ac:dyDescent="0.2">
      <c r="AF1249" t="s">
        <v>473</v>
      </c>
    </row>
    <row r="1250" spans="32:32" x14ac:dyDescent="0.2">
      <c r="AF1250" t="s">
        <v>473</v>
      </c>
    </row>
    <row r="1251" spans="32:32" x14ac:dyDescent="0.2">
      <c r="AF1251" t="s">
        <v>473</v>
      </c>
    </row>
    <row r="1252" spans="32:32" x14ac:dyDescent="0.2">
      <c r="AF1252" t="s">
        <v>473</v>
      </c>
    </row>
    <row r="1253" spans="32:32" x14ac:dyDescent="0.2">
      <c r="AF1253" t="s">
        <v>473</v>
      </c>
    </row>
    <row r="1254" spans="32:32" x14ac:dyDescent="0.2">
      <c r="AF1254" t="s">
        <v>473</v>
      </c>
    </row>
    <row r="1255" spans="32:32" x14ac:dyDescent="0.2">
      <c r="AF1255" t="s">
        <v>473</v>
      </c>
    </row>
    <row r="1256" spans="32:32" x14ac:dyDescent="0.2">
      <c r="AF1256" t="s">
        <v>473</v>
      </c>
    </row>
    <row r="1257" spans="32:32" x14ac:dyDescent="0.2">
      <c r="AF1257" t="s">
        <v>473</v>
      </c>
    </row>
    <row r="1258" spans="32:32" x14ac:dyDescent="0.2">
      <c r="AF1258" t="s">
        <v>473</v>
      </c>
    </row>
    <row r="1259" spans="32:32" x14ac:dyDescent="0.2">
      <c r="AF1259" t="s">
        <v>473</v>
      </c>
    </row>
    <row r="1260" spans="32:32" x14ac:dyDescent="0.2">
      <c r="AF1260" t="s">
        <v>473</v>
      </c>
    </row>
    <row r="1261" spans="32:32" x14ac:dyDescent="0.2">
      <c r="AF1261" t="s">
        <v>473</v>
      </c>
    </row>
    <row r="1262" spans="32:32" x14ac:dyDescent="0.2">
      <c r="AF1262" t="s">
        <v>473</v>
      </c>
    </row>
    <row r="1263" spans="32:32" x14ac:dyDescent="0.2">
      <c r="AF1263" t="s">
        <v>473</v>
      </c>
    </row>
    <row r="1264" spans="32:32" x14ac:dyDescent="0.2">
      <c r="AF1264" t="s">
        <v>473</v>
      </c>
    </row>
    <row r="1265" spans="32:32" x14ac:dyDescent="0.2">
      <c r="AF1265" t="s">
        <v>473</v>
      </c>
    </row>
    <row r="1266" spans="32:32" x14ac:dyDescent="0.2">
      <c r="AF1266" t="s">
        <v>473</v>
      </c>
    </row>
    <row r="1267" spans="32:32" x14ac:dyDescent="0.2">
      <c r="AF1267" t="s">
        <v>473</v>
      </c>
    </row>
    <row r="1268" spans="32:32" x14ac:dyDescent="0.2">
      <c r="AF1268" t="s">
        <v>473</v>
      </c>
    </row>
    <row r="1269" spans="32:32" x14ac:dyDescent="0.2">
      <c r="AF1269" t="s">
        <v>473</v>
      </c>
    </row>
    <row r="1270" spans="32:32" x14ac:dyDescent="0.2">
      <c r="AF1270" t="s">
        <v>473</v>
      </c>
    </row>
    <row r="1271" spans="32:32" x14ac:dyDescent="0.2">
      <c r="AF1271" t="s">
        <v>473</v>
      </c>
    </row>
    <row r="1272" spans="32:32" x14ac:dyDescent="0.2">
      <c r="AF1272" t="s">
        <v>473</v>
      </c>
    </row>
    <row r="1273" spans="32:32" x14ac:dyDescent="0.2">
      <c r="AF1273" t="s">
        <v>473</v>
      </c>
    </row>
    <row r="1274" spans="32:32" x14ac:dyDescent="0.2">
      <c r="AF1274" t="s">
        <v>473</v>
      </c>
    </row>
    <row r="1275" spans="32:32" x14ac:dyDescent="0.2">
      <c r="AF1275" t="s">
        <v>473</v>
      </c>
    </row>
    <row r="1276" spans="32:32" x14ac:dyDescent="0.2">
      <c r="AF1276" t="s">
        <v>473</v>
      </c>
    </row>
    <row r="1277" spans="32:32" x14ac:dyDescent="0.2">
      <c r="AF1277" t="s">
        <v>473</v>
      </c>
    </row>
    <row r="1278" spans="32:32" x14ac:dyDescent="0.2">
      <c r="AF1278" t="s">
        <v>473</v>
      </c>
    </row>
    <row r="1279" spans="32:32" x14ac:dyDescent="0.2">
      <c r="AF1279" t="s">
        <v>473</v>
      </c>
    </row>
    <row r="1280" spans="32:32" x14ac:dyDescent="0.2">
      <c r="AF1280" t="s">
        <v>473</v>
      </c>
    </row>
    <row r="1281" spans="32:32" x14ac:dyDescent="0.2">
      <c r="AF1281" t="s">
        <v>473</v>
      </c>
    </row>
    <row r="1282" spans="32:32" x14ac:dyDescent="0.2">
      <c r="AF1282" t="s">
        <v>473</v>
      </c>
    </row>
    <row r="1283" spans="32:32" x14ac:dyDescent="0.2">
      <c r="AF1283" t="s">
        <v>473</v>
      </c>
    </row>
    <row r="1284" spans="32:32" x14ac:dyDescent="0.2">
      <c r="AF1284" t="s">
        <v>473</v>
      </c>
    </row>
    <row r="1285" spans="32:32" x14ac:dyDescent="0.2">
      <c r="AF1285" t="s">
        <v>473</v>
      </c>
    </row>
    <row r="1286" spans="32:32" x14ac:dyDescent="0.2">
      <c r="AF1286" t="s">
        <v>473</v>
      </c>
    </row>
    <row r="1287" spans="32:32" x14ac:dyDescent="0.2">
      <c r="AF1287" t="s">
        <v>473</v>
      </c>
    </row>
    <row r="1288" spans="32:32" x14ac:dyDescent="0.2">
      <c r="AF1288" t="s">
        <v>473</v>
      </c>
    </row>
    <row r="1289" spans="32:32" x14ac:dyDescent="0.2">
      <c r="AF1289" t="s">
        <v>473</v>
      </c>
    </row>
    <row r="1290" spans="32:32" x14ac:dyDescent="0.2">
      <c r="AF1290" t="s">
        <v>473</v>
      </c>
    </row>
    <row r="1291" spans="32:32" x14ac:dyDescent="0.2">
      <c r="AF1291" t="s">
        <v>473</v>
      </c>
    </row>
    <row r="1292" spans="32:32" x14ac:dyDescent="0.2">
      <c r="AF1292" t="s">
        <v>473</v>
      </c>
    </row>
    <row r="1293" spans="32:32" x14ac:dyDescent="0.2">
      <c r="AF1293" t="s">
        <v>473</v>
      </c>
    </row>
    <row r="1294" spans="32:32" x14ac:dyDescent="0.2">
      <c r="AF1294" t="s">
        <v>473</v>
      </c>
    </row>
    <row r="1295" spans="32:32" x14ac:dyDescent="0.2">
      <c r="AF1295" t="s">
        <v>473</v>
      </c>
    </row>
    <row r="1296" spans="32:32" x14ac:dyDescent="0.2">
      <c r="AF1296" t="s">
        <v>473</v>
      </c>
    </row>
    <row r="1297" spans="32:32" x14ac:dyDescent="0.2">
      <c r="AF1297" t="s">
        <v>473</v>
      </c>
    </row>
    <row r="1298" spans="32:32" x14ac:dyDescent="0.2">
      <c r="AF1298" t="s">
        <v>473</v>
      </c>
    </row>
    <row r="1299" spans="32:32" x14ac:dyDescent="0.2">
      <c r="AF1299" t="s">
        <v>473</v>
      </c>
    </row>
    <row r="1300" spans="32:32" x14ac:dyDescent="0.2">
      <c r="AF1300" t="s">
        <v>473</v>
      </c>
    </row>
    <row r="1301" spans="32:32" x14ac:dyDescent="0.2">
      <c r="AF1301" t="s">
        <v>473</v>
      </c>
    </row>
    <row r="1302" spans="32:32" x14ac:dyDescent="0.2">
      <c r="AF1302" t="s">
        <v>473</v>
      </c>
    </row>
    <row r="1303" spans="32:32" x14ac:dyDescent="0.2">
      <c r="AF1303" t="s">
        <v>473</v>
      </c>
    </row>
    <row r="1304" spans="32:32" x14ac:dyDescent="0.2">
      <c r="AF1304" t="s">
        <v>473</v>
      </c>
    </row>
    <row r="1305" spans="32:32" x14ac:dyDescent="0.2">
      <c r="AF1305" t="s">
        <v>473</v>
      </c>
    </row>
    <row r="1306" spans="32:32" x14ac:dyDescent="0.2">
      <c r="AF1306" t="s">
        <v>473</v>
      </c>
    </row>
    <row r="1307" spans="32:32" x14ac:dyDescent="0.2">
      <c r="AF1307" t="s">
        <v>473</v>
      </c>
    </row>
    <row r="1308" spans="32:32" x14ac:dyDescent="0.2">
      <c r="AF1308" t="s">
        <v>473</v>
      </c>
    </row>
    <row r="1309" spans="32:32" x14ac:dyDescent="0.2">
      <c r="AF1309" t="s">
        <v>473</v>
      </c>
    </row>
    <row r="1310" spans="32:32" x14ac:dyDescent="0.2">
      <c r="AF1310" t="s">
        <v>473</v>
      </c>
    </row>
    <row r="1311" spans="32:32" x14ac:dyDescent="0.2">
      <c r="AF1311" t="s">
        <v>473</v>
      </c>
    </row>
    <row r="1312" spans="32:32" x14ac:dyDescent="0.2">
      <c r="AF1312" t="s">
        <v>473</v>
      </c>
    </row>
    <row r="1313" spans="32:32" x14ac:dyDescent="0.2">
      <c r="AF1313" t="s">
        <v>473</v>
      </c>
    </row>
    <row r="1314" spans="32:32" x14ac:dyDescent="0.2">
      <c r="AF1314" t="s">
        <v>473</v>
      </c>
    </row>
    <row r="1315" spans="32:32" x14ac:dyDescent="0.2">
      <c r="AF1315" t="s">
        <v>473</v>
      </c>
    </row>
    <row r="1316" spans="32:32" x14ac:dyDescent="0.2">
      <c r="AF1316" t="s">
        <v>473</v>
      </c>
    </row>
    <row r="1317" spans="32:32" x14ac:dyDescent="0.2">
      <c r="AF1317" t="s">
        <v>473</v>
      </c>
    </row>
    <row r="1318" spans="32:32" x14ac:dyDescent="0.2">
      <c r="AF1318" t="s">
        <v>473</v>
      </c>
    </row>
    <row r="1319" spans="32:32" x14ac:dyDescent="0.2">
      <c r="AF1319" t="s">
        <v>473</v>
      </c>
    </row>
    <row r="1320" spans="32:32" x14ac:dyDescent="0.2">
      <c r="AF1320" t="s">
        <v>473</v>
      </c>
    </row>
    <row r="1321" spans="32:32" x14ac:dyDescent="0.2">
      <c r="AF1321" t="s">
        <v>473</v>
      </c>
    </row>
    <row r="1322" spans="32:32" x14ac:dyDescent="0.2">
      <c r="AF1322" t="s">
        <v>473</v>
      </c>
    </row>
    <row r="1323" spans="32:32" x14ac:dyDescent="0.2">
      <c r="AF1323" t="s">
        <v>473</v>
      </c>
    </row>
    <row r="1324" spans="32:32" x14ac:dyDescent="0.2">
      <c r="AF1324" t="s">
        <v>473</v>
      </c>
    </row>
    <row r="1325" spans="32:32" x14ac:dyDescent="0.2">
      <c r="AF1325" t="s">
        <v>473</v>
      </c>
    </row>
    <row r="1326" spans="32:32" x14ac:dyDescent="0.2">
      <c r="AF1326" t="s">
        <v>473</v>
      </c>
    </row>
    <row r="1327" spans="32:32" x14ac:dyDescent="0.2">
      <c r="AF1327" t="s">
        <v>473</v>
      </c>
    </row>
    <row r="1328" spans="32:32" x14ac:dyDescent="0.2">
      <c r="AF1328" t="s">
        <v>473</v>
      </c>
    </row>
    <row r="1329" spans="32:32" x14ac:dyDescent="0.2">
      <c r="AF1329" t="s">
        <v>473</v>
      </c>
    </row>
    <row r="1330" spans="32:32" x14ac:dyDescent="0.2">
      <c r="AF1330" t="s">
        <v>473</v>
      </c>
    </row>
    <row r="1331" spans="32:32" x14ac:dyDescent="0.2">
      <c r="AF1331" t="s">
        <v>473</v>
      </c>
    </row>
    <row r="1332" spans="32:32" x14ac:dyDescent="0.2">
      <c r="AF1332" t="s">
        <v>473</v>
      </c>
    </row>
    <row r="1333" spans="32:32" x14ac:dyDescent="0.2">
      <c r="AF1333" t="s">
        <v>473</v>
      </c>
    </row>
    <row r="1334" spans="32:32" x14ac:dyDescent="0.2">
      <c r="AF1334" t="s">
        <v>473</v>
      </c>
    </row>
    <row r="1335" spans="32:32" x14ac:dyDescent="0.2">
      <c r="AF1335" t="s">
        <v>473</v>
      </c>
    </row>
    <row r="1336" spans="32:32" x14ac:dyDescent="0.2">
      <c r="AF1336" t="s">
        <v>473</v>
      </c>
    </row>
    <row r="1337" spans="32:32" x14ac:dyDescent="0.2">
      <c r="AF1337" t="s">
        <v>473</v>
      </c>
    </row>
    <row r="1338" spans="32:32" x14ac:dyDescent="0.2">
      <c r="AF1338" t="s">
        <v>473</v>
      </c>
    </row>
    <row r="1339" spans="32:32" x14ac:dyDescent="0.2">
      <c r="AF1339" t="s">
        <v>473</v>
      </c>
    </row>
    <row r="1340" spans="32:32" x14ac:dyDescent="0.2">
      <c r="AF1340" t="s">
        <v>473</v>
      </c>
    </row>
    <row r="1341" spans="32:32" x14ac:dyDescent="0.2">
      <c r="AF1341" t="s">
        <v>473</v>
      </c>
    </row>
    <row r="1342" spans="32:32" x14ac:dyDescent="0.2">
      <c r="AF1342" t="s">
        <v>473</v>
      </c>
    </row>
    <row r="1343" spans="32:32" x14ac:dyDescent="0.2">
      <c r="AF1343" t="s">
        <v>473</v>
      </c>
    </row>
    <row r="1344" spans="32:32" x14ac:dyDescent="0.2">
      <c r="AF1344" t="s">
        <v>473</v>
      </c>
    </row>
    <row r="1345" spans="32:32" x14ac:dyDescent="0.2">
      <c r="AF1345" t="s">
        <v>473</v>
      </c>
    </row>
    <row r="1346" spans="32:32" x14ac:dyDescent="0.2">
      <c r="AF1346" t="s">
        <v>473</v>
      </c>
    </row>
    <row r="1347" spans="32:32" x14ac:dyDescent="0.2">
      <c r="AF1347" t="s">
        <v>473</v>
      </c>
    </row>
    <row r="1348" spans="32:32" x14ac:dyDescent="0.2">
      <c r="AF1348" t="s">
        <v>473</v>
      </c>
    </row>
    <row r="1349" spans="32:32" x14ac:dyDescent="0.2">
      <c r="AF1349" t="s">
        <v>473</v>
      </c>
    </row>
    <row r="1350" spans="32:32" x14ac:dyDescent="0.2">
      <c r="AF1350" t="s">
        <v>473</v>
      </c>
    </row>
    <row r="1351" spans="32:32" x14ac:dyDescent="0.2">
      <c r="AF1351" t="s">
        <v>473</v>
      </c>
    </row>
    <row r="1352" spans="32:32" x14ac:dyDescent="0.2">
      <c r="AF1352" t="s">
        <v>473</v>
      </c>
    </row>
    <row r="1353" spans="32:32" x14ac:dyDescent="0.2">
      <c r="AF1353" t="s">
        <v>473</v>
      </c>
    </row>
    <row r="1354" spans="32:32" x14ac:dyDescent="0.2">
      <c r="AF1354" t="s">
        <v>473</v>
      </c>
    </row>
    <row r="1355" spans="32:32" x14ac:dyDescent="0.2">
      <c r="AF1355" t="s">
        <v>473</v>
      </c>
    </row>
    <row r="1356" spans="32:32" x14ac:dyDescent="0.2">
      <c r="AF1356" t="s">
        <v>473</v>
      </c>
    </row>
    <row r="1357" spans="32:32" x14ac:dyDescent="0.2">
      <c r="AF1357" t="s">
        <v>473</v>
      </c>
    </row>
    <row r="1358" spans="32:32" x14ac:dyDescent="0.2">
      <c r="AF1358" t="s">
        <v>473</v>
      </c>
    </row>
    <row r="1359" spans="32:32" x14ac:dyDescent="0.2">
      <c r="AF1359" t="s">
        <v>473</v>
      </c>
    </row>
    <row r="1360" spans="32:32" x14ac:dyDescent="0.2">
      <c r="AF1360" t="s">
        <v>473</v>
      </c>
    </row>
    <row r="1361" spans="32:32" x14ac:dyDescent="0.2">
      <c r="AF1361" t="s">
        <v>473</v>
      </c>
    </row>
    <row r="1362" spans="32:32" x14ac:dyDescent="0.2">
      <c r="AF1362" t="s">
        <v>473</v>
      </c>
    </row>
    <row r="1363" spans="32:32" x14ac:dyDescent="0.2">
      <c r="AF1363" t="s">
        <v>473</v>
      </c>
    </row>
    <row r="1364" spans="32:32" x14ac:dyDescent="0.2">
      <c r="AF1364" t="s">
        <v>473</v>
      </c>
    </row>
    <row r="1365" spans="32:32" x14ac:dyDescent="0.2">
      <c r="AF1365" t="s">
        <v>473</v>
      </c>
    </row>
    <row r="1366" spans="32:32" x14ac:dyDescent="0.2">
      <c r="AF1366" t="s">
        <v>473</v>
      </c>
    </row>
    <row r="1367" spans="32:32" x14ac:dyDescent="0.2">
      <c r="AF1367" t="s">
        <v>473</v>
      </c>
    </row>
    <row r="1368" spans="32:32" x14ac:dyDescent="0.2">
      <c r="AF1368" t="s">
        <v>473</v>
      </c>
    </row>
    <row r="1369" spans="32:32" x14ac:dyDescent="0.2">
      <c r="AF1369" t="s">
        <v>473</v>
      </c>
    </row>
    <row r="1370" spans="32:32" x14ac:dyDescent="0.2">
      <c r="AF1370" t="s">
        <v>473</v>
      </c>
    </row>
    <row r="1371" spans="32:32" x14ac:dyDescent="0.2">
      <c r="AF1371" t="s">
        <v>473</v>
      </c>
    </row>
    <row r="1372" spans="32:32" x14ac:dyDescent="0.2">
      <c r="AF1372" t="s">
        <v>473</v>
      </c>
    </row>
    <row r="1373" spans="32:32" x14ac:dyDescent="0.2">
      <c r="AF1373" t="s">
        <v>473</v>
      </c>
    </row>
    <row r="1374" spans="32:32" x14ac:dyDescent="0.2">
      <c r="AF1374" t="s">
        <v>473</v>
      </c>
    </row>
    <row r="1375" spans="32:32" x14ac:dyDescent="0.2">
      <c r="AF1375" t="s">
        <v>473</v>
      </c>
    </row>
    <row r="1376" spans="32:32" x14ac:dyDescent="0.2">
      <c r="AF1376" t="s">
        <v>473</v>
      </c>
    </row>
    <row r="1377" spans="32:32" x14ac:dyDescent="0.2">
      <c r="AF1377" t="s">
        <v>473</v>
      </c>
    </row>
    <row r="1378" spans="32:32" x14ac:dyDescent="0.2">
      <c r="AF1378" t="s">
        <v>473</v>
      </c>
    </row>
    <row r="1379" spans="32:32" x14ac:dyDescent="0.2">
      <c r="AF1379" t="s">
        <v>473</v>
      </c>
    </row>
    <row r="1380" spans="32:32" x14ac:dyDescent="0.2">
      <c r="AF1380" t="s">
        <v>473</v>
      </c>
    </row>
    <row r="1381" spans="32:32" x14ac:dyDescent="0.2">
      <c r="AF1381" t="s">
        <v>473</v>
      </c>
    </row>
    <row r="1382" spans="32:32" x14ac:dyDescent="0.2">
      <c r="AF1382" t="s">
        <v>473</v>
      </c>
    </row>
    <row r="1383" spans="32:32" x14ac:dyDescent="0.2">
      <c r="AF1383" t="s">
        <v>473</v>
      </c>
    </row>
    <row r="1384" spans="32:32" x14ac:dyDescent="0.2">
      <c r="AF1384" t="s">
        <v>473</v>
      </c>
    </row>
    <row r="1385" spans="32:32" x14ac:dyDescent="0.2">
      <c r="AF1385" t="s">
        <v>473</v>
      </c>
    </row>
    <row r="1386" spans="32:32" x14ac:dyDescent="0.2">
      <c r="AF1386" t="s">
        <v>473</v>
      </c>
    </row>
    <row r="1387" spans="32:32" x14ac:dyDescent="0.2">
      <c r="AF1387" t="s">
        <v>473</v>
      </c>
    </row>
    <row r="1388" spans="32:32" x14ac:dyDescent="0.2">
      <c r="AF1388" t="s">
        <v>473</v>
      </c>
    </row>
    <row r="1389" spans="32:32" x14ac:dyDescent="0.2">
      <c r="AF1389" t="s">
        <v>473</v>
      </c>
    </row>
    <row r="1390" spans="32:32" x14ac:dyDescent="0.2">
      <c r="AF1390" t="s">
        <v>473</v>
      </c>
    </row>
    <row r="1391" spans="32:32" x14ac:dyDescent="0.2">
      <c r="AF1391" t="s">
        <v>473</v>
      </c>
    </row>
    <row r="1392" spans="32:32" x14ac:dyDescent="0.2">
      <c r="AF1392" t="s">
        <v>473</v>
      </c>
    </row>
    <row r="1393" spans="32:32" x14ac:dyDescent="0.2">
      <c r="AF1393" t="s">
        <v>473</v>
      </c>
    </row>
    <row r="1394" spans="32:32" x14ac:dyDescent="0.2">
      <c r="AF1394" t="s">
        <v>473</v>
      </c>
    </row>
    <row r="1395" spans="32:32" x14ac:dyDescent="0.2">
      <c r="AF1395" t="s">
        <v>473</v>
      </c>
    </row>
    <row r="1396" spans="32:32" x14ac:dyDescent="0.2">
      <c r="AF1396" t="s">
        <v>473</v>
      </c>
    </row>
    <row r="1397" spans="32:32" x14ac:dyDescent="0.2">
      <c r="AF1397" t="s">
        <v>473</v>
      </c>
    </row>
    <row r="1398" spans="32:32" x14ac:dyDescent="0.2">
      <c r="AF1398" t="s">
        <v>473</v>
      </c>
    </row>
    <row r="1399" spans="32:32" x14ac:dyDescent="0.2">
      <c r="AF1399" t="s">
        <v>473</v>
      </c>
    </row>
    <row r="1400" spans="32:32" x14ac:dyDescent="0.2">
      <c r="AF1400" t="s">
        <v>473</v>
      </c>
    </row>
    <row r="1401" spans="32:32" x14ac:dyDescent="0.2">
      <c r="AF1401" t="s">
        <v>473</v>
      </c>
    </row>
    <row r="1402" spans="32:32" x14ac:dyDescent="0.2">
      <c r="AF1402" t="s">
        <v>473</v>
      </c>
    </row>
    <row r="1403" spans="32:32" x14ac:dyDescent="0.2">
      <c r="AF1403" t="s">
        <v>473</v>
      </c>
    </row>
    <row r="1404" spans="32:32" x14ac:dyDescent="0.2">
      <c r="AF1404" t="s">
        <v>473</v>
      </c>
    </row>
    <row r="1405" spans="32:32" x14ac:dyDescent="0.2">
      <c r="AF1405" t="s">
        <v>473</v>
      </c>
    </row>
    <row r="1406" spans="32:32" x14ac:dyDescent="0.2">
      <c r="AF1406" t="s">
        <v>473</v>
      </c>
    </row>
    <row r="1407" spans="32:32" x14ac:dyDescent="0.2">
      <c r="AF1407" t="s">
        <v>473</v>
      </c>
    </row>
    <row r="1408" spans="32:32" x14ac:dyDescent="0.2">
      <c r="AF1408" t="s">
        <v>473</v>
      </c>
    </row>
    <row r="1409" spans="32:32" x14ac:dyDescent="0.2">
      <c r="AF1409" t="s">
        <v>473</v>
      </c>
    </row>
    <row r="1410" spans="32:32" x14ac:dyDescent="0.2">
      <c r="AF1410" t="s">
        <v>473</v>
      </c>
    </row>
    <row r="1411" spans="32:32" x14ac:dyDescent="0.2">
      <c r="AF1411" t="s">
        <v>473</v>
      </c>
    </row>
    <row r="1412" spans="32:32" x14ac:dyDescent="0.2">
      <c r="AF1412" t="s">
        <v>473</v>
      </c>
    </row>
    <row r="1413" spans="32:32" x14ac:dyDescent="0.2">
      <c r="AF1413" t="s">
        <v>473</v>
      </c>
    </row>
    <row r="1414" spans="32:32" x14ac:dyDescent="0.2">
      <c r="AF1414" t="s">
        <v>473</v>
      </c>
    </row>
    <row r="1415" spans="32:32" x14ac:dyDescent="0.2">
      <c r="AF1415" t="s">
        <v>473</v>
      </c>
    </row>
    <row r="1416" spans="32:32" x14ac:dyDescent="0.2">
      <c r="AF1416" t="s">
        <v>473</v>
      </c>
    </row>
    <row r="1417" spans="32:32" x14ac:dyDescent="0.2">
      <c r="AF1417" t="s">
        <v>473</v>
      </c>
    </row>
    <row r="1418" spans="32:32" x14ac:dyDescent="0.2">
      <c r="AF1418" t="s">
        <v>473</v>
      </c>
    </row>
    <row r="1419" spans="32:32" x14ac:dyDescent="0.2">
      <c r="AF1419" t="s">
        <v>473</v>
      </c>
    </row>
    <row r="1420" spans="32:32" x14ac:dyDescent="0.2">
      <c r="AF1420" t="s">
        <v>473</v>
      </c>
    </row>
    <row r="1421" spans="32:32" x14ac:dyDescent="0.2">
      <c r="AF1421" t="s">
        <v>473</v>
      </c>
    </row>
    <row r="1422" spans="32:32" x14ac:dyDescent="0.2">
      <c r="AF1422" t="s">
        <v>473</v>
      </c>
    </row>
    <row r="1423" spans="32:32" x14ac:dyDescent="0.2">
      <c r="AF1423" t="s">
        <v>473</v>
      </c>
    </row>
    <row r="1424" spans="32:32" x14ac:dyDescent="0.2">
      <c r="AF1424" t="s">
        <v>473</v>
      </c>
    </row>
    <row r="1425" spans="32:32" x14ac:dyDescent="0.2">
      <c r="AF1425" t="s">
        <v>473</v>
      </c>
    </row>
    <row r="1426" spans="32:32" x14ac:dyDescent="0.2">
      <c r="AF1426" t="s">
        <v>473</v>
      </c>
    </row>
    <row r="1427" spans="32:32" x14ac:dyDescent="0.2">
      <c r="AF1427" t="s">
        <v>473</v>
      </c>
    </row>
    <row r="1428" spans="32:32" x14ac:dyDescent="0.2">
      <c r="AF1428" t="s">
        <v>473</v>
      </c>
    </row>
    <row r="1429" spans="32:32" x14ac:dyDescent="0.2">
      <c r="AF1429" t="s">
        <v>473</v>
      </c>
    </row>
    <row r="1430" spans="32:32" x14ac:dyDescent="0.2">
      <c r="AF1430" t="s">
        <v>473</v>
      </c>
    </row>
    <row r="1431" spans="32:32" x14ac:dyDescent="0.2">
      <c r="AF1431" t="s">
        <v>473</v>
      </c>
    </row>
    <row r="1432" spans="32:32" x14ac:dyDescent="0.2">
      <c r="AF1432" t="s">
        <v>473</v>
      </c>
    </row>
    <row r="1433" spans="32:32" x14ac:dyDescent="0.2">
      <c r="AF1433" t="s">
        <v>473</v>
      </c>
    </row>
    <row r="1434" spans="32:32" x14ac:dyDescent="0.2">
      <c r="AF1434" t="s">
        <v>473</v>
      </c>
    </row>
    <row r="1435" spans="32:32" x14ac:dyDescent="0.2">
      <c r="AF1435" t="s">
        <v>473</v>
      </c>
    </row>
    <row r="1436" spans="32:32" x14ac:dyDescent="0.2">
      <c r="AF1436" t="s">
        <v>473</v>
      </c>
    </row>
    <row r="1437" spans="32:32" x14ac:dyDescent="0.2">
      <c r="AF1437" t="s">
        <v>473</v>
      </c>
    </row>
    <row r="1438" spans="32:32" x14ac:dyDescent="0.2">
      <c r="AF1438" t="s">
        <v>473</v>
      </c>
    </row>
    <row r="1439" spans="32:32" x14ac:dyDescent="0.2">
      <c r="AF1439" t="s">
        <v>473</v>
      </c>
    </row>
    <row r="1440" spans="32:32" x14ac:dyDescent="0.2">
      <c r="AF1440" t="s">
        <v>473</v>
      </c>
    </row>
    <row r="1441" spans="32:32" x14ac:dyDescent="0.2">
      <c r="AF1441" t="s">
        <v>473</v>
      </c>
    </row>
    <row r="1442" spans="32:32" x14ac:dyDescent="0.2">
      <c r="AF1442" t="s">
        <v>473</v>
      </c>
    </row>
    <row r="1443" spans="32:32" x14ac:dyDescent="0.2">
      <c r="AF1443" t="s">
        <v>473</v>
      </c>
    </row>
    <row r="1444" spans="32:32" x14ac:dyDescent="0.2">
      <c r="AF1444" t="s">
        <v>473</v>
      </c>
    </row>
    <row r="1445" spans="32:32" x14ac:dyDescent="0.2">
      <c r="AF1445" t="s">
        <v>473</v>
      </c>
    </row>
    <row r="1446" spans="32:32" x14ac:dyDescent="0.2">
      <c r="AF1446" t="s">
        <v>473</v>
      </c>
    </row>
    <row r="1447" spans="32:32" x14ac:dyDescent="0.2">
      <c r="AF1447" t="s">
        <v>473</v>
      </c>
    </row>
    <row r="1448" spans="32:32" x14ac:dyDescent="0.2">
      <c r="AF1448" t="s">
        <v>473</v>
      </c>
    </row>
    <row r="1449" spans="32:32" x14ac:dyDescent="0.2">
      <c r="AF1449" t="s">
        <v>473</v>
      </c>
    </row>
    <row r="1450" spans="32:32" x14ac:dyDescent="0.2">
      <c r="AF1450" t="s">
        <v>473</v>
      </c>
    </row>
    <row r="1451" spans="32:32" x14ac:dyDescent="0.2">
      <c r="AF1451" t="s">
        <v>473</v>
      </c>
    </row>
    <row r="1452" spans="32:32" x14ac:dyDescent="0.2">
      <c r="AF1452" t="s">
        <v>473</v>
      </c>
    </row>
    <row r="1453" spans="32:32" x14ac:dyDescent="0.2">
      <c r="AF1453" t="s">
        <v>473</v>
      </c>
    </row>
    <row r="1454" spans="32:32" x14ac:dyDescent="0.2">
      <c r="AF1454" t="s">
        <v>473</v>
      </c>
    </row>
    <row r="1455" spans="32:32" x14ac:dyDescent="0.2">
      <c r="AF1455" t="s">
        <v>473</v>
      </c>
    </row>
    <row r="1456" spans="32:32" x14ac:dyDescent="0.2">
      <c r="AF1456" t="s">
        <v>473</v>
      </c>
    </row>
    <row r="1457" spans="32:32" x14ac:dyDescent="0.2">
      <c r="AF1457" t="s">
        <v>473</v>
      </c>
    </row>
    <row r="1458" spans="32:32" x14ac:dyDescent="0.2">
      <c r="AF1458" t="s">
        <v>473</v>
      </c>
    </row>
    <row r="1459" spans="32:32" x14ac:dyDescent="0.2">
      <c r="AF1459" t="s">
        <v>473</v>
      </c>
    </row>
    <row r="1460" spans="32:32" x14ac:dyDescent="0.2">
      <c r="AF1460" t="s">
        <v>473</v>
      </c>
    </row>
    <row r="1461" spans="32:32" x14ac:dyDescent="0.2">
      <c r="AF1461" t="s">
        <v>473</v>
      </c>
    </row>
    <row r="1462" spans="32:32" x14ac:dyDescent="0.2">
      <c r="AF1462" t="s">
        <v>473</v>
      </c>
    </row>
    <row r="1463" spans="32:32" x14ac:dyDescent="0.2">
      <c r="AF1463" t="s">
        <v>473</v>
      </c>
    </row>
    <row r="1464" spans="32:32" x14ac:dyDescent="0.2">
      <c r="AF1464" t="s">
        <v>473</v>
      </c>
    </row>
    <row r="1465" spans="32:32" x14ac:dyDescent="0.2">
      <c r="AF1465" t="s">
        <v>473</v>
      </c>
    </row>
    <row r="1466" spans="32:32" x14ac:dyDescent="0.2">
      <c r="AF1466" t="s">
        <v>473</v>
      </c>
    </row>
    <row r="1467" spans="32:32" x14ac:dyDescent="0.2">
      <c r="AF1467" t="s">
        <v>473</v>
      </c>
    </row>
    <row r="1468" spans="32:32" x14ac:dyDescent="0.2">
      <c r="AF1468" t="s">
        <v>473</v>
      </c>
    </row>
    <row r="1469" spans="32:32" x14ac:dyDescent="0.2">
      <c r="AF1469" t="s">
        <v>473</v>
      </c>
    </row>
    <row r="1470" spans="32:32" x14ac:dyDescent="0.2">
      <c r="AF1470" t="s">
        <v>473</v>
      </c>
    </row>
    <row r="1471" spans="32:32" x14ac:dyDescent="0.2">
      <c r="AF1471" t="s">
        <v>473</v>
      </c>
    </row>
    <row r="1472" spans="32:32" x14ac:dyDescent="0.2">
      <c r="AF1472" t="s">
        <v>473</v>
      </c>
    </row>
    <row r="1473" spans="32:32" x14ac:dyDescent="0.2">
      <c r="AF1473" t="s">
        <v>473</v>
      </c>
    </row>
    <row r="1474" spans="32:32" x14ac:dyDescent="0.2">
      <c r="AF1474" t="s">
        <v>473</v>
      </c>
    </row>
    <row r="1475" spans="32:32" x14ac:dyDescent="0.2">
      <c r="AF1475" t="s">
        <v>473</v>
      </c>
    </row>
    <row r="1476" spans="32:32" x14ac:dyDescent="0.2">
      <c r="AF1476" t="s">
        <v>473</v>
      </c>
    </row>
    <row r="1477" spans="32:32" x14ac:dyDescent="0.2">
      <c r="AF1477" t="s">
        <v>473</v>
      </c>
    </row>
    <row r="1478" spans="32:32" x14ac:dyDescent="0.2">
      <c r="AF1478" t="s">
        <v>473</v>
      </c>
    </row>
    <row r="1479" spans="32:32" x14ac:dyDescent="0.2">
      <c r="AF1479" t="s">
        <v>473</v>
      </c>
    </row>
    <row r="1480" spans="32:32" x14ac:dyDescent="0.2">
      <c r="AF1480" t="s">
        <v>473</v>
      </c>
    </row>
    <row r="1481" spans="32:32" x14ac:dyDescent="0.2">
      <c r="AF1481" t="s">
        <v>473</v>
      </c>
    </row>
    <row r="1482" spans="32:32" x14ac:dyDescent="0.2">
      <c r="AF1482" t="s">
        <v>473</v>
      </c>
    </row>
    <row r="1483" spans="32:32" x14ac:dyDescent="0.2">
      <c r="AF1483" t="s">
        <v>473</v>
      </c>
    </row>
    <row r="1484" spans="32:32" x14ac:dyDescent="0.2">
      <c r="AF1484" t="s">
        <v>473</v>
      </c>
    </row>
    <row r="1485" spans="32:32" x14ac:dyDescent="0.2">
      <c r="AF1485" t="s">
        <v>473</v>
      </c>
    </row>
    <row r="1486" spans="32:32" x14ac:dyDescent="0.2">
      <c r="AF1486" t="s">
        <v>473</v>
      </c>
    </row>
    <row r="1487" spans="32:32" x14ac:dyDescent="0.2">
      <c r="AF1487" t="s">
        <v>473</v>
      </c>
    </row>
    <row r="1488" spans="32:32" x14ac:dyDescent="0.2">
      <c r="AF1488" t="s">
        <v>473</v>
      </c>
    </row>
    <row r="1489" spans="32:32" x14ac:dyDescent="0.2">
      <c r="AF1489" t="s">
        <v>473</v>
      </c>
    </row>
    <row r="1490" spans="32:32" x14ac:dyDescent="0.2">
      <c r="AF1490" t="s">
        <v>473</v>
      </c>
    </row>
    <row r="1491" spans="32:32" x14ac:dyDescent="0.2">
      <c r="AF1491" t="s">
        <v>473</v>
      </c>
    </row>
    <row r="1492" spans="32:32" x14ac:dyDescent="0.2">
      <c r="AF1492" t="s">
        <v>473</v>
      </c>
    </row>
    <row r="1493" spans="32:32" x14ac:dyDescent="0.2">
      <c r="AF1493" t="s">
        <v>473</v>
      </c>
    </row>
    <row r="1494" spans="32:32" x14ac:dyDescent="0.2">
      <c r="AF1494" t="s">
        <v>473</v>
      </c>
    </row>
    <row r="1495" spans="32:32" x14ac:dyDescent="0.2">
      <c r="AF1495" t="s">
        <v>473</v>
      </c>
    </row>
    <row r="1496" spans="32:32" x14ac:dyDescent="0.2">
      <c r="AF1496" t="s">
        <v>473</v>
      </c>
    </row>
    <row r="1497" spans="32:32" x14ac:dyDescent="0.2">
      <c r="AF1497" t="s">
        <v>473</v>
      </c>
    </row>
    <row r="1498" spans="32:32" x14ac:dyDescent="0.2">
      <c r="AF1498" t="s">
        <v>473</v>
      </c>
    </row>
    <row r="1499" spans="32:32" x14ac:dyDescent="0.2">
      <c r="AF1499" t="s">
        <v>473</v>
      </c>
    </row>
    <row r="1500" spans="32:32" x14ac:dyDescent="0.2">
      <c r="AF1500" t="s">
        <v>473</v>
      </c>
    </row>
    <row r="1501" spans="32:32" x14ac:dyDescent="0.2">
      <c r="AF1501" t="s">
        <v>473</v>
      </c>
    </row>
    <row r="1502" spans="32:32" x14ac:dyDescent="0.2">
      <c r="AF1502" t="s">
        <v>473</v>
      </c>
    </row>
    <row r="1503" spans="32:32" x14ac:dyDescent="0.2">
      <c r="AF1503" t="s">
        <v>473</v>
      </c>
    </row>
    <row r="1504" spans="32:32" x14ac:dyDescent="0.2">
      <c r="AF1504" t="s">
        <v>473</v>
      </c>
    </row>
    <row r="1505" spans="32:32" x14ac:dyDescent="0.2">
      <c r="AF1505" t="s">
        <v>473</v>
      </c>
    </row>
    <row r="1506" spans="32:32" x14ac:dyDescent="0.2">
      <c r="AF1506" t="s">
        <v>473</v>
      </c>
    </row>
    <row r="1507" spans="32:32" x14ac:dyDescent="0.2">
      <c r="AF1507" t="s">
        <v>473</v>
      </c>
    </row>
    <row r="1508" spans="32:32" x14ac:dyDescent="0.2">
      <c r="AF1508" t="s">
        <v>473</v>
      </c>
    </row>
    <row r="1509" spans="32:32" x14ac:dyDescent="0.2">
      <c r="AF1509" t="s">
        <v>473</v>
      </c>
    </row>
    <row r="1510" spans="32:32" x14ac:dyDescent="0.2">
      <c r="AF1510" t="s">
        <v>473</v>
      </c>
    </row>
    <row r="1511" spans="32:32" x14ac:dyDescent="0.2">
      <c r="AF1511" t="s">
        <v>473</v>
      </c>
    </row>
    <row r="1512" spans="32:32" x14ac:dyDescent="0.2">
      <c r="AF1512" t="s">
        <v>473</v>
      </c>
    </row>
    <row r="1513" spans="32:32" x14ac:dyDescent="0.2">
      <c r="AF1513" t="s">
        <v>473</v>
      </c>
    </row>
    <row r="1514" spans="32:32" x14ac:dyDescent="0.2">
      <c r="AF1514" t="s">
        <v>473</v>
      </c>
    </row>
    <row r="1515" spans="32:32" x14ac:dyDescent="0.2">
      <c r="AF1515" t="s">
        <v>473</v>
      </c>
    </row>
    <row r="1516" spans="32:32" x14ac:dyDescent="0.2">
      <c r="AF1516" t="s">
        <v>473</v>
      </c>
    </row>
    <row r="1517" spans="32:32" x14ac:dyDescent="0.2">
      <c r="AF1517" t="s">
        <v>473</v>
      </c>
    </row>
    <row r="1518" spans="32:32" x14ac:dyDescent="0.2">
      <c r="AF1518" t="s">
        <v>473</v>
      </c>
    </row>
    <row r="1519" spans="32:32" x14ac:dyDescent="0.2">
      <c r="AF1519" t="s">
        <v>473</v>
      </c>
    </row>
    <row r="1520" spans="32:32" x14ac:dyDescent="0.2">
      <c r="AF1520" t="s">
        <v>473</v>
      </c>
    </row>
    <row r="1521" spans="32:32" x14ac:dyDescent="0.2">
      <c r="AF1521" t="s">
        <v>473</v>
      </c>
    </row>
    <row r="1522" spans="32:32" x14ac:dyDescent="0.2">
      <c r="AF1522" t="s">
        <v>473</v>
      </c>
    </row>
    <row r="1523" spans="32:32" x14ac:dyDescent="0.2">
      <c r="AF1523" t="s">
        <v>473</v>
      </c>
    </row>
    <row r="1524" spans="32:32" x14ac:dyDescent="0.2">
      <c r="AF1524" t="s">
        <v>473</v>
      </c>
    </row>
    <row r="1525" spans="32:32" x14ac:dyDescent="0.2">
      <c r="AF1525" t="s">
        <v>473</v>
      </c>
    </row>
    <row r="1526" spans="32:32" x14ac:dyDescent="0.2">
      <c r="AF1526" t="s">
        <v>473</v>
      </c>
    </row>
    <row r="1527" spans="32:32" x14ac:dyDescent="0.2">
      <c r="AF1527" t="s">
        <v>473</v>
      </c>
    </row>
    <row r="1528" spans="32:32" x14ac:dyDescent="0.2">
      <c r="AF1528" t="s">
        <v>473</v>
      </c>
    </row>
    <row r="1529" spans="32:32" x14ac:dyDescent="0.2">
      <c r="AF1529" t="s">
        <v>473</v>
      </c>
    </row>
    <row r="1530" spans="32:32" x14ac:dyDescent="0.2">
      <c r="AF1530" t="s">
        <v>473</v>
      </c>
    </row>
    <row r="1531" spans="32:32" x14ac:dyDescent="0.2">
      <c r="AF1531" t="s">
        <v>473</v>
      </c>
    </row>
    <row r="1532" spans="32:32" x14ac:dyDescent="0.2">
      <c r="AF1532" t="s">
        <v>473</v>
      </c>
    </row>
    <row r="1533" spans="32:32" x14ac:dyDescent="0.2">
      <c r="AF1533" t="s">
        <v>473</v>
      </c>
    </row>
    <row r="1534" spans="32:32" x14ac:dyDescent="0.2">
      <c r="AF1534" t="s">
        <v>473</v>
      </c>
    </row>
    <row r="1535" spans="32:32" x14ac:dyDescent="0.2">
      <c r="AF1535" t="s">
        <v>473</v>
      </c>
    </row>
    <row r="1536" spans="32:32" x14ac:dyDescent="0.2">
      <c r="AF1536" t="s">
        <v>473</v>
      </c>
    </row>
    <row r="1537" spans="32:32" x14ac:dyDescent="0.2">
      <c r="AF1537" t="s">
        <v>473</v>
      </c>
    </row>
    <row r="1538" spans="32:32" x14ac:dyDescent="0.2">
      <c r="AF1538" t="s">
        <v>473</v>
      </c>
    </row>
    <row r="1539" spans="32:32" x14ac:dyDescent="0.2">
      <c r="AF1539" t="s">
        <v>473</v>
      </c>
    </row>
    <row r="1540" spans="32:32" x14ac:dyDescent="0.2">
      <c r="AF1540" t="s">
        <v>473</v>
      </c>
    </row>
    <row r="1541" spans="32:32" x14ac:dyDescent="0.2">
      <c r="AF1541" t="s">
        <v>473</v>
      </c>
    </row>
    <row r="1542" spans="32:32" x14ac:dyDescent="0.2">
      <c r="AF1542" t="s">
        <v>473</v>
      </c>
    </row>
    <row r="1543" spans="32:32" x14ac:dyDescent="0.2">
      <c r="AF1543" t="s">
        <v>473</v>
      </c>
    </row>
    <row r="1544" spans="32:32" x14ac:dyDescent="0.2">
      <c r="AF1544" t="s">
        <v>473</v>
      </c>
    </row>
    <row r="1545" spans="32:32" x14ac:dyDescent="0.2">
      <c r="AF1545" t="s">
        <v>473</v>
      </c>
    </row>
    <row r="1546" spans="32:32" x14ac:dyDescent="0.2">
      <c r="AF1546" t="s">
        <v>473</v>
      </c>
    </row>
    <row r="1547" spans="32:32" x14ac:dyDescent="0.2">
      <c r="AF1547" t="s">
        <v>473</v>
      </c>
    </row>
    <row r="1548" spans="32:32" x14ac:dyDescent="0.2">
      <c r="AF1548" t="s">
        <v>473</v>
      </c>
    </row>
    <row r="1549" spans="32:32" x14ac:dyDescent="0.2">
      <c r="AF1549" t="s">
        <v>473</v>
      </c>
    </row>
    <row r="1550" spans="32:32" x14ac:dyDescent="0.2">
      <c r="AF1550" t="s">
        <v>473</v>
      </c>
    </row>
    <row r="1551" spans="32:32" x14ac:dyDescent="0.2">
      <c r="AF1551" t="s">
        <v>473</v>
      </c>
    </row>
    <row r="1552" spans="32:32" x14ac:dyDescent="0.2">
      <c r="AF1552" t="s">
        <v>473</v>
      </c>
    </row>
    <row r="1553" spans="32:32" x14ac:dyDescent="0.2">
      <c r="AF1553" t="s">
        <v>473</v>
      </c>
    </row>
    <row r="1554" spans="32:32" x14ac:dyDescent="0.2">
      <c r="AF1554" t="s">
        <v>473</v>
      </c>
    </row>
    <row r="1555" spans="32:32" x14ac:dyDescent="0.2">
      <c r="AF1555" t="s">
        <v>473</v>
      </c>
    </row>
    <row r="1556" spans="32:32" x14ac:dyDescent="0.2">
      <c r="AF1556" t="s">
        <v>473</v>
      </c>
    </row>
    <row r="1557" spans="32:32" x14ac:dyDescent="0.2">
      <c r="AF1557" t="s">
        <v>473</v>
      </c>
    </row>
    <row r="1558" spans="32:32" x14ac:dyDescent="0.2">
      <c r="AF1558" t="s">
        <v>473</v>
      </c>
    </row>
    <row r="1559" spans="32:32" x14ac:dyDescent="0.2">
      <c r="AF1559" t="s">
        <v>473</v>
      </c>
    </row>
    <row r="1560" spans="32:32" x14ac:dyDescent="0.2">
      <c r="AF1560" t="s">
        <v>473</v>
      </c>
    </row>
    <row r="1561" spans="32:32" x14ac:dyDescent="0.2">
      <c r="AF1561" t="s">
        <v>473</v>
      </c>
    </row>
    <row r="1562" spans="32:32" x14ac:dyDescent="0.2">
      <c r="AF1562" t="s">
        <v>473</v>
      </c>
    </row>
    <row r="1563" spans="32:32" x14ac:dyDescent="0.2">
      <c r="AF1563" t="s">
        <v>473</v>
      </c>
    </row>
    <row r="1564" spans="32:32" x14ac:dyDescent="0.2">
      <c r="AF1564" t="s">
        <v>473</v>
      </c>
    </row>
    <row r="1565" spans="32:32" x14ac:dyDescent="0.2">
      <c r="AF1565" t="s">
        <v>473</v>
      </c>
    </row>
    <row r="1566" spans="32:32" x14ac:dyDescent="0.2">
      <c r="AF1566" t="s">
        <v>473</v>
      </c>
    </row>
    <row r="1567" spans="32:32" x14ac:dyDescent="0.2">
      <c r="AF1567" t="s">
        <v>473</v>
      </c>
    </row>
    <row r="1568" spans="32:32" x14ac:dyDescent="0.2">
      <c r="AF1568" t="s">
        <v>473</v>
      </c>
    </row>
    <row r="1569" spans="32:32" x14ac:dyDescent="0.2">
      <c r="AF1569" t="s">
        <v>473</v>
      </c>
    </row>
    <row r="1570" spans="32:32" x14ac:dyDescent="0.2">
      <c r="AF1570" t="s">
        <v>473</v>
      </c>
    </row>
    <row r="1571" spans="32:32" x14ac:dyDescent="0.2">
      <c r="AF1571" t="s">
        <v>473</v>
      </c>
    </row>
    <row r="1572" spans="32:32" x14ac:dyDescent="0.2">
      <c r="AF1572" t="s">
        <v>473</v>
      </c>
    </row>
    <row r="1573" spans="32:32" x14ac:dyDescent="0.2">
      <c r="AF1573" t="s">
        <v>473</v>
      </c>
    </row>
    <row r="1574" spans="32:32" x14ac:dyDescent="0.2">
      <c r="AF1574" t="s">
        <v>473</v>
      </c>
    </row>
    <row r="1575" spans="32:32" x14ac:dyDescent="0.2">
      <c r="AF1575" t="s">
        <v>473</v>
      </c>
    </row>
    <row r="1576" spans="32:32" x14ac:dyDescent="0.2">
      <c r="AF1576" t="s">
        <v>473</v>
      </c>
    </row>
    <row r="1577" spans="32:32" x14ac:dyDescent="0.2">
      <c r="AF1577" t="s">
        <v>473</v>
      </c>
    </row>
    <row r="1578" spans="32:32" x14ac:dyDescent="0.2">
      <c r="AF1578" t="s">
        <v>473</v>
      </c>
    </row>
    <row r="1579" spans="32:32" x14ac:dyDescent="0.2">
      <c r="AF1579" t="s">
        <v>473</v>
      </c>
    </row>
    <row r="1580" spans="32:32" x14ac:dyDescent="0.2">
      <c r="AF1580" t="s">
        <v>473</v>
      </c>
    </row>
    <row r="1581" spans="32:32" x14ac:dyDescent="0.2">
      <c r="AF1581" t="s">
        <v>473</v>
      </c>
    </row>
    <row r="1582" spans="32:32" x14ac:dyDescent="0.2">
      <c r="AF1582" t="s">
        <v>473</v>
      </c>
    </row>
    <row r="1583" spans="32:32" x14ac:dyDescent="0.2">
      <c r="AF1583" t="s">
        <v>473</v>
      </c>
    </row>
    <row r="1584" spans="32:32" x14ac:dyDescent="0.2">
      <c r="AF1584" t="s">
        <v>473</v>
      </c>
    </row>
    <row r="1585" spans="32:32" x14ac:dyDescent="0.2">
      <c r="AF1585" t="s">
        <v>473</v>
      </c>
    </row>
    <row r="1586" spans="32:32" x14ac:dyDescent="0.2">
      <c r="AF1586" t="s">
        <v>473</v>
      </c>
    </row>
    <row r="1587" spans="32:32" x14ac:dyDescent="0.2">
      <c r="AF1587" t="s">
        <v>473</v>
      </c>
    </row>
    <row r="1588" spans="32:32" x14ac:dyDescent="0.2">
      <c r="AF1588" t="s">
        <v>473</v>
      </c>
    </row>
    <row r="1589" spans="32:32" x14ac:dyDescent="0.2">
      <c r="AF1589" t="s">
        <v>473</v>
      </c>
    </row>
    <row r="1590" spans="32:32" x14ac:dyDescent="0.2">
      <c r="AF1590" t="s">
        <v>473</v>
      </c>
    </row>
    <row r="1591" spans="32:32" x14ac:dyDescent="0.2">
      <c r="AF1591" t="s">
        <v>473</v>
      </c>
    </row>
    <row r="1592" spans="32:32" x14ac:dyDescent="0.2">
      <c r="AF1592" t="s">
        <v>473</v>
      </c>
    </row>
    <row r="1593" spans="32:32" x14ac:dyDescent="0.2">
      <c r="AF1593" t="s">
        <v>473</v>
      </c>
    </row>
    <row r="1594" spans="32:32" x14ac:dyDescent="0.2">
      <c r="AF1594" t="s">
        <v>473</v>
      </c>
    </row>
    <row r="1595" spans="32:32" x14ac:dyDescent="0.2">
      <c r="AF1595" t="s">
        <v>473</v>
      </c>
    </row>
    <row r="1596" spans="32:32" x14ac:dyDescent="0.2">
      <c r="AF1596" t="s">
        <v>473</v>
      </c>
    </row>
    <row r="1597" spans="32:32" x14ac:dyDescent="0.2">
      <c r="AF1597" t="s">
        <v>473</v>
      </c>
    </row>
    <row r="1598" spans="32:32" x14ac:dyDescent="0.2">
      <c r="AF1598" t="s">
        <v>473</v>
      </c>
    </row>
    <row r="1599" spans="32:32" x14ac:dyDescent="0.2">
      <c r="AF1599" t="s">
        <v>473</v>
      </c>
    </row>
    <row r="1600" spans="32:32" x14ac:dyDescent="0.2">
      <c r="AF1600" t="s">
        <v>473</v>
      </c>
    </row>
    <row r="1601" spans="32:32" x14ac:dyDescent="0.2">
      <c r="AF1601" t="s">
        <v>473</v>
      </c>
    </row>
    <row r="1602" spans="32:32" x14ac:dyDescent="0.2">
      <c r="AF1602" t="s">
        <v>473</v>
      </c>
    </row>
    <row r="1603" spans="32:32" x14ac:dyDescent="0.2">
      <c r="AF1603" t="s">
        <v>473</v>
      </c>
    </row>
    <row r="1604" spans="32:32" x14ac:dyDescent="0.2">
      <c r="AF1604" t="s">
        <v>473</v>
      </c>
    </row>
    <row r="1605" spans="32:32" x14ac:dyDescent="0.2">
      <c r="AF1605" t="s">
        <v>473</v>
      </c>
    </row>
    <row r="1606" spans="32:32" x14ac:dyDescent="0.2">
      <c r="AF1606" t="s">
        <v>473</v>
      </c>
    </row>
    <row r="1607" spans="32:32" x14ac:dyDescent="0.2">
      <c r="AF1607" t="s">
        <v>473</v>
      </c>
    </row>
    <row r="1608" spans="32:32" x14ac:dyDescent="0.2">
      <c r="AF1608" t="s">
        <v>473</v>
      </c>
    </row>
    <row r="1609" spans="32:32" x14ac:dyDescent="0.2">
      <c r="AF1609" t="s">
        <v>473</v>
      </c>
    </row>
    <row r="1610" spans="32:32" x14ac:dyDescent="0.2">
      <c r="AF1610" t="s">
        <v>473</v>
      </c>
    </row>
    <row r="1611" spans="32:32" x14ac:dyDescent="0.2">
      <c r="AF1611" t="s">
        <v>473</v>
      </c>
    </row>
    <row r="1612" spans="32:32" x14ac:dyDescent="0.2">
      <c r="AF1612" t="s">
        <v>473</v>
      </c>
    </row>
    <row r="1613" spans="32:32" x14ac:dyDescent="0.2">
      <c r="AF1613" t="s">
        <v>473</v>
      </c>
    </row>
    <row r="1614" spans="32:32" x14ac:dyDescent="0.2">
      <c r="AF1614" t="s">
        <v>473</v>
      </c>
    </row>
    <row r="1615" spans="32:32" x14ac:dyDescent="0.2">
      <c r="AF1615" t="s">
        <v>473</v>
      </c>
    </row>
    <row r="1616" spans="32:32" x14ac:dyDescent="0.2">
      <c r="AF1616" t="s">
        <v>473</v>
      </c>
    </row>
    <row r="1617" spans="32:32" x14ac:dyDescent="0.2">
      <c r="AF1617" t="s">
        <v>473</v>
      </c>
    </row>
    <row r="1618" spans="32:32" x14ac:dyDescent="0.2">
      <c r="AF1618" t="s">
        <v>473</v>
      </c>
    </row>
    <row r="1619" spans="32:32" x14ac:dyDescent="0.2">
      <c r="AF1619" t="s">
        <v>473</v>
      </c>
    </row>
    <row r="1620" spans="32:32" x14ac:dyDescent="0.2">
      <c r="AF1620" t="s">
        <v>473</v>
      </c>
    </row>
    <row r="1621" spans="32:32" x14ac:dyDescent="0.2">
      <c r="AF1621" t="s">
        <v>473</v>
      </c>
    </row>
    <row r="1622" spans="32:32" x14ac:dyDescent="0.2">
      <c r="AF1622" t="s">
        <v>473</v>
      </c>
    </row>
    <row r="1623" spans="32:32" x14ac:dyDescent="0.2">
      <c r="AF1623" t="s">
        <v>473</v>
      </c>
    </row>
    <row r="1624" spans="32:32" x14ac:dyDescent="0.2">
      <c r="AF1624" t="s">
        <v>473</v>
      </c>
    </row>
    <row r="1625" spans="32:32" x14ac:dyDescent="0.2">
      <c r="AF1625" t="s">
        <v>473</v>
      </c>
    </row>
    <row r="1626" spans="32:32" x14ac:dyDescent="0.2">
      <c r="AF1626" t="s">
        <v>473</v>
      </c>
    </row>
    <row r="1627" spans="32:32" x14ac:dyDescent="0.2">
      <c r="AF1627" t="s">
        <v>473</v>
      </c>
    </row>
    <row r="1628" spans="32:32" x14ac:dyDescent="0.2">
      <c r="AF1628" t="s">
        <v>473</v>
      </c>
    </row>
    <row r="1629" spans="32:32" x14ac:dyDescent="0.2">
      <c r="AF1629" t="s">
        <v>473</v>
      </c>
    </row>
    <row r="1630" spans="32:32" x14ac:dyDescent="0.2">
      <c r="AF1630" t="s">
        <v>473</v>
      </c>
    </row>
    <row r="1631" spans="32:32" x14ac:dyDescent="0.2">
      <c r="AF1631" t="s">
        <v>473</v>
      </c>
    </row>
    <row r="1632" spans="32:32" x14ac:dyDescent="0.2">
      <c r="AF1632" t="s">
        <v>473</v>
      </c>
    </row>
    <row r="1633" spans="32:32" x14ac:dyDescent="0.2">
      <c r="AF1633" t="s">
        <v>473</v>
      </c>
    </row>
    <row r="1634" spans="32:32" x14ac:dyDescent="0.2">
      <c r="AF1634" t="s">
        <v>473</v>
      </c>
    </row>
    <row r="1635" spans="32:32" x14ac:dyDescent="0.2">
      <c r="AF1635" t="s">
        <v>473</v>
      </c>
    </row>
    <row r="1636" spans="32:32" x14ac:dyDescent="0.2">
      <c r="AF1636" t="s">
        <v>473</v>
      </c>
    </row>
    <row r="1637" spans="32:32" x14ac:dyDescent="0.2">
      <c r="AF1637" t="s">
        <v>473</v>
      </c>
    </row>
    <row r="1638" spans="32:32" x14ac:dyDescent="0.2">
      <c r="AF1638" t="s">
        <v>473</v>
      </c>
    </row>
    <row r="1639" spans="32:32" x14ac:dyDescent="0.2">
      <c r="AF1639" t="s">
        <v>473</v>
      </c>
    </row>
    <row r="1640" spans="32:32" x14ac:dyDescent="0.2">
      <c r="AF1640" t="s">
        <v>473</v>
      </c>
    </row>
    <row r="1641" spans="32:32" x14ac:dyDescent="0.2">
      <c r="AF1641" t="s">
        <v>473</v>
      </c>
    </row>
    <row r="1642" spans="32:32" x14ac:dyDescent="0.2">
      <c r="AF1642" t="s">
        <v>473</v>
      </c>
    </row>
    <row r="1643" spans="32:32" x14ac:dyDescent="0.2">
      <c r="AF1643" t="s">
        <v>473</v>
      </c>
    </row>
    <row r="1644" spans="32:32" x14ac:dyDescent="0.2">
      <c r="AF1644" t="s">
        <v>473</v>
      </c>
    </row>
    <row r="1645" spans="32:32" x14ac:dyDescent="0.2">
      <c r="AF1645" t="s">
        <v>473</v>
      </c>
    </row>
    <row r="1646" spans="32:32" x14ac:dyDescent="0.2">
      <c r="AF1646" t="s">
        <v>473</v>
      </c>
    </row>
    <row r="1647" spans="32:32" x14ac:dyDescent="0.2">
      <c r="AF1647" t="s">
        <v>473</v>
      </c>
    </row>
    <row r="1648" spans="32:32" x14ac:dyDescent="0.2">
      <c r="AF1648" t="s">
        <v>473</v>
      </c>
    </row>
    <row r="1649" spans="32:32" x14ac:dyDescent="0.2">
      <c r="AF1649" t="s">
        <v>473</v>
      </c>
    </row>
    <row r="1650" spans="32:32" x14ac:dyDescent="0.2">
      <c r="AF1650" t="s">
        <v>473</v>
      </c>
    </row>
    <row r="1651" spans="32:32" x14ac:dyDescent="0.2">
      <c r="AF1651" t="s">
        <v>473</v>
      </c>
    </row>
    <row r="1652" spans="32:32" x14ac:dyDescent="0.2">
      <c r="AF1652" t="s">
        <v>473</v>
      </c>
    </row>
    <row r="1653" spans="32:32" x14ac:dyDescent="0.2">
      <c r="AF1653" t="s">
        <v>473</v>
      </c>
    </row>
    <row r="1654" spans="32:32" x14ac:dyDescent="0.2">
      <c r="AF1654" t="s">
        <v>473</v>
      </c>
    </row>
    <row r="1655" spans="32:32" x14ac:dyDescent="0.2">
      <c r="AF1655" t="s">
        <v>473</v>
      </c>
    </row>
    <row r="1656" spans="32:32" x14ac:dyDescent="0.2">
      <c r="AF1656" t="s">
        <v>473</v>
      </c>
    </row>
    <row r="1657" spans="32:32" x14ac:dyDescent="0.2">
      <c r="AF1657" t="s">
        <v>473</v>
      </c>
    </row>
    <row r="1658" spans="32:32" x14ac:dyDescent="0.2">
      <c r="AF1658" t="s">
        <v>473</v>
      </c>
    </row>
    <row r="1659" spans="32:32" x14ac:dyDescent="0.2">
      <c r="AF1659" t="s">
        <v>473</v>
      </c>
    </row>
    <row r="1660" spans="32:32" x14ac:dyDescent="0.2">
      <c r="AF1660" t="s">
        <v>473</v>
      </c>
    </row>
    <row r="1661" spans="32:32" x14ac:dyDescent="0.2">
      <c r="AF1661" t="s">
        <v>473</v>
      </c>
    </row>
    <row r="1662" spans="32:32" x14ac:dyDescent="0.2">
      <c r="AF1662" t="s">
        <v>473</v>
      </c>
    </row>
    <row r="1663" spans="32:32" x14ac:dyDescent="0.2">
      <c r="AF1663" t="s">
        <v>473</v>
      </c>
    </row>
    <row r="1664" spans="32:32" x14ac:dyDescent="0.2">
      <c r="AF1664" t="s">
        <v>473</v>
      </c>
    </row>
    <row r="1665" spans="32:32" x14ac:dyDescent="0.2">
      <c r="AF1665" t="s">
        <v>473</v>
      </c>
    </row>
    <row r="1666" spans="32:32" x14ac:dyDescent="0.2">
      <c r="AF1666" t="s">
        <v>473</v>
      </c>
    </row>
    <row r="1667" spans="32:32" x14ac:dyDescent="0.2">
      <c r="AF1667" t="s">
        <v>473</v>
      </c>
    </row>
    <row r="1668" spans="32:32" x14ac:dyDescent="0.2">
      <c r="AF1668" t="s">
        <v>473</v>
      </c>
    </row>
    <row r="1669" spans="32:32" x14ac:dyDescent="0.2">
      <c r="AF1669" t="s">
        <v>473</v>
      </c>
    </row>
    <row r="1670" spans="32:32" x14ac:dyDescent="0.2">
      <c r="AF1670" t="s">
        <v>473</v>
      </c>
    </row>
    <row r="1671" spans="32:32" x14ac:dyDescent="0.2">
      <c r="AF1671" t="s">
        <v>473</v>
      </c>
    </row>
    <row r="1672" spans="32:32" x14ac:dyDescent="0.2">
      <c r="AF1672" t="s">
        <v>473</v>
      </c>
    </row>
    <row r="1673" spans="32:32" x14ac:dyDescent="0.2">
      <c r="AF1673" t="s">
        <v>473</v>
      </c>
    </row>
    <row r="1674" spans="32:32" x14ac:dyDescent="0.2">
      <c r="AF1674" t="s">
        <v>473</v>
      </c>
    </row>
    <row r="1675" spans="32:32" x14ac:dyDescent="0.2">
      <c r="AF1675" t="s">
        <v>473</v>
      </c>
    </row>
    <row r="1676" spans="32:32" x14ac:dyDescent="0.2">
      <c r="AF1676" t="s">
        <v>473</v>
      </c>
    </row>
    <row r="1677" spans="32:32" x14ac:dyDescent="0.2">
      <c r="AF1677" t="s">
        <v>473</v>
      </c>
    </row>
    <row r="1678" spans="32:32" x14ac:dyDescent="0.2">
      <c r="AF1678" t="s">
        <v>473</v>
      </c>
    </row>
    <row r="1679" spans="32:32" x14ac:dyDescent="0.2">
      <c r="AF1679" t="s">
        <v>473</v>
      </c>
    </row>
    <row r="1680" spans="32:32" x14ac:dyDescent="0.2">
      <c r="AF1680" t="s">
        <v>473</v>
      </c>
    </row>
    <row r="1681" spans="32:32" x14ac:dyDescent="0.2">
      <c r="AF1681" t="s">
        <v>473</v>
      </c>
    </row>
    <row r="1682" spans="32:32" x14ac:dyDescent="0.2">
      <c r="AF1682" t="s">
        <v>473</v>
      </c>
    </row>
    <row r="1683" spans="32:32" x14ac:dyDescent="0.2">
      <c r="AF1683" t="s">
        <v>473</v>
      </c>
    </row>
    <row r="1684" spans="32:32" x14ac:dyDescent="0.2">
      <c r="AF1684" t="s">
        <v>473</v>
      </c>
    </row>
    <row r="1685" spans="32:32" x14ac:dyDescent="0.2">
      <c r="AF1685" t="s">
        <v>473</v>
      </c>
    </row>
    <row r="1686" spans="32:32" x14ac:dyDescent="0.2">
      <c r="AF1686" t="s">
        <v>473</v>
      </c>
    </row>
    <row r="1687" spans="32:32" x14ac:dyDescent="0.2">
      <c r="AF1687" t="s">
        <v>473</v>
      </c>
    </row>
    <row r="1688" spans="32:32" x14ac:dyDescent="0.2">
      <c r="AF1688" t="s">
        <v>473</v>
      </c>
    </row>
    <row r="1689" spans="32:32" x14ac:dyDescent="0.2">
      <c r="AF1689" t="s">
        <v>473</v>
      </c>
    </row>
    <row r="1690" spans="32:32" x14ac:dyDescent="0.2">
      <c r="AF1690" t="s">
        <v>473</v>
      </c>
    </row>
    <row r="1691" spans="32:32" x14ac:dyDescent="0.2">
      <c r="AF1691" t="s">
        <v>473</v>
      </c>
    </row>
    <row r="1692" spans="32:32" x14ac:dyDescent="0.2">
      <c r="AF1692" t="s">
        <v>473</v>
      </c>
    </row>
    <row r="1693" spans="32:32" x14ac:dyDescent="0.2">
      <c r="AF1693" t="s">
        <v>473</v>
      </c>
    </row>
    <row r="1694" spans="32:32" x14ac:dyDescent="0.2">
      <c r="AF1694" t="s">
        <v>473</v>
      </c>
    </row>
    <row r="1695" spans="32:32" x14ac:dyDescent="0.2">
      <c r="AF1695" t="s">
        <v>473</v>
      </c>
    </row>
    <row r="1696" spans="32:32" x14ac:dyDescent="0.2">
      <c r="AF1696" t="s">
        <v>473</v>
      </c>
    </row>
    <row r="1697" spans="32:32" x14ac:dyDescent="0.2">
      <c r="AF1697" t="s">
        <v>473</v>
      </c>
    </row>
    <row r="1698" spans="32:32" x14ac:dyDescent="0.2">
      <c r="AF1698" t="s">
        <v>473</v>
      </c>
    </row>
    <row r="1699" spans="32:32" x14ac:dyDescent="0.2">
      <c r="AF1699" t="s">
        <v>473</v>
      </c>
    </row>
    <row r="1700" spans="32:32" x14ac:dyDescent="0.2">
      <c r="AF1700" t="s">
        <v>473</v>
      </c>
    </row>
    <row r="1701" spans="32:32" x14ac:dyDescent="0.2">
      <c r="AF1701" t="s">
        <v>473</v>
      </c>
    </row>
    <row r="1702" spans="32:32" x14ac:dyDescent="0.2">
      <c r="AF1702" t="s">
        <v>473</v>
      </c>
    </row>
    <row r="1703" spans="32:32" x14ac:dyDescent="0.2">
      <c r="AF1703" t="s">
        <v>473</v>
      </c>
    </row>
    <row r="1704" spans="32:32" x14ac:dyDescent="0.2">
      <c r="AF1704" t="s">
        <v>473</v>
      </c>
    </row>
    <row r="1705" spans="32:32" x14ac:dyDescent="0.2">
      <c r="AF1705" t="s">
        <v>473</v>
      </c>
    </row>
    <row r="1706" spans="32:32" x14ac:dyDescent="0.2">
      <c r="AF1706" t="s">
        <v>473</v>
      </c>
    </row>
    <row r="1707" spans="32:32" x14ac:dyDescent="0.2">
      <c r="AF1707" t="s">
        <v>473</v>
      </c>
    </row>
    <row r="1708" spans="32:32" x14ac:dyDescent="0.2">
      <c r="AF1708" t="s">
        <v>473</v>
      </c>
    </row>
    <row r="1709" spans="32:32" x14ac:dyDescent="0.2">
      <c r="AF1709" t="s">
        <v>473</v>
      </c>
    </row>
    <row r="1710" spans="32:32" x14ac:dyDescent="0.2">
      <c r="AF1710" t="s">
        <v>473</v>
      </c>
    </row>
    <row r="1711" spans="32:32" x14ac:dyDescent="0.2">
      <c r="AF1711" t="s">
        <v>473</v>
      </c>
    </row>
    <row r="1712" spans="32:32" x14ac:dyDescent="0.2">
      <c r="AF1712" t="s">
        <v>473</v>
      </c>
    </row>
    <row r="1713" spans="32:32" x14ac:dyDescent="0.2">
      <c r="AF1713" t="s">
        <v>473</v>
      </c>
    </row>
    <row r="1714" spans="32:32" x14ac:dyDescent="0.2">
      <c r="AF1714" t="s">
        <v>473</v>
      </c>
    </row>
    <row r="1715" spans="32:32" x14ac:dyDescent="0.2">
      <c r="AF1715" t="s">
        <v>473</v>
      </c>
    </row>
    <row r="1716" spans="32:32" x14ac:dyDescent="0.2">
      <c r="AF1716" t="s">
        <v>473</v>
      </c>
    </row>
    <row r="1717" spans="32:32" x14ac:dyDescent="0.2">
      <c r="AF1717" t="s">
        <v>473</v>
      </c>
    </row>
    <row r="1718" spans="32:32" x14ac:dyDescent="0.2">
      <c r="AF1718" t="s">
        <v>473</v>
      </c>
    </row>
    <row r="1719" spans="32:32" x14ac:dyDescent="0.2">
      <c r="AF1719" t="s">
        <v>473</v>
      </c>
    </row>
    <row r="1720" spans="32:32" x14ac:dyDescent="0.2">
      <c r="AF1720" t="s">
        <v>473</v>
      </c>
    </row>
    <row r="1721" spans="32:32" x14ac:dyDescent="0.2">
      <c r="AF1721" t="s">
        <v>473</v>
      </c>
    </row>
    <row r="1722" spans="32:32" x14ac:dyDescent="0.2">
      <c r="AF1722" t="s">
        <v>473</v>
      </c>
    </row>
    <row r="1723" spans="32:32" x14ac:dyDescent="0.2">
      <c r="AF1723" t="s">
        <v>473</v>
      </c>
    </row>
    <row r="1724" spans="32:32" x14ac:dyDescent="0.2">
      <c r="AF1724" t="s">
        <v>473</v>
      </c>
    </row>
    <row r="1725" spans="32:32" x14ac:dyDescent="0.2">
      <c r="AF1725" t="s">
        <v>473</v>
      </c>
    </row>
    <row r="1726" spans="32:32" x14ac:dyDescent="0.2">
      <c r="AF1726" t="s">
        <v>473</v>
      </c>
    </row>
    <row r="1727" spans="32:32" x14ac:dyDescent="0.2">
      <c r="AF1727" t="s">
        <v>473</v>
      </c>
    </row>
    <row r="1728" spans="32:32" x14ac:dyDescent="0.2">
      <c r="AF1728" t="s">
        <v>473</v>
      </c>
    </row>
    <row r="1729" spans="32:32" x14ac:dyDescent="0.2">
      <c r="AF1729" t="s">
        <v>473</v>
      </c>
    </row>
    <row r="1730" spans="32:32" x14ac:dyDescent="0.2">
      <c r="AF1730" t="s">
        <v>473</v>
      </c>
    </row>
    <row r="1731" spans="32:32" x14ac:dyDescent="0.2">
      <c r="AF1731" t="s">
        <v>473</v>
      </c>
    </row>
    <row r="1732" spans="32:32" x14ac:dyDescent="0.2">
      <c r="AF1732" t="s">
        <v>473</v>
      </c>
    </row>
    <row r="1733" spans="32:32" x14ac:dyDescent="0.2">
      <c r="AF1733" t="s">
        <v>473</v>
      </c>
    </row>
    <row r="1734" spans="32:32" x14ac:dyDescent="0.2">
      <c r="AF1734" t="s">
        <v>473</v>
      </c>
    </row>
    <row r="1735" spans="32:32" x14ac:dyDescent="0.2">
      <c r="AF1735" t="s">
        <v>473</v>
      </c>
    </row>
    <row r="1736" spans="32:32" x14ac:dyDescent="0.2">
      <c r="AF1736" t="s">
        <v>473</v>
      </c>
    </row>
    <row r="1737" spans="32:32" x14ac:dyDescent="0.2">
      <c r="AF1737" t="s">
        <v>473</v>
      </c>
    </row>
    <row r="1738" spans="32:32" x14ac:dyDescent="0.2">
      <c r="AF1738" t="s">
        <v>473</v>
      </c>
    </row>
    <row r="1739" spans="32:32" x14ac:dyDescent="0.2">
      <c r="AF1739" t="s">
        <v>473</v>
      </c>
    </row>
    <row r="1740" spans="32:32" x14ac:dyDescent="0.2">
      <c r="AF1740" t="s">
        <v>473</v>
      </c>
    </row>
    <row r="1741" spans="32:32" x14ac:dyDescent="0.2">
      <c r="AF1741" t="s">
        <v>473</v>
      </c>
    </row>
    <row r="1742" spans="32:32" x14ac:dyDescent="0.2">
      <c r="AF1742" t="s">
        <v>473</v>
      </c>
    </row>
    <row r="1743" spans="32:32" x14ac:dyDescent="0.2">
      <c r="AF1743" t="s">
        <v>473</v>
      </c>
    </row>
    <row r="1744" spans="32:32" x14ac:dyDescent="0.2">
      <c r="AF1744" t="s">
        <v>473</v>
      </c>
    </row>
    <row r="1745" spans="32:32" x14ac:dyDescent="0.2">
      <c r="AF1745" t="s">
        <v>473</v>
      </c>
    </row>
    <row r="1746" spans="32:32" x14ac:dyDescent="0.2">
      <c r="AF1746" t="s">
        <v>473</v>
      </c>
    </row>
    <row r="1747" spans="32:32" x14ac:dyDescent="0.2">
      <c r="AF1747" t="s">
        <v>473</v>
      </c>
    </row>
    <row r="1748" spans="32:32" x14ac:dyDescent="0.2">
      <c r="AF1748" t="s">
        <v>473</v>
      </c>
    </row>
    <row r="1749" spans="32:32" x14ac:dyDescent="0.2">
      <c r="AF1749" t="s">
        <v>473</v>
      </c>
    </row>
    <row r="1750" spans="32:32" x14ac:dyDescent="0.2">
      <c r="AF1750" t="s">
        <v>473</v>
      </c>
    </row>
    <row r="1751" spans="32:32" x14ac:dyDescent="0.2">
      <c r="AF1751" t="s">
        <v>473</v>
      </c>
    </row>
    <row r="1752" spans="32:32" x14ac:dyDescent="0.2">
      <c r="AF1752" t="s">
        <v>473</v>
      </c>
    </row>
    <row r="1753" spans="32:32" x14ac:dyDescent="0.2">
      <c r="AF1753" t="s">
        <v>473</v>
      </c>
    </row>
    <row r="1754" spans="32:32" x14ac:dyDescent="0.2">
      <c r="AF1754" t="s">
        <v>473</v>
      </c>
    </row>
    <row r="1755" spans="32:32" x14ac:dyDescent="0.2">
      <c r="AF1755" t="s">
        <v>473</v>
      </c>
    </row>
    <row r="1756" spans="32:32" x14ac:dyDescent="0.2">
      <c r="AF1756" t="s">
        <v>473</v>
      </c>
    </row>
    <row r="1757" spans="32:32" x14ac:dyDescent="0.2">
      <c r="AF1757" t="s">
        <v>473</v>
      </c>
    </row>
    <row r="1758" spans="32:32" x14ac:dyDescent="0.2">
      <c r="AF1758" t="s">
        <v>473</v>
      </c>
    </row>
    <row r="1759" spans="32:32" x14ac:dyDescent="0.2">
      <c r="AF1759" t="s">
        <v>473</v>
      </c>
    </row>
    <row r="1760" spans="32:32" x14ac:dyDescent="0.2">
      <c r="AF1760" t="s">
        <v>473</v>
      </c>
    </row>
    <row r="1761" spans="32:32" x14ac:dyDescent="0.2">
      <c r="AF1761" t="s">
        <v>473</v>
      </c>
    </row>
    <row r="1762" spans="32:32" x14ac:dyDescent="0.2">
      <c r="AF1762" t="s">
        <v>473</v>
      </c>
    </row>
    <row r="1763" spans="32:32" x14ac:dyDescent="0.2">
      <c r="AF1763" t="s">
        <v>473</v>
      </c>
    </row>
    <row r="1764" spans="32:32" x14ac:dyDescent="0.2">
      <c r="AF1764" t="s">
        <v>473</v>
      </c>
    </row>
    <row r="1765" spans="32:32" x14ac:dyDescent="0.2">
      <c r="AF1765" t="s">
        <v>473</v>
      </c>
    </row>
    <row r="1766" spans="32:32" x14ac:dyDescent="0.2">
      <c r="AF1766" t="s">
        <v>473</v>
      </c>
    </row>
    <row r="1767" spans="32:32" x14ac:dyDescent="0.2">
      <c r="AF1767" t="s">
        <v>473</v>
      </c>
    </row>
    <row r="1768" spans="32:32" x14ac:dyDescent="0.2">
      <c r="AF1768" t="s">
        <v>473</v>
      </c>
    </row>
    <row r="1769" spans="32:32" x14ac:dyDescent="0.2">
      <c r="AF1769" t="s">
        <v>473</v>
      </c>
    </row>
    <row r="1770" spans="32:32" x14ac:dyDescent="0.2">
      <c r="AF1770" t="s">
        <v>473</v>
      </c>
    </row>
    <row r="1771" spans="32:32" x14ac:dyDescent="0.2">
      <c r="AF1771" t="s">
        <v>473</v>
      </c>
    </row>
    <row r="1772" spans="32:32" x14ac:dyDescent="0.2">
      <c r="AF1772" t="s">
        <v>473</v>
      </c>
    </row>
    <row r="1773" spans="32:32" x14ac:dyDescent="0.2">
      <c r="AF1773" t="s">
        <v>473</v>
      </c>
    </row>
    <row r="1774" spans="32:32" x14ac:dyDescent="0.2">
      <c r="AF1774" t="s">
        <v>473</v>
      </c>
    </row>
    <row r="1775" spans="32:32" x14ac:dyDescent="0.2">
      <c r="AF1775" t="s">
        <v>473</v>
      </c>
    </row>
    <row r="1776" spans="32:32" x14ac:dyDescent="0.2">
      <c r="AF1776" t="s">
        <v>473</v>
      </c>
    </row>
    <row r="1777" spans="32:32" x14ac:dyDescent="0.2">
      <c r="AF1777" t="s">
        <v>473</v>
      </c>
    </row>
    <row r="1778" spans="32:32" x14ac:dyDescent="0.2">
      <c r="AF1778" t="s">
        <v>473</v>
      </c>
    </row>
    <row r="1779" spans="32:32" x14ac:dyDescent="0.2">
      <c r="AF1779" t="s">
        <v>473</v>
      </c>
    </row>
    <row r="1780" spans="32:32" x14ac:dyDescent="0.2">
      <c r="AF1780" t="s">
        <v>473</v>
      </c>
    </row>
    <row r="1781" spans="32:32" x14ac:dyDescent="0.2">
      <c r="AF1781" t="s">
        <v>473</v>
      </c>
    </row>
    <row r="1782" spans="32:32" x14ac:dyDescent="0.2">
      <c r="AF1782" t="s">
        <v>473</v>
      </c>
    </row>
    <row r="1783" spans="32:32" x14ac:dyDescent="0.2">
      <c r="AF1783" t="s">
        <v>473</v>
      </c>
    </row>
    <row r="1784" spans="32:32" x14ac:dyDescent="0.2">
      <c r="AF1784" t="s">
        <v>473</v>
      </c>
    </row>
    <row r="1785" spans="32:32" x14ac:dyDescent="0.2">
      <c r="AF1785" t="s">
        <v>473</v>
      </c>
    </row>
    <row r="1786" spans="32:32" x14ac:dyDescent="0.2">
      <c r="AF1786" t="s">
        <v>473</v>
      </c>
    </row>
    <row r="1787" spans="32:32" x14ac:dyDescent="0.2">
      <c r="AF1787" t="s">
        <v>473</v>
      </c>
    </row>
    <row r="1788" spans="32:32" x14ac:dyDescent="0.2">
      <c r="AF1788" t="s">
        <v>473</v>
      </c>
    </row>
    <row r="1789" spans="32:32" x14ac:dyDescent="0.2">
      <c r="AF1789" t="s">
        <v>473</v>
      </c>
    </row>
    <row r="1790" spans="32:32" x14ac:dyDescent="0.2">
      <c r="AF1790" t="s">
        <v>473</v>
      </c>
    </row>
    <row r="1791" spans="32:32" x14ac:dyDescent="0.2">
      <c r="AF1791" t="s">
        <v>473</v>
      </c>
    </row>
    <row r="1792" spans="32:32" x14ac:dyDescent="0.2">
      <c r="AF1792" t="s">
        <v>473</v>
      </c>
    </row>
    <row r="1793" spans="32:32" x14ac:dyDescent="0.2">
      <c r="AF1793" t="s">
        <v>473</v>
      </c>
    </row>
    <row r="1794" spans="32:32" x14ac:dyDescent="0.2">
      <c r="AF1794" t="s">
        <v>473</v>
      </c>
    </row>
    <row r="1795" spans="32:32" x14ac:dyDescent="0.2">
      <c r="AF1795" t="s">
        <v>473</v>
      </c>
    </row>
    <row r="1796" spans="32:32" x14ac:dyDescent="0.2">
      <c r="AF1796" t="s">
        <v>473</v>
      </c>
    </row>
    <row r="1797" spans="32:32" x14ac:dyDescent="0.2">
      <c r="AF1797" t="s">
        <v>473</v>
      </c>
    </row>
    <row r="1798" spans="32:32" x14ac:dyDescent="0.2">
      <c r="AF1798" t="s">
        <v>473</v>
      </c>
    </row>
    <row r="1799" spans="32:32" x14ac:dyDescent="0.2">
      <c r="AF1799" t="s">
        <v>473</v>
      </c>
    </row>
    <row r="1800" spans="32:32" x14ac:dyDescent="0.2">
      <c r="AF1800" t="s">
        <v>473</v>
      </c>
    </row>
    <row r="1801" spans="32:32" x14ac:dyDescent="0.2">
      <c r="AF1801" t="s">
        <v>473</v>
      </c>
    </row>
    <row r="1802" spans="32:32" x14ac:dyDescent="0.2">
      <c r="AF1802" t="s">
        <v>473</v>
      </c>
    </row>
    <row r="1803" spans="32:32" x14ac:dyDescent="0.2">
      <c r="AF1803" t="s">
        <v>473</v>
      </c>
    </row>
    <row r="1804" spans="32:32" x14ac:dyDescent="0.2">
      <c r="AF1804" t="s">
        <v>473</v>
      </c>
    </row>
    <row r="1805" spans="32:32" x14ac:dyDescent="0.2">
      <c r="AF1805" t="s">
        <v>473</v>
      </c>
    </row>
    <row r="1806" spans="32:32" x14ac:dyDescent="0.2">
      <c r="AF1806" t="s">
        <v>473</v>
      </c>
    </row>
    <row r="1807" spans="32:32" x14ac:dyDescent="0.2">
      <c r="AF1807" t="s">
        <v>473</v>
      </c>
    </row>
    <row r="1808" spans="32:32" x14ac:dyDescent="0.2">
      <c r="AF1808" t="s">
        <v>473</v>
      </c>
    </row>
    <row r="1809" spans="32:32" x14ac:dyDescent="0.2">
      <c r="AF1809" t="s">
        <v>473</v>
      </c>
    </row>
    <row r="1810" spans="32:32" x14ac:dyDescent="0.2">
      <c r="AF1810" t="s">
        <v>473</v>
      </c>
    </row>
    <row r="1811" spans="32:32" x14ac:dyDescent="0.2">
      <c r="AF1811" t="s">
        <v>473</v>
      </c>
    </row>
    <row r="1812" spans="32:32" x14ac:dyDescent="0.2">
      <c r="AF1812" t="s">
        <v>473</v>
      </c>
    </row>
    <row r="1813" spans="32:32" x14ac:dyDescent="0.2">
      <c r="AF1813" t="s">
        <v>473</v>
      </c>
    </row>
    <row r="1814" spans="32:32" x14ac:dyDescent="0.2">
      <c r="AF1814" t="s">
        <v>473</v>
      </c>
    </row>
    <row r="1815" spans="32:32" x14ac:dyDescent="0.2">
      <c r="AF1815" t="s">
        <v>473</v>
      </c>
    </row>
    <row r="1816" spans="32:32" x14ac:dyDescent="0.2">
      <c r="AF1816" t="s">
        <v>473</v>
      </c>
    </row>
    <row r="1817" spans="32:32" x14ac:dyDescent="0.2">
      <c r="AF1817" t="s">
        <v>473</v>
      </c>
    </row>
    <row r="1818" spans="32:32" x14ac:dyDescent="0.2">
      <c r="AF1818" t="s">
        <v>473</v>
      </c>
    </row>
    <row r="1819" spans="32:32" x14ac:dyDescent="0.2">
      <c r="AF1819" t="s">
        <v>473</v>
      </c>
    </row>
    <row r="1820" spans="32:32" x14ac:dyDescent="0.2">
      <c r="AF1820" t="s">
        <v>473</v>
      </c>
    </row>
    <row r="1821" spans="32:32" x14ac:dyDescent="0.2">
      <c r="AF1821" t="s">
        <v>473</v>
      </c>
    </row>
    <row r="1822" spans="32:32" x14ac:dyDescent="0.2">
      <c r="AF1822" t="s">
        <v>473</v>
      </c>
    </row>
    <row r="1823" spans="32:32" x14ac:dyDescent="0.2">
      <c r="AF1823" t="s">
        <v>473</v>
      </c>
    </row>
    <row r="1824" spans="32:32" x14ac:dyDescent="0.2">
      <c r="AF1824" t="s">
        <v>473</v>
      </c>
    </row>
    <row r="1825" spans="32:32" x14ac:dyDescent="0.2">
      <c r="AF1825" t="s">
        <v>473</v>
      </c>
    </row>
    <row r="1826" spans="32:32" x14ac:dyDescent="0.2">
      <c r="AF1826" t="s">
        <v>473</v>
      </c>
    </row>
    <row r="1827" spans="32:32" x14ac:dyDescent="0.2">
      <c r="AF1827" t="s">
        <v>473</v>
      </c>
    </row>
    <row r="1828" spans="32:32" x14ac:dyDescent="0.2">
      <c r="AF1828" t="s">
        <v>473</v>
      </c>
    </row>
    <row r="1829" spans="32:32" x14ac:dyDescent="0.2">
      <c r="AF1829" t="s">
        <v>473</v>
      </c>
    </row>
    <row r="1830" spans="32:32" x14ac:dyDescent="0.2">
      <c r="AF1830" t="s">
        <v>473</v>
      </c>
    </row>
    <row r="1831" spans="32:32" x14ac:dyDescent="0.2">
      <c r="AF1831" t="s">
        <v>473</v>
      </c>
    </row>
    <row r="1832" spans="32:32" x14ac:dyDescent="0.2">
      <c r="AF1832" t="s">
        <v>473</v>
      </c>
    </row>
    <row r="1833" spans="32:32" x14ac:dyDescent="0.2">
      <c r="AF1833" t="s">
        <v>473</v>
      </c>
    </row>
    <row r="1834" spans="32:32" x14ac:dyDescent="0.2">
      <c r="AF1834" t="s">
        <v>473</v>
      </c>
    </row>
    <row r="1835" spans="32:32" x14ac:dyDescent="0.2">
      <c r="AF1835" t="s">
        <v>473</v>
      </c>
    </row>
    <row r="1836" spans="32:32" x14ac:dyDescent="0.2">
      <c r="AF1836" t="s">
        <v>473</v>
      </c>
    </row>
    <row r="1837" spans="32:32" x14ac:dyDescent="0.2">
      <c r="AF1837" t="s">
        <v>473</v>
      </c>
    </row>
    <row r="1838" spans="32:32" x14ac:dyDescent="0.2">
      <c r="AF1838" t="s">
        <v>473</v>
      </c>
    </row>
    <row r="1839" spans="32:32" x14ac:dyDescent="0.2">
      <c r="AF1839" t="s">
        <v>473</v>
      </c>
    </row>
    <row r="1840" spans="32:32" x14ac:dyDescent="0.2">
      <c r="AF1840" t="s">
        <v>473</v>
      </c>
    </row>
    <row r="1841" spans="32:32" x14ac:dyDescent="0.2">
      <c r="AF1841" t="s">
        <v>473</v>
      </c>
    </row>
    <row r="1842" spans="32:32" x14ac:dyDescent="0.2">
      <c r="AF1842" t="s">
        <v>473</v>
      </c>
    </row>
    <row r="1843" spans="32:32" x14ac:dyDescent="0.2">
      <c r="AF1843" t="s">
        <v>473</v>
      </c>
    </row>
    <row r="1844" spans="32:32" x14ac:dyDescent="0.2">
      <c r="AF1844" t="s">
        <v>473</v>
      </c>
    </row>
    <row r="1845" spans="32:32" x14ac:dyDescent="0.2">
      <c r="AF1845" t="s">
        <v>473</v>
      </c>
    </row>
    <row r="1846" spans="32:32" x14ac:dyDescent="0.2">
      <c r="AF1846" t="s">
        <v>473</v>
      </c>
    </row>
    <row r="1847" spans="32:32" x14ac:dyDescent="0.2">
      <c r="AF1847" t="s">
        <v>473</v>
      </c>
    </row>
    <row r="1848" spans="32:32" x14ac:dyDescent="0.2">
      <c r="AF1848" t="s">
        <v>473</v>
      </c>
    </row>
    <row r="1849" spans="32:32" x14ac:dyDescent="0.2">
      <c r="AF1849" t="s">
        <v>473</v>
      </c>
    </row>
    <row r="1850" spans="32:32" x14ac:dyDescent="0.2">
      <c r="AF1850" t="s">
        <v>473</v>
      </c>
    </row>
    <row r="1851" spans="32:32" x14ac:dyDescent="0.2">
      <c r="AF1851" t="s">
        <v>473</v>
      </c>
    </row>
    <row r="1852" spans="32:32" x14ac:dyDescent="0.2">
      <c r="AF1852" t="s">
        <v>473</v>
      </c>
    </row>
    <row r="1853" spans="32:32" x14ac:dyDescent="0.2">
      <c r="AF1853" t="s">
        <v>473</v>
      </c>
    </row>
    <row r="1854" spans="32:32" x14ac:dyDescent="0.2">
      <c r="AF1854" t="s">
        <v>473</v>
      </c>
    </row>
    <row r="1855" spans="32:32" x14ac:dyDescent="0.2">
      <c r="AF1855" t="s">
        <v>473</v>
      </c>
    </row>
    <row r="1856" spans="32:32" x14ac:dyDescent="0.2">
      <c r="AF1856" t="s">
        <v>473</v>
      </c>
    </row>
    <row r="1857" spans="32:32" x14ac:dyDescent="0.2">
      <c r="AF1857" t="s">
        <v>473</v>
      </c>
    </row>
    <row r="1858" spans="32:32" x14ac:dyDescent="0.2">
      <c r="AF1858" t="s">
        <v>473</v>
      </c>
    </row>
    <row r="1859" spans="32:32" x14ac:dyDescent="0.2">
      <c r="AF1859" t="s">
        <v>473</v>
      </c>
    </row>
    <row r="1860" spans="32:32" x14ac:dyDescent="0.2">
      <c r="AF1860" t="s">
        <v>473</v>
      </c>
    </row>
    <row r="1861" spans="32:32" x14ac:dyDescent="0.2">
      <c r="AF1861" t="s">
        <v>473</v>
      </c>
    </row>
    <row r="1862" spans="32:32" x14ac:dyDescent="0.2">
      <c r="AF1862" t="s">
        <v>473</v>
      </c>
    </row>
    <row r="1863" spans="32:32" x14ac:dyDescent="0.2">
      <c r="AF1863" t="s">
        <v>473</v>
      </c>
    </row>
    <row r="1864" spans="32:32" x14ac:dyDescent="0.2">
      <c r="AF1864" t="s">
        <v>473</v>
      </c>
    </row>
    <row r="1865" spans="32:32" x14ac:dyDescent="0.2">
      <c r="AF1865" t="s">
        <v>473</v>
      </c>
    </row>
    <row r="1866" spans="32:32" x14ac:dyDescent="0.2">
      <c r="AF1866" t="s">
        <v>473</v>
      </c>
    </row>
    <row r="1867" spans="32:32" x14ac:dyDescent="0.2">
      <c r="AF1867" t="s">
        <v>473</v>
      </c>
    </row>
    <row r="1868" spans="32:32" x14ac:dyDescent="0.2">
      <c r="AF1868" t="s">
        <v>473</v>
      </c>
    </row>
    <row r="1869" spans="32:32" x14ac:dyDescent="0.2">
      <c r="AF1869" t="s">
        <v>473</v>
      </c>
    </row>
    <row r="1870" spans="32:32" x14ac:dyDescent="0.2">
      <c r="AF1870" t="s">
        <v>473</v>
      </c>
    </row>
    <row r="1871" spans="32:32" x14ac:dyDescent="0.2">
      <c r="AF1871" t="s">
        <v>473</v>
      </c>
    </row>
    <row r="1872" spans="32:32" x14ac:dyDescent="0.2">
      <c r="AF1872" t="s">
        <v>473</v>
      </c>
    </row>
    <row r="1873" spans="32:32" x14ac:dyDescent="0.2">
      <c r="AF1873" t="s">
        <v>473</v>
      </c>
    </row>
    <row r="1874" spans="32:32" x14ac:dyDescent="0.2">
      <c r="AF1874" t="s">
        <v>473</v>
      </c>
    </row>
    <row r="1875" spans="32:32" x14ac:dyDescent="0.2">
      <c r="AF1875" t="s">
        <v>473</v>
      </c>
    </row>
    <row r="1876" spans="32:32" x14ac:dyDescent="0.2">
      <c r="AF1876" t="s">
        <v>473</v>
      </c>
    </row>
    <row r="1877" spans="32:32" x14ac:dyDescent="0.2">
      <c r="AF1877" t="s">
        <v>473</v>
      </c>
    </row>
    <row r="1878" spans="32:32" x14ac:dyDescent="0.2">
      <c r="AF1878" t="s">
        <v>473</v>
      </c>
    </row>
    <row r="1879" spans="32:32" x14ac:dyDescent="0.2">
      <c r="AF1879" t="s">
        <v>473</v>
      </c>
    </row>
    <row r="1880" spans="32:32" x14ac:dyDescent="0.2">
      <c r="AF1880" t="s">
        <v>473</v>
      </c>
    </row>
    <row r="1881" spans="32:32" x14ac:dyDescent="0.2">
      <c r="AF1881" t="s">
        <v>473</v>
      </c>
    </row>
    <row r="1882" spans="32:32" x14ac:dyDescent="0.2">
      <c r="AF1882" t="s">
        <v>473</v>
      </c>
    </row>
    <row r="1883" spans="32:32" x14ac:dyDescent="0.2">
      <c r="AF1883" t="s">
        <v>473</v>
      </c>
    </row>
    <row r="1884" spans="32:32" x14ac:dyDescent="0.2">
      <c r="AF1884" t="s">
        <v>473</v>
      </c>
    </row>
    <row r="1885" spans="32:32" x14ac:dyDescent="0.2">
      <c r="AF1885" t="s">
        <v>473</v>
      </c>
    </row>
    <row r="1886" spans="32:32" x14ac:dyDescent="0.2">
      <c r="AF1886" t="s">
        <v>473</v>
      </c>
    </row>
    <row r="1887" spans="32:32" x14ac:dyDescent="0.2">
      <c r="AF1887" t="s">
        <v>473</v>
      </c>
    </row>
    <row r="1888" spans="32:32" x14ac:dyDescent="0.2">
      <c r="AF1888" t="s">
        <v>473</v>
      </c>
    </row>
    <row r="1889" spans="32:32" x14ac:dyDescent="0.2">
      <c r="AF1889" t="s">
        <v>473</v>
      </c>
    </row>
    <row r="1890" spans="32:32" x14ac:dyDescent="0.2">
      <c r="AF1890" t="s">
        <v>473</v>
      </c>
    </row>
    <row r="1891" spans="32:32" x14ac:dyDescent="0.2">
      <c r="AF1891" t="s">
        <v>473</v>
      </c>
    </row>
    <row r="1892" spans="32:32" x14ac:dyDescent="0.2">
      <c r="AF1892" t="s">
        <v>473</v>
      </c>
    </row>
    <row r="1893" spans="32:32" x14ac:dyDescent="0.2">
      <c r="AF1893" t="s">
        <v>473</v>
      </c>
    </row>
    <row r="1894" spans="32:32" x14ac:dyDescent="0.2">
      <c r="AF1894" t="s">
        <v>473</v>
      </c>
    </row>
    <row r="1895" spans="32:32" x14ac:dyDescent="0.2">
      <c r="AF1895" t="s">
        <v>473</v>
      </c>
    </row>
    <row r="1896" spans="32:32" x14ac:dyDescent="0.2">
      <c r="AF1896" t="s">
        <v>473</v>
      </c>
    </row>
    <row r="1897" spans="32:32" x14ac:dyDescent="0.2">
      <c r="AF1897" t="s">
        <v>473</v>
      </c>
    </row>
    <row r="1898" spans="32:32" x14ac:dyDescent="0.2">
      <c r="AF1898" t="s">
        <v>473</v>
      </c>
    </row>
    <row r="1899" spans="32:32" x14ac:dyDescent="0.2">
      <c r="AF1899" t="s">
        <v>473</v>
      </c>
    </row>
    <row r="1900" spans="32:32" x14ac:dyDescent="0.2">
      <c r="AF1900" t="s">
        <v>473</v>
      </c>
    </row>
    <row r="1901" spans="32:32" x14ac:dyDescent="0.2">
      <c r="AF1901" t="s">
        <v>473</v>
      </c>
    </row>
    <row r="1902" spans="32:32" x14ac:dyDescent="0.2">
      <c r="AF1902" t="s">
        <v>473</v>
      </c>
    </row>
    <row r="1903" spans="32:32" x14ac:dyDescent="0.2">
      <c r="AF1903" t="s">
        <v>473</v>
      </c>
    </row>
    <row r="1904" spans="32:32" x14ac:dyDescent="0.2">
      <c r="AF1904" t="s">
        <v>473</v>
      </c>
    </row>
    <row r="1905" spans="32:32" x14ac:dyDescent="0.2">
      <c r="AF1905" t="s">
        <v>473</v>
      </c>
    </row>
    <row r="1906" spans="32:32" x14ac:dyDescent="0.2">
      <c r="AF1906" t="s">
        <v>473</v>
      </c>
    </row>
    <row r="1907" spans="32:32" x14ac:dyDescent="0.2">
      <c r="AF1907" t="s">
        <v>473</v>
      </c>
    </row>
    <row r="1908" spans="32:32" x14ac:dyDescent="0.2">
      <c r="AF1908" t="s">
        <v>473</v>
      </c>
    </row>
    <row r="1909" spans="32:32" x14ac:dyDescent="0.2">
      <c r="AF1909" t="s">
        <v>473</v>
      </c>
    </row>
    <row r="1910" spans="32:32" x14ac:dyDescent="0.2">
      <c r="AF1910" t="s">
        <v>473</v>
      </c>
    </row>
    <row r="1911" spans="32:32" x14ac:dyDescent="0.2">
      <c r="AF1911" t="s">
        <v>473</v>
      </c>
    </row>
    <row r="1912" spans="32:32" x14ac:dyDescent="0.2">
      <c r="AF1912" t="s">
        <v>473</v>
      </c>
    </row>
    <row r="1913" spans="32:32" x14ac:dyDescent="0.2">
      <c r="AF1913" t="s">
        <v>473</v>
      </c>
    </row>
    <row r="1914" spans="32:32" x14ac:dyDescent="0.2">
      <c r="AF1914" t="s">
        <v>473</v>
      </c>
    </row>
    <row r="1915" spans="32:32" x14ac:dyDescent="0.2">
      <c r="AF1915" t="s">
        <v>473</v>
      </c>
    </row>
    <row r="1916" spans="32:32" x14ac:dyDescent="0.2">
      <c r="AF1916" t="s">
        <v>473</v>
      </c>
    </row>
    <row r="1917" spans="32:32" x14ac:dyDescent="0.2">
      <c r="AF1917" t="s">
        <v>473</v>
      </c>
    </row>
    <row r="1918" spans="32:32" x14ac:dyDescent="0.2">
      <c r="AF1918" t="s">
        <v>473</v>
      </c>
    </row>
    <row r="1919" spans="32:32" x14ac:dyDescent="0.2">
      <c r="AF1919" t="s">
        <v>473</v>
      </c>
    </row>
    <row r="1920" spans="32:32" x14ac:dyDescent="0.2">
      <c r="AF1920" t="s">
        <v>473</v>
      </c>
    </row>
    <row r="1921" spans="32:32" x14ac:dyDescent="0.2">
      <c r="AF1921" t="s">
        <v>473</v>
      </c>
    </row>
    <row r="1922" spans="32:32" x14ac:dyDescent="0.2">
      <c r="AF1922" t="s">
        <v>473</v>
      </c>
    </row>
    <row r="1923" spans="32:32" x14ac:dyDescent="0.2">
      <c r="AF1923" t="s">
        <v>473</v>
      </c>
    </row>
    <row r="1924" spans="32:32" x14ac:dyDescent="0.2">
      <c r="AF1924" t="s">
        <v>473</v>
      </c>
    </row>
    <row r="1925" spans="32:32" x14ac:dyDescent="0.2">
      <c r="AF1925" t="s">
        <v>473</v>
      </c>
    </row>
    <row r="1926" spans="32:32" x14ac:dyDescent="0.2">
      <c r="AF1926" t="s">
        <v>473</v>
      </c>
    </row>
    <row r="1927" spans="32:32" x14ac:dyDescent="0.2">
      <c r="AF1927" t="s">
        <v>473</v>
      </c>
    </row>
    <row r="1928" spans="32:32" x14ac:dyDescent="0.2">
      <c r="AF1928" t="s">
        <v>473</v>
      </c>
    </row>
    <row r="1929" spans="32:32" x14ac:dyDescent="0.2">
      <c r="AF1929" t="s">
        <v>473</v>
      </c>
    </row>
    <row r="1930" spans="32:32" x14ac:dyDescent="0.2">
      <c r="AF1930" t="s">
        <v>473</v>
      </c>
    </row>
    <row r="1931" spans="32:32" x14ac:dyDescent="0.2">
      <c r="AF1931" t="s">
        <v>473</v>
      </c>
    </row>
    <row r="1932" spans="32:32" x14ac:dyDescent="0.2">
      <c r="AF1932" t="s">
        <v>473</v>
      </c>
    </row>
    <row r="1933" spans="32:32" x14ac:dyDescent="0.2">
      <c r="AF1933" t="s">
        <v>473</v>
      </c>
    </row>
    <row r="1934" spans="32:32" x14ac:dyDescent="0.2">
      <c r="AF1934" t="s">
        <v>473</v>
      </c>
    </row>
    <row r="1935" spans="32:32" x14ac:dyDescent="0.2">
      <c r="AF1935" t="s">
        <v>473</v>
      </c>
    </row>
    <row r="1936" spans="32:32" x14ac:dyDescent="0.2">
      <c r="AF1936" t="s">
        <v>473</v>
      </c>
    </row>
    <row r="1937" spans="32:32" x14ac:dyDescent="0.2">
      <c r="AF1937" t="s">
        <v>473</v>
      </c>
    </row>
    <row r="1938" spans="32:32" x14ac:dyDescent="0.2">
      <c r="AF1938" t="s">
        <v>473</v>
      </c>
    </row>
    <row r="1939" spans="32:32" x14ac:dyDescent="0.2">
      <c r="AF1939" t="s">
        <v>473</v>
      </c>
    </row>
    <row r="1940" spans="32:32" x14ac:dyDescent="0.2">
      <c r="AF1940" t="s">
        <v>473</v>
      </c>
    </row>
    <row r="1941" spans="32:32" x14ac:dyDescent="0.2">
      <c r="AF1941" t="s">
        <v>473</v>
      </c>
    </row>
    <row r="1942" spans="32:32" x14ac:dyDescent="0.2">
      <c r="AF1942" t="s">
        <v>473</v>
      </c>
    </row>
    <row r="1943" spans="32:32" x14ac:dyDescent="0.2">
      <c r="AF1943" t="s">
        <v>473</v>
      </c>
    </row>
    <row r="1944" spans="32:32" x14ac:dyDescent="0.2">
      <c r="AF1944" t="s">
        <v>473</v>
      </c>
    </row>
    <row r="1945" spans="32:32" x14ac:dyDescent="0.2">
      <c r="AF1945" t="s">
        <v>473</v>
      </c>
    </row>
    <row r="1946" spans="32:32" x14ac:dyDescent="0.2">
      <c r="AF1946" t="s">
        <v>473</v>
      </c>
    </row>
    <row r="1947" spans="32:32" x14ac:dyDescent="0.2">
      <c r="AF1947" t="s">
        <v>473</v>
      </c>
    </row>
    <row r="1948" spans="32:32" x14ac:dyDescent="0.2">
      <c r="AF1948" t="s">
        <v>473</v>
      </c>
    </row>
    <row r="1949" spans="32:32" x14ac:dyDescent="0.2">
      <c r="AF1949" t="s">
        <v>473</v>
      </c>
    </row>
    <row r="1950" spans="32:32" x14ac:dyDescent="0.2">
      <c r="AF1950" t="s">
        <v>473</v>
      </c>
    </row>
    <row r="1951" spans="32:32" x14ac:dyDescent="0.2">
      <c r="AF1951" t="s">
        <v>473</v>
      </c>
    </row>
    <row r="1952" spans="32:32" x14ac:dyDescent="0.2">
      <c r="AF1952" t="s">
        <v>473</v>
      </c>
    </row>
    <row r="1953" spans="32:32" x14ac:dyDescent="0.2">
      <c r="AF1953" t="s">
        <v>473</v>
      </c>
    </row>
    <row r="1954" spans="32:32" x14ac:dyDescent="0.2">
      <c r="AF1954" t="s">
        <v>473</v>
      </c>
    </row>
    <row r="1955" spans="32:32" x14ac:dyDescent="0.2">
      <c r="AF1955" t="s">
        <v>473</v>
      </c>
    </row>
    <row r="1956" spans="32:32" x14ac:dyDescent="0.2">
      <c r="AF1956" t="s">
        <v>473</v>
      </c>
    </row>
    <row r="1957" spans="32:32" x14ac:dyDescent="0.2">
      <c r="AF1957" t="s">
        <v>473</v>
      </c>
    </row>
    <row r="1958" spans="32:32" x14ac:dyDescent="0.2">
      <c r="AF1958" t="s">
        <v>473</v>
      </c>
    </row>
    <row r="1959" spans="32:32" x14ac:dyDescent="0.2">
      <c r="AF1959" t="s">
        <v>473</v>
      </c>
    </row>
    <row r="1960" spans="32:32" x14ac:dyDescent="0.2">
      <c r="AF1960" t="s">
        <v>473</v>
      </c>
    </row>
    <row r="1961" spans="32:32" x14ac:dyDescent="0.2">
      <c r="AF1961" t="s">
        <v>473</v>
      </c>
    </row>
    <row r="1962" spans="32:32" x14ac:dyDescent="0.2">
      <c r="AF1962" t="s">
        <v>473</v>
      </c>
    </row>
    <row r="1963" spans="32:32" x14ac:dyDescent="0.2">
      <c r="AF1963" t="s">
        <v>473</v>
      </c>
    </row>
    <row r="1964" spans="32:32" x14ac:dyDescent="0.2">
      <c r="AF1964" t="s">
        <v>473</v>
      </c>
    </row>
    <row r="1965" spans="32:32" x14ac:dyDescent="0.2">
      <c r="AF1965" t="s">
        <v>473</v>
      </c>
    </row>
    <row r="1966" spans="32:32" x14ac:dyDescent="0.2">
      <c r="AF1966" t="s">
        <v>473</v>
      </c>
    </row>
    <row r="1967" spans="32:32" x14ac:dyDescent="0.2">
      <c r="AF1967" t="s">
        <v>473</v>
      </c>
    </row>
    <row r="1968" spans="32:32" x14ac:dyDescent="0.2">
      <c r="AF1968" t="s">
        <v>473</v>
      </c>
    </row>
    <row r="1969" spans="32:32" x14ac:dyDescent="0.2">
      <c r="AF1969" t="s">
        <v>473</v>
      </c>
    </row>
    <row r="1970" spans="32:32" x14ac:dyDescent="0.2">
      <c r="AF1970" t="s">
        <v>473</v>
      </c>
    </row>
    <row r="1971" spans="32:32" x14ac:dyDescent="0.2">
      <c r="AF1971" t="s">
        <v>473</v>
      </c>
    </row>
    <row r="1972" spans="32:32" x14ac:dyDescent="0.2">
      <c r="AF1972" t="s">
        <v>473</v>
      </c>
    </row>
    <row r="1973" spans="32:32" x14ac:dyDescent="0.2">
      <c r="AF1973" t="s">
        <v>473</v>
      </c>
    </row>
    <row r="1974" spans="32:32" x14ac:dyDescent="0.2">
      <c r="AF1974" t="s">
        <v>473</v>
      </c>
    </row>
    <row r="1975" spans="32:32" x14ac:dyDescent="0.2">
      <c r="AF1975" t="s">
        <v>473</v>
      </c>
    </row>
    <row r="1976" spans="32:32" x14ac:dyDescent="0.2">
      <c r="AF1976" t="s">
        <v>473</v>
      </c>
    </row>
    <row r="1977" spans="32:32" x14ac:dyDescent="0.2">
      <c r="AF1977" t="s">
        <v>473</v>
      </c>
    </row>
    <row r="1978" spans="32:32" x14ac:dyDescent="0.2">
      <c r="AF1978" t="s">
        <v>473</v>
      </c>
    </row>
    <row r="1979" spans="32:32" x14ac:dyDescent="0.2">
      <c r="AF1979" t="s">
        <v>473</v>
      </c>
    </row>
    <row r="1980" spans="32:32" x14ac:dyDescent="0.2">
      <c r="AF1980" t="s">
        <v>473</v>
      </c>
    </row>
    <row r="1981" spans="32:32" x14ac:dyDescent="0.2">
      <c r="AF1981" t="s">
        <v>473</v>
      </c>
    </row>
    <row r="1982" spans="32:32" x14ac:dyDescent="0.2">
      <c r="AF1982" t="s">
        <v>473</v>
      </c>
    </row>
    <row r="1983" spans="32:32" x14ac:dyDescent="0.2">
      <c r="AF1983" t="s">
        <v>473</v>
      </c>
    </row>
    <row r="1984" spans="32:32" x14ac:dyDescent="0.2">
      <c r="AF1984" t="s">
        <v>473</v>
      </c>
    </row>
    <row r="1985" spans="32:32" x14ac:dyDescent="0.2">
      <c r="AF1985" t="s">
        <v>473</v>
      </c>
    </row>
    <row r="1986" spans="32:32" x14ac:dyDescent="0.2">
      <c r="AF1986" t="s">
        <v>473</v>
      </c>
    </row>
    <row r="1987" spans="32:32" x14ac:dyDescent="0.2">
      <c r="AF1987" t="s">
        <v>473</v>
      </c>
    </row>
    <row r="1988" spans="32:32" x14ac:dyDescent="0.2">
      <c r="AF1988" t="s">
        <v>473</v>
      </c>
    </row>
    <row r="1989" spans="32:32" x14ac:dyDescent="0.2">
      <c r="AF1989" t="s">
        <v>473</v>
      </c>
    </row>
    <row r="1990" spans="32:32" x14ac:dyDescent="0.2">
      <c r="AF1990" t="s">
        <v>473</v>
      </c>
    </row>
    <row r="1991" spans="32:32" x14ac:dyDescent="0.2">
      <c r="AF1991" t="s">
        <v>473</v>
      </c>
    </row>
    <row r="1992" spans="32:32" x14ac:dyDescent="0.2">
      <c r="AF1992" t="s">
        <v>473</v>
      </c>
    </row>
    <row r="1993" spans="32:32" x14ac:dyDescent="0.2">
      <c r="AF1993" t="s">
        <v>473</v>
      </c>
    </row>
    <row r="1994" spans="32:32" x14ac:dyDescent="0.2">
      <c r="AF1994" t="s">
        <v>473</v>
      </c>
    </row>
    <row r="1995" spans="32:32" x14ac:dyDescent="0.2">
      <c r="AF1995" t="s">
        <v>473</v>
      </c>
    </row>
    <row r="1996" spans="32:32" x14ac:dyDescent="0.2">
      <c r="AF1996" t="s">
        <v>473</v>
      </c>
    </row>
    <row r="1997" spans="32:32" x14ac:dyDescent="0.2">
      <c r="AF1997" t="s">
        <v>473</v>
      </c>
    </row>
    <row r="1998" spans="32:32" x14ac:dyDescent="0.2">
      <c r="AF1998" t="s">
        <v>473</v>
      </c>
    </row>
    <row r="1999" spans="32:32" x14ac:dyDescent="0.2">
      <c r="AF1999" t="s">
        <v>473</v>
      </c>
    </row>
    <row r="2000" spans="32:32" x14ac:dyDescent="0.2">
      <c r="AF2000" t="s">
        <v>473</v>
      </c>
    </row>
    <row r="2001" spans="32:32" x14ac:dyDescent="0.2">
      <c r="AF2001" t="s">
        <v>473</v>
      </c>
    </row>
    <row r="2002" spans="32:32" x14ac:dyDescent="0.2">
      <c r="AF2002" t="s">
        <v>473</v>
      </c>
    </row>
    <row r="2003" spans="32:32" x14ac:dyDescent="0.2">
      <c r="AF2003" t="s">
        <v>473</v>
      </c>
    </row>
    <row r="2004" spans="32:32" x14ac:dyDescent="0.2">
      <c r="AF2004" t="s">
        <v>473</v>
      </c>
    </row>
    <row r="2005" spans="32:32" x14ac:dyDescent="0.2">
      <c r="AF2005" t="s">
        <v>473</v>
      </c>
    </row>
    <row r="2006" spans="32:32" x14ac:dyDescent="0.2">
      <c r="AF2006" t="s">
        <v>473</v>
      </c>
    </row>
    <row r="2007" spans="32:32" x14ac:dyDescent="0.2">
      <c r="AF2007" t="s">
        <v>473</v>
      </c>
    </row>
    <row r="2008" spans="32:32" x14ac:dyDescent="0.2">
      <c r="AF2008" t="s">
        <v>473</v>
      </c>
    </row>
    <row r="2009" spans="32:32" x14ac:dyDescent="0.2">
      <c r="AF2009" t="s">
        <v>473</v>
      </c>
    </row>
    <row r="2010" spans="32:32" x14ac:dyDescent="0.2">
      <c r="AF2010" t="s">
        <v>473</v>
      </c>
    </row>
    <row r="2011" spans="32:32" x14ac:dyDescent="0.2">
      <c r="AF2011" t="s">
        <v>473</v>
      </c>
    </row>
    <row r="2012" spans="32:32" x14ac:dyDescent="0.2">
      <c r="AF2012" t="s">
        <v>473</v>
      </c>
    </row>
    <row r="2013" spans="32:32" x14ac:dyDescent="0.2">
      <c r="AF2013" t="s">
        <v>473</v>
      </c>
    </row>
    <row r="2014" spans="32:32" x14ac:dyDescent="0.2">
      <c r="AF2014" t="s">
        <v>473</v>
      </c>
    </row>
    <row r="2015" spans="32:32" x14ac:dyDescent="0.2">
      <c r="AF2015" t="s">
        <v>473</v>
      </c>
    </row>
    <row r="2016" spans="32:32" x14ac:dyDescent="0.2">
      <c r="AF2016" t="s">
        <v>473</v>
      </c>
    </row>
    <row r="2017" spans="32:32" x14ac:dyDescent="0.2">
      <c r="AF2017" t="s">
        <v>473</v>
      </c>
    </row>
    <row r="2018" spans="32:32" x14ac:dyDescent="0.2">
      <c r="AF2018" t="s">
        <v>473</v>
      </c>
    </row>
    <row r="2019" spans="32:32" x14ac:dyDescent="0.2">
      <c r="AF2019" t="s">
        <v>473</v>
      </c>
    </row>
    <row r="2020" spans="32:32" x14ac:dyDescent="0.2">
      <c r="AF2020" t="s">
        <v>473</v>
      </c>
    </row>
    <row r="2021" spans="32:32" x14ac:dyDescent="0.2">
      <c r="AF2021" t="s">
        <v>473</v>
      </c>
    </row>
    <row r="2022" spans="32:32" x14ac:dyDescent="0.2">
      <c r="AF2022" t="s">
        <v>473</v>
      </c>
    </row>
    <row r="2023" spans="32:32" x14ac:dyDescent="0.2">
      <c r="AF2023" t="s">
        <v>473</v>
      </c>
    </row>
    <row r="2024" spans="32:32" x14ac:dyDescent="0.2">
      <c r="AF2024" t="s">
        <v>473</v>
      </c>
    </row>
    <row r="2025" spans="32:32" x14ac:dyDescent="0.2">
      <c r="AF2025" t="s">
        <v>473</v>
      </c>
    </row>
    <row r="2026" spans="32:32" x14ac:dyDescent="0.2">
      <c r="AF2026" t="s">
        <v>473</v>
      </c>
    </row>
    <row r="2027" spans="32:32" x14ac:dyDescent="0.2">
      <c r="AF2027" t="s">
        <v>473</v>
      </c>
    </row>
    <row r="2028" spans="32:32" x14ac:dyDescent="0.2">
      <c r="AF2028" t="s">
        <v>473</v>
      </c>
    </row>
    <row r="2029" spans="32:32" x14ac:dyDescent="0.2">
      <c r="AF2029" t="s">
        <v>473</v>
      </c>
    </row>
    <row r="2030" spans="32:32" x14ac:dyDescent="0.2">
      <c r="AF2030" t="s">
        <v>473</v>
      </c>
    </row>
    <row r="2031" spans="32:32" x14ac:dyDescent="0.2">
      <c r="AF2031" t="s">
        <v>473</v>
      </c>
    </row>
    <row r="2032" spans="32:32" x14ac:dyDescent="0.2">
      <c r="AF2032" t="s">
        <v>473</v>
      </c>
    </row>
    <row r="2033" spans="32:32" x14ac:dyDescent="0.2">
      <c r="AF2033" t="s">
        <v>473</v>
      </c>
    </row>
    <row r="2034" spans="32:32" x14ac:dyDescent="0.2">
      <c r="AF2034" t="s">
        <v>473</v>
      </c>
    </row>
    <row r="2035" spans="32:32" x14ac:dyDescent="0.2">
      <c r="AF2035" t="s">
        <v>473</v>
      </c>
    </row>
    <row r="2036" spans="32:32" x14ac:dyDescent="0.2">
      <c r="AF2036" t="s">
        <v>473</v>
      </c>
    </row>
    <row r="2037" spans="32:32" x14ac:dyDescent="0.2">
      <c r="AF2037" t="s">
        <v>473</v>
      </c>
    </row>
    <row r="2038" spans="32:32" x14ac:dyDescent="0.2">
      <c r="AF2038" t="s">
        <v>473</v>
      </c>
    </row>
    <row r="2039" spans="32:32" x14ac:dyDescent="0.2">
      <c r="AF2039" t="s">
        <v>473</v>
      </c>
    </row>
    <row r="2040" spans="32:32" x14ac:dyDescent="0.2">
      <c r="AF2040" t="s">
        <v>473</v>
      </c>
    </row>
    <row r="2041" spans="32:32" x14ac:dyDescent="0.2">
      <c r="AF2041" t="s">
        <v>473</v>
      </c>
    </row>
    <row r="2042" spans="32:32" x14ac:dyDescent="0.2">
      <c r="AF2042" t="s">
        <v>473</v>
      </c>
    </row>
    <row r="2043" spans="32:32" x14ac:dyDescent="0.2">
      <c r="AF2043" t="s">
        <v>473</v>
      </c>
    </row>
    <row r="2044" spans="32:32" x14ac:dyDescent="0.2">
      <c r="AF2044" t="s">
        <v>473</v>
      </c>
    </row>
    <row r="2045" spans="32:32" x14ac:dyDescent="0.2">
      <c r="AF2045" t="s">
        <v>473</v>
      </c>
    </row>
    <row r="2046" spans="32:32" x14ac:dyDescent="0.2">
      <c r="AF2046" t="s">
        <v>473</v>
      </c>
    </row>
    <row r="2047" spans="32:32" x14ac:dyDescent="0.2">
      <c r="AF2047" t="s">
        <v>473</v>
      </c>
    </row>
    <row r="2048" spans="32:32" x14ac:dyDescent="0.2">
      <c r="AF2048" t="s">
        <v>473</v>
      </c>
    </row>
    <row r="2049" spans="32:32" x14ac:dyDescent="0.2">
      <c r="AF2049" t="s">
        <v>473</v>
      </c>
    </row>
    <row r="2050" spans="32:32" x14ac:dyDescent="0.2">
      <c r="AF2050" t="s">
        <v>473</v>
      </c>
    </row>
    <row r="2051" spans="32:32" x14ac:dyDescent="0.2">
      <c r="AF2051" t="s">
        <v>473</v>
      </c>
    </row>
    <row r="2052" spans="32:32" x14ac:dyDescent="0.2">
      <c r="AF2052" t="s">
        <v>473</v>
      </c>
    </row>
    <row r="2053" spans="32:32" x14ac:dyDescent="0.2">
      <c r="AF2053" t="s">
        <v>473</v>
      </c>
    </row>
    <row r="2054" spans="32:32" x14ac:dyDescent="0.2">
      <c r="AF2054" t="s">
        <v>473</v>
      </c>
    </row>
    <row r="2055" spans="32:32" x14ac:dyDescent="0.2">
      <c r="AF2055" t="s">
        <v>473</v>
      </c>
    </row>
    <row r="2056" spans="32:32" x14ac:dyDescent="0.2">
      <c r="AF2056" t="s">
        <v>473</v>
      </c>
    </row>
    <row r="2057" spans="32:32" x14ac:dyDescent="0.2">
      <c r="AF2057" t="s">
        <v>473</v>
      </c>
    </row>
    <row r="2058" spans="32:32" x14ac:dyDescent="0.2">
      <c r="AF2058" t="s">
        <v>473</v>
      </c>
    </row>
    <row r="2059" spans="32:32" x14ac:dyDescent="0.2">
      <c r="AF2059" t="s">
        <v>473</v>
      </c>
    </row>
    <row r="2060" spans="32:32" x14ac:dyDescent="0.2">
      <c r="AF2060" t="s">
        <v>473</v>
      </c>
    </row>
    <row r="2061" spans="32:32" x14ac:dyDescent="0.2">
      <c r="AF2061" t="s">
        <v>473</v>
      </c>
    </row>
    <row r="2062" spans="32:32" x14ac:dyDescent="0.2">
      <c r="AF2062" t="s">
        <v>473</v>
      </c>
    </row>
    <row r="2063" spans="32:32" x14ac:dyDescent="0.2">
      <c r="AF2063" t="s">
        <v>473</v>
      </c>
    </row>
    <row r="2064" spans="32:32" x14ac:dyDescent="0.2">
      <c r="AF2064" t="s">
        <v>473</v>
      </c>
    </row>
    <row r="2065" spans="32:32" x14ac:dyDescent="0.2">
      <c r="AF2065" t="s">
        <v>473</v>
      </c>
    </row>
    <row r="2066" spans="32:32" x14ac:dyDescent="0.2">
      <c r="AF2066" t="s">
        <v>473</v>
      </c>
    </row>
    <row r="2067" spans="32:32" x14ac:dyDescent="0.2">
      <c r="AF2067" t="s">
        <v>473</v>
      </c>
    </row>
    <row r="2068" spans="32:32" x14ac:dyDescent="0.2">
      <c r="AF2068" t="s">
        <v>473</v>
      </c>
    </row>
    <row r="2069" spans="32:32" x14ac:dyDescent="0.2">
      <c r="AF2069" t="s">
        <v>473</v>
      </c>
    </row>
    <row r="2070" spans="32:32" x14ac:dyDescent="0.2">
      <c r="AF2070" t="s">
        <v>473</v>
      </c>
    </row>
    <row r="2071" spans="32:32" x14ac:dyDescent="0.2">
      <c r="AF2071" t="s">
        <v>473</v>
      </c>
    </row>
    <row r="2072" spans="32:32" x14ac:dyDescent="0.2">
      <c r="AF2072" t="s">
        <v>473</v>
      </c>
    </row>
    <row r="2073" spans="32:32" x14ac:dyDescent="0.2">
      <c r="AF2073" t="s">
        <v>473</v>
      </c>
    </row>
    <row r="2074" spans="32:32" x14ac:dyDescent="0.2">
      <c r="AF2074" t="s">
        <v>473</v>
      </c>
    </row>
    <row r="2075" spans="32:32" x14ac:dyDescent="0.2">
      <c r="AF2075" t="s">
        <v>473</v>
      </c>
    </row>
    <row r="2076" spans="32:32" x14ac:dyDescent="0.2">
      <c r="AF2076" t="s">
        <v>473</v>
      </c>
    </row>
    <row r="2077" spans="32:32" x14ac:dyDescent="0.2">
      <c r="AF2077" t="s">
        <v>473</v>
      </c>
    </row>
    <row r="2078" spans="32:32" x14ac:dyDescent="0.2">
      <c r="AF2078" t="s">
        <v>473</v>
      </c>
    </row>
    <row r="2079" spans="32:32" x14ac:dyDescent="0.2">
      <c r="AF2079" t="s">
        <v>473</v>
      </c>
    </row>
    <row r="2080" spans="32:32" x14ac:dyDescent="0.2">
      <c r="AF2080" t="s">
        <v>473</v>
      </c>
    </row>
    <row r="2081" spans="32:32" x14ac:dyDescent="0.2">
      <c r="AF2081" t="s">
        <v>473</v>
      </c>
    </row>
    <row r="2082" spans="32:32" x14ac:dyDescent="0.2">
      <c r="AF2082" t="s">
        <v>473</v>
      </c>
    </row>
    <row r="2083" spans="32:32" x14ac:dyDescent="0.2">
      <c r="AF2083" t="s">
        <v>473</v>
      </c>
    </row>
    <row r="2084" spans="32:32" x14ac:dyDescent="0.2">
      <c r="AF2084" t="s">
        <v>473</v>
      </c>
    </row>
    <row r="2085" spans="32:32" x14ac:dyDescent="0.2">
      <c r="AF2085" t="s">
        <v>473</v>
      </c>
    </row>
    <row r="2086" spans="32:32" x14ac:dyDescent="0.2">
      <c r="AF2086" t="s">
        <v>473</v>
      </c>
    </row>
    <row r="2087" spans="32:32" x14ac:dyDescent="0.2">
      <c r="AF2087" t="s">
        <v>473</v>
      </c>
    </row>
    <row r="2088" spans="32:32" x14ac:dyDescent="0.2">
      <c r="AF2088" t="s">
        <v>473</v>
      </c>
    </row>
    <row r="2089" spans="32:32" x14ac:dyDescent="0.2">
      <c r="AF2089" t="s">
        <v>473</v>
      </c>
    </row>
    <row r="2090" spans="32:32" x14ac:dyDescent="0.2">
      <c r="AF2090" t="s">
        <v>473</v>
      </c>
    </row>
    <row r="2091" spans="32:32" x14ac:dyDescent="0.2">
      <c r="AF2091" t="s">
        <v>473</v>
      </c>
    </row>
    <row r="2092" spans="32:32" x14ac:dyDescent="0.2">
      <c r="AF2092" t="s">
        <v>473</v>
      </c>
    </row>
    <row r="2093" spans="32:32" x14ac:dyDescent="0.2">
      <c r="AF2093" t="s">
        <v>473</v>
      </c>
    </row>
    <row r="2094" spans="32:32" x14ac:dyDescent="0.2">
      <c r="AF2094" t="s">
        <v>473</v>
      </c>
    </row>
    <row r="2095" spans="32:32" x14ac:dyDescent="0.2">
      <c r="AF2095" t="s">
        <v>473</v>
      </c>
    </row>
    <row r="2096" spans="32:32" x14ac:dyDescent="0.2">
      <c r="AF2096" t="s">
        <v>473</v>
      </c>
    </row>
    <row r="2097" spans="32:32" x14ac:dyDescent="0.2">
      <c r="AF2097" t="s">
        <v>473</v>
      </c>
    </row>
    <row r="2098" spans="32:32" x14ac:dyDescent="0.2">
      <c r="AF2098" t="s">
        <v>473</v>
      </c>
    </row>
    <row r="2099" spans="32:32" x14ac:dyDescent="0.2">
      <c r="AF2099" t="s">
        <v>473</v>
      </c>
    </row>
    <row r="2100" spans="32:32" x14ac:dyDescent="0.2">
      <c r="AF2100" t="s">
        <v>473</v>
      </c>
    </row>
    <row r="2101" spans="32:32" x14ac:dyDescent="0.2">
      <c r="AF2101" t="s">
        <v>473</v>
      </c>
    </row>
    <row r="2102" spans="32:32" x14ac:dyDescent="0.2">
      <c r="AF2102" t="s">
        <v>473</v>
      </c>
    </row>
    <row r="2103" spans="32:32" x14ac:dyDescent="0.2">
      <c r="AF2103" t="s">
        <v>473</v>
      </c>
    </row>
    <row r="2104" spans="32:32" x14ac:dyDescent="0.2">
      <c r="AF2104" t="s">
        <v>473</v>
      </c>
    </row>
    <row r="2105" spans="32:32" x14ac:dyDescent="0.2">
      <c r="AF2105" t="s">
        <v>473</v>
      </c>
    </row>
    <row r="2106" spans="32:32" x14ac:dyDescent="0.2">
      <c r="AF2106" t="s">
        <v>473</v>
      </c>
    </row>
    <row r="2107" spans="32:32" x14ac:dyDescent="0.2">
      <c r="AF2107" t="s">
        <v>473</v>
      </c>
    </row>
    <row r="2108" spans="32:32" x14ac:dyDescent="0.2">
      <c r="AF2108" t="s">
        <v>473</v>
      </c>
    </row>
    <row r="2109" spans="32:32" x14ac:dyDescent="0.2">
      <c r="AF2109" t="s">
        <v>473</v>
      </c>
    </row>
    <row r="2110" spans="32:32" x14ac:dyDescent="0.2">
      <c r="AF2110" t="s">
        <v>473</v>
      </c>
    </row>
    <row r="2111" spans="32:32" x14ac:dyDescent="0.2">
      <c r="AF2111" t="s">
        <v>473</v>
      </c>
    </row>
    <row r="2112" spans="32:32" x14ac:dyDescent="0.2">
      <c r="AF2112" t="s">
        <v>473</v>
      </c>
    </row>
    <row r="2113" spans="32:32" x14ac:dyDescent="0.2">
      <c r="AF2113" t="s">
        <v>473</v>
      </c>
    </row>
    <row r="2114" spans="32:32" x14ac:dyDescent="0.2">
      <c r="AF2114" t="s">
        <v>473</v>
      </c>
    </row>
    <row r="2115" spans="32:32" x14ac:dyDescent="0.2">
      <c r="AF2115" t="s">
        <v>473</v>
      </c>
    </row>
    <row r="2116" spans="32:32" x14ac:dyDescent="0.2">
      <c r="AF2116" t="s">
        <v>473</v>
      </c>
    </row>
    <row r="2117" spans="32:32" x14ac:dyDescent="0.2">
      <c r="AF2117" t="s">
        <v>473</v>
      </c>
    </row>
    <row r="2118" spans="32:32" x14ac:dyDescent="0.2">
      <c r="AF2118" t="s">
        <v>473</v>
      </c>
    </row>
    <row r="2119" spans="32:32" x14ac:dyDescent="0.2">
      <c r="AF2119" t="s">
        <v>473</v>
      </c>
    </row>
    <row r="2120" spans="32:32" x14ac:dyDescent="0.2">
      <c r="AF2120" t="s">
        <v>473</v>
      </c>
    </row>
    <row r="2121" spans="32:32" x14ac:dyDescent="0.2">
      <c r="AF2121" t="s">
        <v>473</v>
      </c>
    </row>
    <row r="2122" spans="32:32" x14ac:dyDescent="0.2">
      <c r="AF2122" t="s">
        <v>473</v>
      </c>
    </row>
    <row r="2123" spans="32:32" x14ac:dyDescent="0.2">
      <c r="AF2123" t="s">
        <v>473</v>
      </c>
    </row>
    <row r="2124" spans="32:32" x14ac:dyDescent="0.2">
      <c r="AF2124" t="s">
        <v>473</v>
      </c>
    </row>
    <row r="2125" spans="32:32" x14ac:dyDescent="0.2">
      <c r="AF2125" t="s">
        <v>473</v>
      </c>
    </row>
    <row r="2126" spans="32:32" x14ac:dyDescent="0.2">
      <c r="AF2126" t="s">
        <v>473</v>
      </c>
    </row>
    <row r="2127" spans="32:32" x14ac:dyDescent="0.2">
      <c r="AF2127" t="s">
        <v>473</v>
      </c>
    </row>
    <row r="2128" spans="32:32" x14ac:dyDescent="0.2">
      <c r="AF2128" t="s">
        <v>473</v>
      </c>
    </row>
    <row r="2129" spans="32:32" x14ac:dyDescent="0.2">
      <c r="AF2129" t="s">
        <v>473</v>
      </c>
    </row>
    <row r="2130" spans="32:32" x14ac:dyDescent="0.2">
      <c r="AF2130" t="s">
        <v>473</v>
      </c>
    </row>
    <row r="2131" spans="32:32" x14ac:dyDescent="0.2">
      <c r="AF2131" t="s">
        <v>473</v>
      </c>
    </row>
    <row r="2132" spans="32:32" x14ac:dyDescent="0.2">
      <c r="AF2132" t="s">
        <v>473</v>
      </c>
    </row>
    <row r="2133" spans="32:32" x14ac:dyDescent="0.2">
      <c r="AF2133" t="s">
        <v>473</v>
      </c>
    </row>
    <row r="2134" spans="32:32" x14ac:dyDescent="0.2">
      <c r="AF2134" t="s">
        <v>473</v>
      </c>
    </row>
    <row r="2135" spans="32:32" x14ac:dyDescent="0.2">
      <c r="AF2135" t="s">
        <v>473</v>
      </c>
    </row>
    <row r="2136" spans="32:32" x14ac:dyDescent="0.2">
      <c r="AF2136" t="s">
        <v>473</v>
      </c>
    </row>
    <row r="2137" spans="32:32" x14ac:dyDescent="0.2">
      <c r="AF2137" t="s">
        <v>473</v>
      </c>
    </row>
    <row r="2138" spans="32:32" x14ac:dyDescent="0.2">
      <c r="AF2138" t="s">
        <v>473</v>
      </c>
    </row>
    <row r="2139" spans="32:32" x14ac:dyDescent="0.2">
      <c r="AF2139" t="s">
        <v>473</v>
      </c>
    </row>
    <row r="2140" spans="32:32" x14ac:dyDescent="0.2">
      <c r="AF2140" t="s">
        <v>473</v>
      </c>
    </row>
    <row r="2141" spans="32:32" x14ac:dyDescent="0.2">
      <c r="AF2141" t="s">
        <v>473</v>
      </c>
    </row>
    <row r="2142" spans="32:32" x14ac:dyDescent="0.2">
      <c r="AF2142" t="s">
        <v>473</v>
      </c>
    </row>
    <row r="2143" spans="32:32" x14ac:dyDescent="0.2">
      <c r="AF2143" t="s">
        <v>473</v>
      </c>
    </row>
    <row r="2144" spans="32:32" x14ac:dyDescent="0.2">
      <c r="AF2144" t="s">
        <v>473</v>
      </c>
    </row>
    <row r="2145" spans="32:32" x14ac:dyDescent="0.2">
      <c r="AF2145" t="s">
        <v>473</v>
      </c>
    </row>
    <row r="2146" spans="32:32" x14ac:dyDescent="0.2">
      <c r="AF2146" t="s">
        <v>473</v>
      </c>
    </row>
    <row r="2147" spans="32:32" x14ac:dyDescent="0.2">
      <c r="AF2147" t="s">
        <v>473</v>
      </c>
    </row>
    <row r="2148" spans="32:32" x14ac:dyDescent="0.2">
      <c r="AF2148" t="s">
        <v>473</v>
      </c>
    </row>
    <row r="2149" spans="32:32" x14ac:dyDescent="0.2">
      <c r="AF2149" t="s">
        <v>473</v>
      </c>
    </row>
    <row r="2150" spans="32:32" x14ac:dyDescent="0.2">
      <c r="AF2150" t="s">
        <v>473</v>
      </c>
    </row>
    <row r="2151" spans="32:32" x14ac:dyDescent="0.2">
      <c r="AF2151" t="s">
        <v>473</v>
      </c>
    </row>
    <row r="2152" spans="32:32" x14ac:dyDescent="0.2">
      <c r="AF2152" t="s">
        <v>473</v>
      </c>
    </row>
    <row r="2153" spans="32:32" x14ac:dyDescent="0.2">
      <c r="AF2153" t="s">
        <v>473</v>
      </c>
    </row>
    <row r="2154" spans="32:32" x14ac:dyDescent="0.2">
      <c r="AF2154" t="s">
        <v>473</v>
      </c>
    </row>
    <row r="2155" spans="32:32" x14ac:dyDescent="0.2">
      <c r="AF2155" t="s">
        <v>473</v>
      </c>
    </row>
    <row r="2156" spans="32:32" x14ac:dyDescent="0.2">
      <c r="AF2156" t="s">
        <v>473</v>
      </c>
    </row>
    <row r="2157" spans="32:32" x14ac:dyDescent="0.2">
      <c r="AF2157" t="s">
        <v>473</v>
      </c>
    </row>
    <row r="2158" spans="32:32" x14ac:dyDescent="0.2">
      <c r="AF2158" t="s">
        <v>473</v>
      </c>
    </row>
    <row r="2159" spans="32:32" x14ac:dyDescent="0.2">
      <c r="AF2159" t="s">
        <v>473</v>
      </c>
    </row>
    <row r="2160" spans="32:32" x14ac:dyDescent="0.2">
      <c r="AF2160" t="s">
        <v>473</v>
      </c>
    </row>
    <row r="2161" spans="32:32" x14ac:dyDescent="0.2">
      <c r="AF2161" t="s">
        <v>473</v>
      </c>
    </row>
    <row r="2162" spans="32:32" x14ac:dyDescent="0.2">
      <c r="AF2162" t="s">
        <v>473</v>
      </c>
    </row>
    <row r="2163" spans="32:32" x14ac:dyDescent="0.2">
      <c r="AF2163" t="s">
        <v>473</v>
      </c>
    </row>
    <row r="2164" spans="32:32" x14ac:dyDescent="0.2">
      <c r="AF2164" t="s">
        <v>473</v>
      </c>
    </row>
    <row r="2165" spans="32:32" x14ac:dyDescent="0.2">
      <c r="AF2165" t="s">
        <v>473</v>
      </c>
    </row>
    <row r="2166" spans="32:32" x14ac:dyDescent="0.2">
      <c r="AF2166" t="s">
        <v>473</v>
      </c>
    </row>
    <row r="2167" spans="32:32" x14ac:dyDescent="0.2">
      <c r="AF2167" t="s">
        <v>473</v>
      </c>
    </row>
    <row r="2168" spans="32:32" x14ac:dyDescent="0.2">
      <c r="AF2168" t="s">
        <v>473</v>
      </c>
    </row>
    <row r="2169" spans="32:32" x14ac:dyDescent="0.2">
      <c r="AF2169" t="s">
        <v>473</v>
      </c>
    </row>
    <row r="2170" spans="32:32" x14ac:dyDescent="0.2">
      <c r="AF2170" t="s">
        <v>473</v>
      </c>
    </row>
    <row r="2171" spans="32:32" x14ac:dyDescent="0.2">
      <c r="AF2171" t="s">
        <v>473</v>
      </c>
    </row>
    <row r="2172" spans="32:32" x14ac:dyDescent="0.2">
      <c r="AF2172" t="s">
        <v>473</v>
      </c>
    </row>
    <row r="2173" spans="32:32" x14ac:dyDescent="0.2">
      <c r="AF2173" t="s">
        <v>473</v>
      </c>
    </row>
    <row r="2174" spans="32:32" x14ac:dyDescent="0.2">
      <c r="AF2174" t="s">
        <v>473</v>
      </c>
    </row>
    <row r="2175" spans="32:32" x14ac:dyDescent="0.2">
      <c r="AF2175" t="s">
        <v>473</v>
      </c>
    </row>
    <row r="2176" spans="32:32" x14ac:dyDescent="0.2">
      <c r="AF2176" t="s">
        <v>473</v>
      </c>
    </row>
    <row r="2177" spans="32:32" x14ac:dyDescent="0.2">
      <c r="AF2177" t="s">
        <v>473</v>
      </c>
    </row>
    <row r="2178" spans="32:32" x14ac:dyDescent="0.2">
      <c r="AF2178" t="s">
        <v>473</v>
      </c>
    </row>
    <row r="2179" spans="32:32" x14ac:dyDescent="0.2">
      <c r="AF2179" t="s">
        <v>473</v>
      </c>
    </row>
    <row r="2180" spans="32:32" x14ac:dyDescent="0.2">
      <c r="AF2180" t="s">
        <v>473</v>
      </c>
    </row>
    <row r="2181" spans="32:32" x14ac:dyDescent="0.2">
      <c r="AF2181" t="s">
        <v>473</v>
      </c>
    </row>
    <row r="2182" spans="32:32" x14ac:dyDescent="0.2">
      <c r="AF2182" t="s">
        <v>473</v>
      </c>
    </row>
    <row r="2183" spans="32:32" x14ac:dyDescent="0.2">
      <c r="AF2183" t="s">
        <v>473</v>
      </c>
    </row>
    <row r="2184" spans="32:32" x14ac:dyDescent="0.2">
      <c r="AF2184" t="s">
        <v>473</v>
      </c>
    </row>
    <row r="2185" spans="32:32" x14ac:dyDescent="0.2">
      <c r="AF2185" t="s">
        <v>473</v>
      </c>
    </row>
    <row r="2186" spans="32:32" x14ac:dyDescent="0.2">
      <c r="AF2186" t="s">
        <v>473</v>
      </c>
    </row>
    <row r="2187" spans="32:32" x14ac:dyDescent="0.2">
      <c r="AF2187" t="s">
        <v>473</v>
      </c>
    </row>
    <row r="2188" spans="32:32" x14ac:dyDescent="0.2">
      <c r="AF2188" t="s">
        <v>473</v>
      </c>
    </row>
    <row r="2189" spans="32:32" x14ac:dyDescent="0.2">
      <c r="AF2189" t="s">
        <v>473</v>
      </c>
    </row>
    <row r="2190" spans="32:32" x14ac:dyDescent="0.2">
      <c r="AF2190" t="s">
        <v>473</v>
      </c>
    </row>
    <row r="2191" spans="32:32" x14ac:dyDescent="0.2">
      <c r="AF2191" t="s">
        <v>473</v>
      </c>
    </row>
    <row r="2192" spans="32:32" x14ac:dyDescent="0.2">
      <c r="AF2192" t="s">
        <v>473</v>
      </c>
    </row>
    <row r="2193" spans="32:32" x14ac:dyDescent="0.2">
      <c r="AF2193" t="s">
        <v>473</v>
      </c>
    </row>
    <row r="2194" spans="32:32" x14ac:dyDescent="0.2">
      <c r="AF2194" t="s">
        <v>473</v>
      </c>
    </row>
    <row r="2195" spans="32:32" x14ac:dyDescent="0.2">
      <c r="AF2195" t="s">
        <v>473</v>
      </c>
    </row>
    <row r="2196" spans="32:32" x14ac:dyDescent="0.2">
      <c r="AF2196" t="s">
        <v>473</v>
      </c>
    </row>
    <row r="2197" spans="32:32" x14ac:dyDescent="0.2">
      <c r="AF2197" t="s">
        <v>473</v>
      </c>
    </row>
    <row r="2198" spans="32:32" x14ac:dyDescent="0.2">
      <c r="AF2198" t="s">
        <v>473</v>
      </c>
    </row>
    <row r="2199" spans="32:32" x14ac:dyDescent="0.2">
      <c r="AF2199" t="s">
        <v>473</v>
      </c>
    </row>
    <row r="2200" spans="32:32" x14ac:dyDescent="0.2">
      <c r="AF2200" t="s">
        <v>473</v>
      </c>
    </row>
    <row r="2201" spans="32:32" x14ac:dyDescent="0.2">
      <c r="AF2201" t="s">
        <v>473</v>
      </c>
    </row>
    <row r="2202" spans="32:32" x14ac:dyDescent="0.2">
      <c r="AF2202" t="s">
        <v>473</v>
      </c>
    </row>
    <row r="2203" spans="32:32" x14ac:dyDescent="0.2">
      <c r="AF2203" t="s">
        <v>473</v>
      </c>
    </row>
    <row r="2204" spans="32:32" x14ac:dyDescent="0.2">
      <c r="AF2204" t="s">
        <v>473</v>
      </c>
    </row>
    <row r="2205" spans="32:32" x14ac:dyDescent="0.2">
      <c r="AF2205" t="s">
        <v>473</v>
      </c>
    </row>
    <row r="2206" spans="32:32" x14ac:dyDescent="0.2">
      <c r="AF2206" t="s">
        <v>473</v>
      </c>
    </row>
    <row r="2207" spans="32:32" x14ac:dyDescent="0.2">
      <c r="AF2207" t="s">
        <v>473</v>
      </c>
    </row>
    <row r="2208" spans="32:32" x14ac:dyDescent="0.2">
      <c r="AF2208" t="s">
        <v>473</v>
      </c>
    </row>
    <row r="2209" spans="32:32" x14ac:dyDescent="0.2">
      <c r="AF2209" t="s">
        <v>473</v>
      </c>
    </row>
    <row r="2210" spans="32:32" x14ac:dyDescent="0.2">
      <c r="AF2210" t="s">
        <v>473</v>
      </c>
    </row>
    <row r="2211" spans="32:32" x14ac:dyDescent="0.2">
      <c r="AF2211" t="s">
        <v>473</v>
      </c>
    </row>
    <row r="2212" spans="32:32" x14ac:dyDescent="0.2">
      <c r="AF2212" t="s">
        <v>473</v>
      </c>
    </row>
    <row r="2213" spans="32:32" x14ac:dyDescent="0.2">
      <c r="AF2213" t="s">
        <v>473</v>
      </c>
    </row>
    <row r="2214" spans="32:32" x14ac:dyDescent="0.2">
      <c r="AF2214" t="s">
        <v>473</v>
      </c>
    </row>
    <row r="2215" spans="32:32" x14ac:dyDescent="0.2">
      <c r="AF2215" t="s">
        <v>473</v>
      </c>
    </row>
    <row r="2216" spans="32:32" x14ac:dyDescent="0.2">
      <c r="AF2216" t="s">
        <v>473</v>
      </c>
    </row>
    <row r="2217" spans="32:32" x14ac:dyDescent="0.2">
      <c r="AF2217" t="s">
        <v>473</v>
      </c>
    </row>
    <row r="2218" spans="32:32" x14ac:dyDescent="0.2">
      <c r="AF2218" t="s">
        <v>473</v>
      </c>
    </row>
    <row r="2219" spans="32:32" x14ac:dyDescent="0.2">
      <c r="AF2219" t="s">
        <v>473</v>
      </c>
    </row>
    <row r="2220" spans="32:32" x14ac:dyDescent="0.2">
      <c r="AF2220" t="s">
        <v>473</v>
      </c>
    </row>
    <row r="2221" spans="32:32" x14ac:dyDescent="0.2">
      <c r="AF2221" t="s">
        <v>473</v>
      </c>
    </row>
    <row r="2222" spans="32:32" x14ac:dyDescent="0.2">
      <c r="AF2222" t="s">
        <v>473</v>
      </c>
    </row>
    <row r="2223" spans="32:32" x14ac:dyDescent="0.2">
      <c r="AF2223" t="s">
        <v>473</v>
      </c>
    </row>
    <row r="2224" spans="32:32" x14ac:dyDescent="0.2">
      <c r="AF2224" t="s">
        <v>473</v>
      </c>
    </row>
    <row r="2225" spans="32:32" x14ac:dyDescent="0.2">
      <c r="AF2225" t="s">
        <v>473</v>
      </c>
    </row>
    <row r="2226" spans="32:32" x14ac:dyDescent="0.2">
      <c r="AF2226" t="s">
        <v>473</v>
      </c>
    </row>
    <row r="2227" spans="32:32" x14ac:dyDescent="0.2">
      <c r="AF2227" t="s">
        <v>473</v>
      </c>
    </row>
    <row r="2228" spans="32:32" x14ac:dyDescent="0.2">
      <c r="AF2228" t="s">
        <v>473</v>
      </c>
    </row>
    <row r="2229" spans="32:32" x14ac:dyDescent="0.2">
      <c r="AF2229" t="s">
        <v>473</v>
      </c>
    </row>
    <row r="2230" spans="32:32" x14ac:dyDescent="0.2">
      <c r="AF2230" t="s">
        <v>473</v>
      </c>
    </row>
    <row r="2231" spans="32:32" x14ac:dyDescent="0.2">
      <c r="AF2231" t="s">
        <v>473</v>
      </c>
    </row>
    <row r="2232" spans="32:32" x14ac:dyDescent="0.2">
      <c r="AF2232" t="s">
        <v>473</v>
      </c>
    </row>
    <row r="2233" spans="32:32" x14ac:dyDescent="0.2">
      <c r="AF2233" t="s">
        <v>473</v>
      </c>
    </row>
    <row r="2234" spans="32:32" x14ac:dyDescent="0.2">
      <c r="AF2234" t="s">
        <v>473</v>
      </c>
    </row>
    <row r="2235" spans="32:32" x14ac:dyDescent="0.2">
      <c r="AF2235" t="s">
        <v>473</v>
      </c>
    </row>
    <row r="2236" spans="32:32" x14ac:dyDescent="0.2">
      <c r="AF2236" t="s">
        <v>473</v>
      </c>
    </row>
    <row r="2237" spans="32:32" x14ac:dyDescent="0.2">
      <c r="AF2237" t="s">
        <v>473</v>
      </c>
    </row>
    <row r="2238" spans="32:32" x14ac:dyDescent="0.2">
      <c r="AF2238" t="s">
        <v>473</v>
      </c>
    </row>
    <row r="2239" spans="32:32" x14ac:dyDescent="0.2">
      <c r="AF2239" t="s">
        <v>473</v>
      </c>
    </row>
    <row r="2240" spans="32:32" x14ac:dyDescent="0.2">
      <c r="AF2240" t="s">
        <v>473</v>
      </c>
    </row>
    <row r="2241" spans="32:32" x14ac:dyDescent="0.2">
      <c r="AF2241" t="s">
        <v>473</v>
      </c>
    </row>
    <row r="2242" spans="32:32" x14ac:dyDescent="0.2">
      <c r="AF2242" t="s">
        <v>473</v>
      </c>
    </row>
    <row r="2243" spans="32:32" x14ac:dyDescent="0.2">
      <c r="AF2243" t="s">
        <v>473</v>
      </c>
    </row>
    <row r="2244" spans="32:32" x14ac:dyDescent="0.2">
      <c r="AF2244" t="s">
        <v>473</v>
      </c>
    </row>
    <row r="2245" spans="32:32" x14ac:dyDescent="0.2">
      <c r="AF2245" t="s">
        <v>473</v>
      </c>
    </row>
    <row r="2246" spans="32:32" x14ac:dyDescent="0.2">
      <c r="AF2246" t="s">
        <v>473</v>
      </c>
    </row>
    <row r="2247" spans="32:32" x14ac:dyDescent="0.2">
      <c r="AF2247" t="s">
        <v>473</v>
      </c>
    </row>
    <row r="2248" spans="32:32" x14ac:dyDescent="0.2">
      <c r="AF2248" t="s">
        <v>473</v>
      </c>
    </row>
    <row r="2249" spans="32:32" x14ac:dyDescent="0.2">
      <c r="AF2249" t="s">
        <v>473</v>
      </c>
    </row>
    <row r="2250" spans="32:32" x14ac:dyDescent="0.2">
      <c r="AF2250" t="s">
        <v>473</v>
      </c>
    </row>
    <row r="2251" spans="32:32" x14ac:dyDescent="0.2">
      <c r="AF2251" t="s">
        <v>473</v>
      </c>
    </row>
    <row r="2252" spans="32:32" x14ac:dyDescent="0.2">
      <c r="AF2252" t="s">
        <v>473</v>
      </c>
    </row>
    <row r="2253" spans="32:32" x14ac:dyDescent="0.2">
      <c r="AF2253" t="s">
        <v>473</v>
      </c>
    </row>
    <row r="2254" spans="32:32" x14ac:dyDescent="0.2">
      <c r="AF2254" t="s">
        <v>473</v>
      </c>
    </row>
    <row r="2255" spans="32:32" x14ac:dyDescent="0.2">
      <c r="AF2255" t="s">
        <v>473</v>
      </c>
    </row>
    <row r="2256" spans="32:32" x14ac:dyDescent="0.2">
      <c r="AF2256" t="s">
        <v>473</v>
      </c>
    </row>
    <row r="2257" spans="32:32" x14ac:dyDescent="0.2">
      <c r="AF2257" t="s">
        <v>473</v>
      </c>
    </row>
    <row r="2258" spans="32:32" x14ac:dyDescent="0.2">
      <c r="AF2258" t="s">
        <v>473</v>
      </c>
    </row>
    <row r="2259" spans="32:32" x14ac:dyDescent="0.2">
      <c r="AF2259" t="s">
        <v>473</v>
      </c>
    </row>
    <row r="2260" spans="32:32" x14ac:dyDescent="0.2">
      <c r="AF2260" t="s">
        <v>473</v>
      </c>
    </row>
    <row r="2261" spans="32:32" x14ac:dyDescent="0.2">
      <c r="AF2261" t="s">
        <v>473</v>
      </c>
    </row>
    <row r="2262" spans="32:32" x14ac:dyDescent="0.2">
      <c r="AF2262" t="s">
        <v>473</v>
      </c>
    </row>
    <row r="2263" spans="32:32" x14ac:dyDescent="0.2">
      <c r="AF2263" t="s">
        <v>473</v>
      </c>
    </row>
    <row r="2264" spans="32:32" x14ac:dyDescent="0.2">
      <c r="AF2264" t="s">
        <v>473</v>
      </c>
    </row>
    <row r="2265" spans="32:32" x14ac:dyDescent="0.2">
      <c r="AF2265" t="s">
        <v>473</v>
      </c>
    </row>
    <row r="2266" spans="32:32" x14ac:dyDescent="0.2">
      <c r="AF2266" t="s">
        <v>473</v>
      </c>
    </row>
    <row r="2267" spans="32:32" x14ac:dyDescent="0.2">
      <c r="AF2267" t="s">
        <v>473</v>
      </c>
    </row>
    <row r="2268" spans="32:32" x14ac:dyDescent="0.2">
      <c r="AF2268" t="s">
        <v>473</v>
      </c>
    </row>
    <row r="2269" spans="32:32" x14ac:dyDescent="0.2">
      <c r="AF2269" t="s">
        <v>473</v>
      </c>
    </row>
    <row r="2270" spans="32:32" x14ac:dyDescent="0.2">
      <c r="AF2270" t="s">
        <v>473</v>
      </c>
    </row>
    <row r="2271" spans="32:32" x14ac:dyDescent="0.2">
      <c r="AF2271" t="s">
        <v>473</v>
      </c>
    </row>
    <row r="2272" spans="32:32" x14ac:dyDescent="0.2">
      <c r="AF2272" t="s">
        <v>473</v>
      </c>
    </row>
    <row r="2273" spans="32:32" x14ac:dyDescent="0.2">
      <c r="AF2273" t="s">
        <v>473</v>
      </c>
    </row>
    <row r="2274" spans="32:32" x14ac:dyDescent="0.2">
      <c r="AF2274" t="s">
        <v>473</v>
      </c>
    </row>
    <row r="2275" spans="32:32" x14ac:dyDescent="0.2">
      <c r="AF2275" t="s">
        <v>473</v>
      </c>
    </row>
    <row r="2276" spans="32:32" x14ac:dyDescent="0.2">
      <c r="AF2276" t="s">
        <v>473</v>
      </c>
    </row>
    <row r="2277" spans="32:32" x14ac:dyDescent="0.2">
      <c r="AF2277" t="s">
        <v>473</v>
      </c>
    </row>
    <row r="2278" spans="32:32" x14ac:dyDescent="0.2">
      <c r="AF2278" t="s">
        <v>473</v>
      </c>
    </row>
    <row r="2279" spans="32:32" x14ac:dyDescent="0.2">
      <c r="AF2279" t="s">
        <v>473</v>
      </c>
    </row>
    <row r="2280" spans="32:32" x14ac:dyDescent="0.2">
      <c r="AF2280" t="s">
        <v>473</v>
      </c>
    </row>
    <row r="2281" spans="32:32" x14ac:dyDescent="0.2">
      <c r="AF2281" t="s">
        <v>473</v>
      </c>
    </row>
    <row r="2282" spans="32:32" x14ac:dyDescent="0.2">
      <c r="AF2282" t="s">
        <v>473</v>
      </c>
    </row>
    <row r="2283" spans="32:32" x14ac:dyDescent="0.2">
      <c r="AF2283" t="s">
        <v>473</v>
      </c>
    </row>
    <row r="2284" spans="32:32" x14ac:dyDescent="0.2">
      <c r="AF2284" t="s">
        <v>473</v>
      </c>
    </row>
    <row r="2285" spans="32:32" x14ac:dyDescent="0.2">
      <c r="AF2285" t="s">
        <v>473</v>
      </c>
    </row>
    <row r="2286" spans="32:32" x14ac:dyDescent="0.2">
      <c r="AF2286" t="s">
        <v>473</v>
      </c>
    </row>
    <row r="2287" spans="32:32" x14ac:dyDescent="0.2">
      <c r="AF2287" t="s">
        <v>473</v>
      </c>
    </row>
    <row r="2288" spans="32:32" x14ac:dyDescent="0.2">
      <c r="AF2288" t="s">
        <v>473</v>
      </c>
    </row>
    <row r="2289" spans="32:32" x14ac:dyDescent="0.2">
      <c r="AF2289" t="s">
        <v>473</v>
      </c>
    </row>
    <row r="2290" spans="32:32" x14ac:dyDescent="0.2">
      <c r="AF2290" t="s">
        <v>473</v>
      </c>
    </row>
    <row r="2291" spans="32:32" x14ac:dyDescent="0.2">
      <c r="AF2291" t="s">
        <v>473</v>
      </c>
    </row>
    <row r="2292" spans="32:32" x14ac:dyDescent="0.2">
      <c r="AF2292" t="s">
        <v>473</v>
      </c>
    </row>
    <row r="2293" spans="32:32" x14ac:dyDescent="0.2">
      <c r="AF2293" t="s">
        <v>473</v>
      </c>
    </row>
    <row r="2294" spans="32:32" x14ac:dyDescent="0.2">
      <c r="AF2294" t="s">
        <v>473</v>
      </c>
    </row>
    <row r="2295" spans="32:32" x14ac:dyDescent="0.2">
      <c r="AF2295" t="s">
        <v>473</v>
      </c>
    </row>
    <row r="2296" spans="32:32" x14ac:dyDescent="0.2">
      <c r="AF2296" t="s">
        <v>473</v>
      </c>
    </row>
    <row r="2297" spans="32:32" x14ac:dyDescent="0.2">
      <c r="AF2297" t="s">
        <v>473</v>
      </c>
    </row>
    <row r="2298" spans="32:32" x14ac:dyDescent="0.2">
      <c r="AF2298" t="s">
        <v>473</v>
      </c>
    </row>
    <row r="2299" spans="32:32" x14ac:dyDescent="0.2">
      <c r="AF2299" t="s">
        <v>473</v>
      </c>
    </row>
    <row r="2300" spans="32:32" x14ac:dyDescent="0.2">
      <c r="AF2300" t="s">
        <v>473</v>
      </c>
    </row>
    <row r="2301" spans="32:32" x14ac:dyDescent="0.2">
      <c r="AF2301" t="s">
        <v>473</v>
      </c>
    </row>
    <row r="2302" spans="32:32" x14ac:dyDescent="0.2">
      <c r="AF2302" t="s">
        <v>473</v>
      </c>
    </row>
    <row r="2303" spans="32:32" x14ac:dyDescent="0.2">
      <c r="AF2303" t="s">
        <v>473</v>
      </c>
    </row>
    <row r="2304" spans="32:32" x14ac:dyDescent="0.2">
      <c r="AF2304" t="s">
        <v>473</v>
      </c>
    </row>
    <row r="2305" spans="32:32" x14ac:dyDescent="0.2">
      <c r="AF2305" t="s">
        <v>473</v>
      </c>
    </row>
    <row r="2306" spans="32:32" x14ac:dyDescent="0.2">
      <c r="AF2306" t="s">
        <v>473</v>
      </c>
    </row>
    <row r="2307" spans="32:32" x14ac:dyDescent="0.2">
      <c r="AF2307" t="s">
        <v>473</v>
      </c>
    </row>
    <row r="2308" spans="32:32" x14ac:dyDescent="0.2">
      <c r="AF2308" t="s">
        <v>473</v>
      </c>
    </row>
    <row r="2309" spans="32:32" x14ac:dyDescent="0.2">
      <c r="AF2309" t="s">
        <v>473</v>
      </c>
    </row>
    <row r="2310" spans="32:32" x14ac:dyDescent="0.2">
      <c r="AF2310" t="s">
        <v>473</v>
      </c>
    </row>
    <row r="2311" spans="32:32" x14ac:dyDescent="0.2">
      <c r="AF2311" t="s">
        <v>473</v>
      </c>
    </row>
    <row r="2312" spans="32:32" x14ac:dyDescent="0.2">
      <c r="AF2312" t="s">
        <v>473</v>
      </c>
    </row>
    <row r="2313" spans="32:32" x14ac:dyDescent="0.2">
      <c r="AF2313" t="s">
        <v>473</v>
      </c>
    </row>
    <row r="2314" spans="32:32" x14ac:dyDescent="0.2">
      <c r="AF2314" t="s">
        <v>473</v>
      </c>
    </row>
    <row r="2315" spans="32:32" x14ac:dyDescent="0.2">
      <c r="AF2315" t="s">
        <v>473</v>
      </c>
    </row>
    <row r="2316" spans="32:32" x14ac:dyDescent="0.2">
      <c r="AF2316" t="s">
        <v>473</v>
      </c>
    </row>
    <row r="2317" spans="32:32" x14ac:dyDescent="0.2">
      <c r="AF2317" t="s">
        <v>473</v>
      </c>
    </row>
    <row r="2318" spans="32:32" x14ac:dyDescent="0.2">
      <c r="AF2318" t="s">
        <v>473</v>
      </c>
    </row>
    <row r="2319" spans="32:32" x14ac:dyDescent="0.2">
      <c r="AF2319" t="s">
        <v>473</v>
      </c>
    </row>
    <row r="2320" spans="32:32" x14ac:dyDescent="0.2">
      <c r="AF2320" t="s">
        <v>473</v>
      </c>
    </row>
    <row r="2321" spans="32:32" x14ac:dyDescent="0.2">
      <c r="AF2321" t="s">
        <v>473</v>
      </c>
    </row>
    <row r="2322" spans="32:32" x14ac:dyDescent="0.2">
      <c r="AF2322" t="s">
        <v>473</v>
      </c>
    </row>
    <row r="2323" spans="32:32" x14ac:dyDescent="0.2">
      <c r="AF2323" t="s">
        <v>473</v>
      </c>
    </row>
    <row r="2324" spans="32:32" x14ac:dyDescent="0.2">
      <c r="AF2324" t="s">
        <v>473</v>
      </c>
    </row>
    <row r="2325" spans="32:32" x14ac:dyDescent="0.2">
      <c r="AF2325" t="s">
        <v>473</v>
      </c>
    </row>
    <row r="2326" spans="32:32" x14ac:dyDescent="0.2">
      <c r="AF2326" t="s">
        <v>473</v>
      </c>
    </row>
    <row r="2327" spans="32:32" x14ac:dyDescent="0.2">
      <c r="AF2327" t="s">
        <v>473</v>
      </c>
    </row>
    <row r="2328" spans="32:32" x14ac:dyDescent="0.2">
      <c r="AF2328" t="s">
        <v>473</v>
      </c>
    </row>
    <row r="2329" spans="32:32" x14ac:dyDescent="0.2">
      <c r="AF2329" t="s">
        <v>473</v>
      </c>
    </row>
    <row r="2330" spans="32:32" x14ac:dyDescent="0.2">
      <c r="AF2330" t="s">
        <v>473</v>
      </c>
    </row>
    <row r="2331" spans="32:32" x14ac:dyDescent="0.2">
      <c r="AF2331" t="s">
        <v>473</v>
      </c>
    </row>
    <row r="2332" spans="32:32" x14ac:dyDescent="0.2">
      <c r="AF2332" t="s">
        <v>473</v>
      </c>
    </row>
    <row r="2333" spans="32:32" x14ac:dyDescent="0.2">
      <c r="AF2333" t="s">
        <v>473</v>
      </c>
    </row>
    <row r="2334" spans="32:32" x14ac:dyDescent="0.2">
      <c r="AF2334" t="s">
        <v>473</v>
      </c>
    </row>
    <row r="2335" spans="32:32" x14ac:dyDescent="0.2">
      <c r="AF2335" t="s">
        <v>473</v>
      </c>
    </row>
    <row r="2336" spans="32:32" x14ac:dyDescent="0.2">
      <c r="AF2336" t="s">
        <v>473</v>
      </c>
    </row>
    <row r="2337" spans="32:32" x14ac:dyDescent="0.2">
      <c r="AF2337" t="s">
        <v>473</v>
      </c>
    </row>
    <row r="2338" spans="32:32" x14ac:dyDescent="0.2">
      <c r="AF2338" t="s">
        <v>473</v>
      </c>
    </row>
    <row r="2339" spans="32:32" x14ac:dyDescent="0.2">
      <c r="AF2339" t="s">
        <v>473</v>
      </c>
    </row>
    <row r="2340" spans="32:32" x14ac:dyDescent="0.2">
      <c r="AF2340" t="s">
        <v>473</v>
      </c>
    </row>
    <row r="2341" spans="32:32" x14ac:dyDescent="0.2">
      <c r="AF2341" t="s">
        <v>473</v>
      </c>
    </row>
    <row r="2342" spans="32:32" x14ac:dyDescent="0.2">
      <c r="AF2342" t="s">
        <v>473</v>
      </c>
    </row>
    <row r="2343" spans="32:32" x14ac:dyDescent="0.2">
      <c r="AF2343" t="s">
        <v>473</v>
      </c>
    </row>
    <row r="2344" spans="32:32" x14ac:dyDescent="0.2">
      <c r="AF2344" t="s">
        <v>473</v>
      </c>
    </row>
    <row r="2345" spans="32:32" x14ac:dyDescent="0.2">
      <c r="AF2345" t="s">
        <v>473</v>
      </c>
    </row>
    <row r="2346" spans="32:32" x14ac:dyDescent="0.2">
      <c r="AF2346" t="s">
        <v>473</v>
      </c>
    </row>
    <row r="2347" spans="32:32" x14ac:dyDescent="0.2">
      <c r="AF2347" t="s">
        <v>473</v>
      </c>
    </row>
    <row r="2348" spans="32:32" x14ac:dyDescent="0.2">
      <c r="AF2348" t="s">
        <v>473</v>
      </c>
    </row>
    <row r="2349" spans="32:32" x14ac:dyDescent="0.2">
      <c r="AF2349" t="s">
        <v>473</v>
      </c>
    </row>
    <row r="2350" spans="32:32" x14ac:dyDescent="0.2">
      <c r="AF2350" t="s">
        <v>473</v>
      </c>
    </row>
    <row r="2351" spans="32:32" x14ac:dyDescent="0.2">
      <c r="AF2351" t="s">
        <v>473</v>
      </c>
    </row>
    <row r="2352" spans="32:32" x14ac:dyDescent="0.2">
      <c r="AF2352" t="s">
        <v>473</v>
      </c>
    </row>
    <row r="2353" spans="32:32" x14ac:dyDescent="0.2">
      <c r="AF2353" t="s">
        <v>473</v>
      </c>
    </row>
    <row r="2354" spans="32:32" x14ac:dyDescent="0.2">
      <c r="AF2354" t="s">
        <v>473</v>
      </c>
    </row>
    <row r="2355" spans="32:32" x14ac:dyDescent="0.2">
      <c r="AF2355" t="s">
        <v>473</v>
      </c>
    </row>
    <row r="2356" spans="32:32" x14ac:dyDescent="0.2">
      <c r="AF2356" t="s">
        <v>473</v>
      </c>
    </row>
    <row r="2357" spans="32:32" x14ac:dyDescent="0.2">
      <c r="AF2357" t="s">
        <v>473</v>
      </c>
    </row>
    <row r="2358" spans="32:32" x14ac:dyDescent="0.2">
      <c r="AF2358" t="s">
        <v>473</v>
      </c>
    </row>
    <row r="2359" spans="32:32" x14ac:dyDescent="0.2">
      <c r="AF2359" t="s">
        <v>473</v>
      </c>
    </row>
    <row r="2360" spans="32:32" x14ac:dyDescent="0.2">
      <c r="AF2360" t="s">
        <v>473</v>
      </c>
    </row>
    <row r="2361" spans="32:32" x14ac:dyDescent="0.2">
      <c r="AF2361" t="s">
        <v>473</v>
      </c>
    </row>
    <row r="2362" spans="32:32" x14ac:dyDescent="0.2">
      <c r="AF2362" t="s">
        <v>473</v>
      </c>
    </row>
    <row r="2363" spans="32:32" x14ac:dyDescent="0.2">
      <c r="AF2363" t="s">
        <v>473</v>
      </c>
    </row>
    <row r="2364" spans="32:32" x14ac:dyDescent="0.2">
      <c r="AF2364" t="s">
        <v>473</v>
      </c>
    </row>
    <row r="2365" spans="32:32" x14ac:dyDescent="0.2">
      <c r="AF2365" t="s">
        <v>473</v>
      </c>
    </row>
    <row r="2366" spans="32:32" x14ac:dyDescent="0.2">
      <c r="AF2366" t="s">
        <v>473</v>
      </c>
    </row>
    <row r="2367" spans="32:32" x14ac:dyDescent="0.2">
      <c r="AF2367" t="s">
        <v>473</v>
      </c>
    </row>
    <row r="2368" spans="32:32" x14ac:dyDescent="0.2">
      <c r="AF2368" t="s">
        <v>473</v>
      </c>
    </row>
    <row r="2369" spans="32:32" x14ac:dyDescent="0.2">
      <c r="AF2369" t="s">
        <v>473</v>
      </c>
    </row>
    <row r="2370" spans="32:32" x14ac:dyDescent="0.2">
      <c r="AF2370" t="s">
        <v>473</v>
      </c>
    </row>
    <row r="2371" spans="32:32" x14ac:dyDescent="0.2">
      <c r="AF2371" t="s">
        <v>473</v>
      </c>
    </row>
    <row r="2372" spans="32:32" x14ac:dyDescent="0.2">
      <c r="AF2372" t="s">
        <v>473</v>
      </c>
    </row>
    <row r="2373" spans="32:32" x14ac:dyDescent="0.2">
      <c r="AF2373" t="s">
        <v>473</v>
      </c>
    </row>
    <row r="2374" spans="32:32" x14ac:dyDescent="0.2">
      <c r="AF2374" t="s">
        <v>473</v>
      </c>
    </row>
    <row r="2375" spans="32:32" x14ac:dyDescent="0.2">
      <c r="AF2375" t="s">
        <v>473</v>
      </c>
    </row>
    <row r="2376" spans="32:32" x14ac:dyDescent="0.2">
      <c r="AF2376" t="s">
        <v>473</v>
      </c>
    </row>
    <row r="2377" spans="32:32" x14ac:dyDescent="0.2">
      <c r="AF2377" t="s">
        <v>473</v>
      </c>
    </row>
    <row r="2378" spans="32:32" x14ac:dyDescent="0.2">
      <c r="AF2378" t="s">
        <v>473</v>
      </c>
    </row>
    <row r="2379" spans="32:32" x14ac:dyDescent="0.2">
      <c r="AF2379" t="s">
        <v>473</v>
      </c>
    </row>
    <row r="2380" spans="32:32" x14ac:dyDescent="0.2">
      <c r="AF2380" t="s">
        <v>473</v>
      </c>
    </row>
    <row r="2381" spans="32:32" x14ac:dyDescent="0.2">
      <c r="AF2381" t="s">
        <v>473</v>
      </c>
    </row>
    <row r="2382" spans="32:32" x14ac:dyDescent="0.2">
      <c r="AF2382" t="s">
        <v>473</v>
      </c>
    </row>
    <row r="2383" spans="32:32" x14ac:dyDescent="0.2">
      <c r="AF2383" t="s">
        <v>473</v>
      </c>
    </row>
    <row r="2384" spans="32:32" x14ac:dyDescent="0.2">
      <c r="AF2384" t="s">
        <v>473</v>
      </c>
    </row>
    <row r="2385" spans="32:32" x14ac:dyDescent="0.2">
      <c r="AF2385" t="s">
        <v>473</v>
      </c>
    </row>
    <row r="2386" spans="32:32" x14ac:dyDescent="0.2">
      <c r="AF2386" t="s">
        <v>473</v>
      </c>
    </row>
    <row r="2387" spans="32:32" x14ac:dyDescent="0.2">
      <c r="AF2387" t="s">
        <v>473</v>
      </c>
    </row>
    <row r="2388" spans="32:32" x14ac:dyDescent="0.2">
      <c r="AF2388" t="s">
        <v>473</v>
      </c>
    </row>
    <row r="2389" spans="32:32" x14ac:dyDescent="0.2">
      <c r="AF2389" t="s">
        <v>473</v>
      </c>
    </row>
    <row r="2390" spans="32:32" x14ac:dyDescent="0.2">
      <c r="AF2390" t="s">
        <v>473</v>
      </c>
    </row>
    <row r="2391" spans="32:32" x14ac:dyDescent="0.2">
      <c r="AF2391" t="s">
        <v>473</v>
      </c>
    </row>
    <row r="2392" spans="32:32" x14ac:dyDescent="0.2">
      <c r="AF2392" t="s">
        <v>473</v>
      </c>
    </row>
    <row r="2393" spans="32:32" x14ac:dyDescent="0.2">
      <c r="AF2393" t="s">
        <v>473</v>
      </c>
    </row>
    <row r="2394" spans="32:32" x14ac:dyDescent="0.2">
      <c r="AF2394" t="s">
        <v>473</v>
      </c>
    </row>
    <row r="2395" spans="32:32" x14ac:dyDescent="0.2">
      <c r="AF2395" t="s">
        <v>473</v>
      </c>
    </row>
    <row r="2396" spans="32:32" x14ac:dyDescent="0.2">
      <c r="AF2396" t="s">
        <v>473</v>
      </c>
    </row>
    <row r="2397" spans="32:32" x14ac:dyDescent="0.2">
      <c r="AF2397" t="s">
        <v>473</v>
      </c>
    </row>
    <row r="2398" spans="32:32" x14ac:dyDescent="0.2">
      <c r="AF2398" t="s">
        <v>473</v>
      </c>
    </row>
    <row r="2399" spans="32:32" x14ac:dyDescent="0.2">
      <c r="AF2399" t="s">
        <v>473</v>
      </c>
    </row>
    <row r="2400" spans="32:32" x14ac:dyDescent="0.2">
      <c r="AF2400" t="s">
        <v>473</v>
      </c>
    </row>
    <row r="2401" spans="32:32" x14ac:dyDescent="0.2">
      <c r="AF2401" t="s">
        <v>473</v>
      </c>
    </row>
    <row r="2402" spans="32:32" x14ac:dyDescent="0.2">
      <c r="AF2402" t="s">
        <v>473</v>
      </c>
    </row>
    <row r="2403" spans="32:32" x14ac:dyDescent="0.2">
      <c r="AF2403" t="s">
        <v>473</v>
      </c>
    </row>
    <row r="2404" spans="32:32" x14ac:dyDescent="0.2">
      <c r="AF2404" t="s">
        <v>473</v>
      </c>
    </row>
    <row r="2405" spans="32:32" x14ac:dyDescent="0.2">
      <c r="AF2405" t="s">
        <v>473</v>
      </c>
    </row>
    <row r="2406" spans="32:32" x14ac:dyDescent="0.2">
      <c r="AF2406" t="s">
        <v>473</v>
      </c>
    </row>
    <row r="2407" spans="32:32" x14ac:dyDescent="0.2">
      <c r="AF2407" t="s">
        <v>473</v>
      </c>
    </row>
    <row r="2408" spans="32:32" x14ac:dyDescent="0.2">
      <c r="AF2408" t="s">
        <v>473</v>
      </c>
    </row>
    <row r="2409" spans="32:32" x14ac:dyDescent="0.2">
      <c r="AF2409" t="s">
        <v>473</v>
      </c>
    </row>
    <row r="2410" spans="32:32" x14ac:dyDescent="0.2">
      <c r="AF2410" t="s">
        <v>473</v>
      </c>
    </row>
    <row r="2411" spans="32:32" x14ac:dyDescent="0.2">
      <c r="AF2411" t="s">
        <v>473</v>
      </c>
    </row>
    <row r="2412" spans="32:32" x14ac:dyDescent="0.2">
      <c r="AF2412" t="s">
        <v>473</v>
      </c>
    </row>
    <row r="2413" spans="32:32" x14ac:dyDescent="0.2">
      <c r="AF2413" t="s">
        <v>473</v>
      </c>
    </row>
    <row r="2414" spans="32:32" x14ac:dyDescent="0.2">
      <c r="AF2414" t="s">
        <v>473</v>
      </c>
    </row>
    <row r="2415" spans="32:32" x14ac:dyDescent="0.2">
      <c r="AF2415" t="s">
        <v>473</v>
      </c>
    </row>
    <row r="2416" spans="32:32" x14ac:dyDescent="0.2">
      <c r="AF2416" t="s">
        <v>473</v>
      </c>
    </row>
    <row r="2417" spans="32:32" x14ac:dyDescent="0.2">
      <c r="AF2417" t="s">
        <v>473</v>
      </c>
    </row>
    <row r="2418" spans="32:32" x14ac:dyDescent="0.2">
      <c r="AF2418" t="s">
        <v>473</v>
      </c>
    </row>
    <row r="2419" spans="32:32" x14ac:dyDescent="0.2">
      <c r="AF2419" t="s">
        <v>473</v>
      </c>
    </row>
    <row r="2420" spans="32:32" x14ac:dyDescent="0.2">
      <c r="AF2420" t="s">
        <v>473</v>
      </c>
    </row>
    <row r="2421" spans="32:32" x14ac:dyDescent="0.2">
      <c r="AF2421" t="s">
        <v>473</v>
      </c>
    </row>
    <row r="2422" spans="32:32" x14ac:dyDescent="0.2">
      <c r="AF2422" t="s">
        <v>473</v>
      </c>
    </row>
    <row r="2423" spans="32:32" x14ac:dyDescent="0.2">
      <c r="AF2423" t="s">
        <v>473</v>
      </c>
    </row>
    <row r="2424" spans="32:32" x14ac:dyDescent="0.2">
      <c r="AF2424" t="s">
        <v>473</v>
      </c>
    </row>
    <row r="2425" spans="32:32" x14ac:dyDescent="0.2">
      <c r="AF2425" t="s">
        <v>473</v>
      </c>
    </row>
    <row r="2426" spans="32:32" x14ac:dyDescent="0.2">
      <c r="AF2426" t="s">
        <v>473</v>
      </c>
    </row>
    <row r="2427" spans="32:32" x14ac:dyDescent="0.2">
      <c r="AF2427" t="s">
        <v>473</v>
      </c>
    </row>
    <row r="2428" spans="32:32" x14ac:dyDescent="0.2">
      <c r="AF2428" t="s">
        <v>473</v>
      </c>
    </row>
    <row r="2429" spans="32:32" x14ac:dyDescent="0.2">
      <c r="AF2429" t="s">
        <v>473</v>
      </c>
    </row>
    <row r="2430" spans="32:32" x14ac:dyDescent="0.2">
      <c r="AF2430" t="s">
        <v>473</v>
      </c>
    </row>
    <row r="2431" spans="32:32" x14ac:dyDescent="0.2">
      <c r="AF2431" t="s">
        <v>473</v>
      </c>
    </row>
    <row r="2432" spans="32:32" x14ac:dyDescent="0.2">
      <c r="AF2432" t="s">
        <v>473</v>
      </c>
    </row>
    <row r="2433" spans="32:32" x14ac:dyDescent="0.2">
      <c r="AF2433" t="s">
        <v>473</v>
      </c>
    </row>
    <row r="2434" spans="32:32" x14ac:dyDescent="0.2">
      <c r="AF2434" t="s">
        <v>473</v>
      </c>
    </row>
    <row r="2435" spans="32:32" x14ac:dyDescent="0.2">
      <c r="AF2435" t="s">
        <v>473</v>
      </c>
    </row>
    <row r="2436" spans="32:32" x14ac:dyDescent="0.2">
      <c r="AF2436" t="s">
        <v>473</v>
      </c>
    </row>
    <row r="2437" spans="32:32" x14ac:dyDescent="0.2">
      <c r="AF2437" t="s">
        <v>473</v>
      </c>
    </row>
    <row r="2438" spans="32:32" x14ac:dyDescent="0.2">
      <c r="AF2438" t="s">
        <v>473</v>
      </c>
    </row>
    <row r="2439" spans="32:32" x14ac:dyDescent="0.2">
      <c r="AF2439" t="s">
        <v>473</v>
      </c>
    </row>
    <row r="2440" spans="32:32" x14ac:dyDescent="0.2">
      <c r="AF2440" t="s">
        <v>473</v>
      </c>
    </row>
    <row r="2441" spans="32:32" x14ac:dyDescent="0.2">
      <c r="AF2441" t="s">
        <v>473</v>
      </c>
    </row>
    <row r="2442" spans="32:32" x14ac:dyDescent="0.2">
      <c r="AF2442" t="s">
        <v>473</v>
      </c>
    </row>
    <row r="2443" spans="32:32" x14ac:dyDescent="0.2">
      <c r="AF2443" t="s">
        <v>473</v>
      </c>
    </row>
    <row r="2444" spans="32:32" x14ac:dyDescent="0.2">
      <c r="AF2444" t="s">
        <v>473</v>
      </c>
    </row>
    <row r="2445" spans="32:32" x14ac:dyDescent="0.2">
      <c r="AF2445" t="s">
        <v>473</v>
      </c>
    </row>
    <row r="2446" spans="32:32" x14ac:dyDescent="0.2">
      <c r="AF2446" t="s">
        <v>473</v>
      </c>
    </row>
    <row r="2447" spans="32:32" x14ac:dyDescent="0.2">
      <c r="AF2447" t="s">
        <v>473</v>
      </c>
    </row>
    <row r="2448" spans="32:32" x14ac:dyDescent="0.2">
      <c r="AF2448" t="s">
        <v>473</v>
      </c>
    </row>
    <row r="2449" spans="32:32" x14ac:dyDescent="0.2">
      <c r="AF2449" t="s">
        <v>473</v>
      </c>
    </row>
    <row r="2450" spans="32:32" x14ac:dyDescent="0.2">
      <c r="AF2450" t="s">
        <v>473</v>
      </c>
    </row>
    <row r="2451" spans="32:32" x14ac:dyDescent="0.2">
      <c r="AF2451" t="s">
        <v>473</v>
      </c>
    </row>
    <row r="2452" spans="32:32" x14ac:dyDescent="0.2">
      <c r="AF2452" t="s">
        <v>473</v>
      </c>
    </row>
    <row r="2453" spans="32:32" x14ac:dyDescent="0.2">
      <c r="AF2453" t="s">
        <v>473</v>
      </c>
    </row>
    <row r="2454" spans="32:32" x14ac:dyDescent="0.2">
      <c r="AF2454" t="s">
        <v>473</v>
      </c>
    </row>
    <row r="2455" spans="32:32" x14ac:dyDescent="0.2">
      <c r="AF2455" t="s">
        <v>473</v>
      </c>
    </row>
    <row r="2456" spans="32:32" x14ac:dyDescent="0.2">
      <c r="AF2456" t="s">
        <v>473</v>
      </c>
    </row>
    <row r="2457" spans="32:32" x14ac:dyDescent="0.2">
      <c r="AF2457" t="s">
        <v>473</v>
      </c>
    </row>
    <row r="2458" spans="32:32" x14ac:dyDescent="0.2">
      <c r="AF2458" t="s">
        <v>473</v>
      </c>
    </row>
    <row r="2459" spans="32:32" x14ac:dyDescent="0.2">
      <c r="AF2459" t="s">
        <v>473</v>
      </c>
    </row>
    <row r="2460" spans="32:32" x14ac:dyDescent="0.2">
      <c r="AF2460" t="s">
        <v>473</v>
      </c>
    </row>
    <row r="2461" spans="32:32" x14ac:dyDescent="0.2">
      <c r="AF2461" t="s">
        <v>473</v>
      </c>
    </row>
    <row r="2462" spans="32:32" x14ac:dyDescent="0.2">
      <c r="AF2462" t="s">
        <v>473</v>
      </c>
    </row>
    <row r="2463" spans="32:32" x14ac:dyDescent="0.2">
      <c r="AF2463" t="s">
        <v>473</v>
      </c>
    </row>
    <row r="2464" spans="32:32" x14ac:dyDescent="0.2">
      <c r="AF2464" t="s">
        <v>473</v>
      </c>
    </row>
    <row r="2465" spans="32:32" x14ac:dyDescent="0.2">
      <c r="AF2465" t="s">
        <v>473</v>
      </c>
    </row>
    <row r="2466" spans="32:32" x14ac:dyDescent="0.2">
      <c r="AF2466" t="s">
        <v>473</v>
      </c>
    </row>
    <row r="2467" spans="32:32" x14ac:dyDescent="0.2">
      <c r="AF2467" t="s">
        <v>473</v>
      </c>
    </row>
    <row r="2468" spans="32:32" x14ac:dyDescent="0.2">
      <c r="AF2468" t="s">
        <v>473</v>
      </c>
    </row>
    <row r="2469" spans="32:32" x14ac:dyDescent="0.2">
      <c r="AF2469" t="s">
        <v>473</v>
      </c>
    </row>
    <row r="2470" spans="32:32" x14ac:dyDescent="0.2">
      <c r="AF2470" t="s">
        <v>473</v>
      </c>
    </row>
    <row r="2471" spans="32:32" x14ac:dyDescent="0.2">
      <c r="AF2471" t="s">
        <v>473</v>
      </c>
    </row>
    <row r="2472" spans="32:32" x14ac:dyDescent="0.2">
      <c r="AF2472" t="s">
        <v>473</v>
      </c>
    </row>
    <row r="2473" spans="32:32" x14ac:dyDescent="0.2">
      <c r="AF2473" t="s">
        <v>473</v>
      </c>
    </row>
    <row r="2474" spans="32:32" x14ac:dyDescent="0.2">
      <c r="AF2474" t="s">
        <v>473</v>
      </c>
    </row>
    <row r="2475" spans="32:32" x14ac:dyDescent="0.2">
      <c r="AF2475" t="s">
        <v>473</v>
      </c>
    </row>
    <row r="2476" spans="32:32" x14ac:dyDescent="0.2">
      <c r="AF2476" t="s">
        <v>473</v>
      </c>
    </row>
    <row r="2477" spans="32:32" x14ac:dyDescent="0.2">
      <c r="AF2477" t="s">
        <v>473</v>
      </c>
    </row>
    <row r="2478" spans="32:32" x14ac:dyDescent="0.2">
      <c r="AF2478" t="s">
        <v>473</v>
      </c>
    </row>
    <row r="2479" spans="32:32" x14ac:dyDescent="0.2">
      <c r="AF2479" t="s">
        <v>473</v>
      </c>
    </row>
    <row r="2480" spans="32:32" x14ac:dyDescent="0.2">
      <c r="AF2480" t="s">
        <v>473</v>
      </c>
    </row>
    <row r="2481" spans="32:32" x14ac:dyDescent="0.2">
      <c r="AF2481" t="s">
        <v>473</v>
      </c>
    </row>
    <row r="2482" spans="32:32" x14ac:dyDescent="0.2">
      <c r="AF2482" t="s">
        <v>473</v>
      </c>
    </row>
    <row r="2483" spans="32:32" x14ac:dyDescent="0.2">
      <c r="AF2483" t="s">
        <v>473</v>
      </c>
    </row>
    <row r="2484" spans="32:32" x14ac:dyDescent="0.2">
      <c r="AF2484" t="s">
        <v>473</v>
      </c>
    </row>
    <row r="2485" spans="32:32" x14ac:dyDescent="0.2">
      <c r="AF2485" t="s">
        <v>473</v>
      </c>
    </row>
    <row r="2486" spans="32:32" x14ac:dyDescent="0.2">
      <c r="AF2486" t="s">
        <v>473</v>
      </c>
    </row>
    <row r="2487" spans="32:32" x14ac:dyDescent="0.2">
      <c r="AF2487" t="s">
        <v>473</v>
      </c>
    </row>
    <row r="2488" spans="32:32" x14ac:dyDescent="0.2">
      <c r="AF2488" t="s">
        <v>473</v>
      </c>
    </row>
    <row r="2489" spans="32:32" x14ac:dyDescent="0.2">
      <c r="AF2489" t="s">
        <v>473</v>
      </c>
    </row>
    <row r="2490" spans="32:32" x14ac:dyDescent="0.2">
      <c r="AF2490" t="s">
        <v>473</v>
      </c>
    </row>
    <row r="2491" spans="32:32" x14ac:dyDescent="0.2">
      <c r="AF2491" t="s">
        <v>473</v>
      </c>
    </row>
    <row r="2492" spans="32:32" x14ac:dyDescent="0.2">
      <c r="AF2492" t="s">
        <v>473</v>
      </c>
    </row>
    <row r="2493" spans="32:32" x14ac:dyDescent="0.2">
      <c r="AF2493" t="s">
        <v>473</v>
      </c>
    </row>
    <row r="2494" spans="32:32" x14ac:dyDescent="0.2">
      <c r="AF2494" t="s">
        <v>473</v>
      </c>
    </row>
    <row r="2495" spans="32:32" x14ac:dyDescent="0.2">
      <c r="AF2495" t="s">
        <v>473</v>
      </c>
    </row>
    <row r="2496" spans="32:32" x14ac:dyDescent="0.2">
      <c r="AF2496" t="s">
        <v>473</v>
      </c>
    </row>
    <row r="2497" spans="32:32" x14ac:dyDescent="0.2">
      <c r="AF2497" t="s">
        <v>473</v>
      </c>
    </row>
    <row r="2498" spans="32:32" x14ac:dyDescent="0.2">
      <c r="AF2498" t="s">
        <v>473</v>
      </c>
    </row>
    <row r="2499" spans="32:32" x14ac:dyDescent="0.2">
      <c r="AF2499" t="s">
        <v>473</v>
      </c>
    </row>
    <row r="2500" spans="32:32" x14ac:dyDescent="0.2">
      <c r="AF2500" t="s">
        <v>473</v>
      </c>
    </row>
    <row r="2501" spans="32:32" x14ac:dyDescent="0.2">
      <c r="AF2501" t="s">
        <v>473</v>
      </c>
    </row>
    <row r="2502" spans="32:32" x14ac:dyDescent="0.2">
      <c r="AF2502" t="s">
        <v>473</v>
      </c>
    </row>
    <row r="2503" spans="32:32" x14ac:dyDescent="0.2">
      <c r="AF2503" t="s">
        <v>473</v>
      </c>
    </row>
    <row r="2504" spans="32:32" x14ac:dyDescent="0.2">
      <c r="AF2504" t="s">
        <v>473</v>
      </c>
    </row>
    <row r="2505" spans="32:32" x14ac:dyDescent="0.2">
      <c r="AF2505" t="s">
        <v>473</v>
      </c>
    </row>
    <row r="2506" spans="32:32" x14ac:dyDescent="0.2">
      <c r="AF2506" t="s">
        <v>473</v>
      </c>
    </row>
    <row r="2507" spans="32:32" x14ac:dyDescent="0.2">
      <c r="AF2507" t="s">
        <v>473</v>
      </c>
    </row>
    <row r="2508" spans="32:32" x14ac:dyDescent="0.2">
      <c r="AF2508" t="s">
        <v>473</v>
      </c>
    </row>
    <row r="2509" spans="32:32" x14ac:dyDescent="0.2">
      <c r="AF2509" t="s">
        <v>473</v>
      </c>
    </row>
    <row r="2510" spans="32:32" x14ac:dyDescent="0.2">
      <c r="AF2510" t="s">
        <v>473</v>
      </c>
    </row>
    <row r="2511" spans="32:32" x14ac:dyDescent="0.2">
      <c r="AF2511" t="s">
        <v>473</v>
      </c>
    </row>
    <row r="2512" spans="32:32" x14ac:dyDescent="0.2">
      <c r="AF2512" t="s">
        <v>473</v>
      </c>
    </row>
    <row r="2513" spans="32:32" x14ac:dyDescent="0.2">
      <c r="AF2513" t="s">
        <v>473</v>
      </c>
    </row>
    <row r="2514" spans="32:32" x14ac:dyDescent="0.2">
      <c r="AF2514" t="s">
        <v>473</v>
      </c>
    </row>
    <row r="2515" spans="32:32" x14ac:dyDescent="0.2">
      <c r="AF2515" t="s">
        <v>473</v>
      </c>
    </row>
    <row r="2516" spans="32:32" x14ac:dyDescent="0.2">
      <c r="AF2516" t="s">
        <v>473</v>
      </c>
    </row>
    <row r="2517" spans="32:32" x14ac:dyDescent="0.2">
      <c r="AF2517" t="s">
        <v>473</v>
      </c>
    </row>
    <row r="2518" spans="32:32" x14ac:dyDescent="0.2">
      <c r="AF2518" t="s">
        <v>473</v>
      </c>
    </row>
    <row r="2519" spans="32:32" x14ac:dyDescent="0.2">
      <c r="AF2519" t="s">
        <v>473</v>
      </c>
    </row>
    <row r="2520" spans="32:32" x14ac:dyDescent="0.2">
      <c r="AF2520" t="s">
        <v>473</v>
      </c>
    </row>
    <row r="2521" spans="32:32" x14ac:dyDescent="0.2">
      <c r="AF2521" t="s">
        <v>473</v>
      </c>
    </row>
    <row r="2522" spans="32:32" x14ac:dyDescent="0.2">
      <c r="AF2522" t="s">
        <v>473</v>
      </c>
    </row>
    <row r="2523" spans="32:32" x14ac:dyDescent="0.2">
      <c r="AF2523" t="s">
        <v>473</v>
      </c>
    </row>
    <row r="2524" spans="32:32" x14ac:dyDescent="0.2">
      <c r="AF2524" t="s">
        <v>473</v>
      </c>
    </row>
    <row r="2525" spans="32:32" x14ac:dyDescent="0.2">
      <c r="AF2525" t="s">
        <v>473</v>
      </c>
    </row>
    <row r="2526" spans="32:32" x14ac:dyDescent="0.2">
      <c r="AF2526" t="s">
        <v>473</v>
      </c>
    </row>
    <row r="2527" spans="32:32" x14ac:dyDescent="0.2">
      <c r="AF2527" t="s">
        <v>473</v>
      </c>
    </row>
    <row r="2528" spans="32:32" x14ac:dyDescent="0.2">
      <c r="AF2528" t="s">
        <v>473</v>
      </c>
    </row>
    <row r="2529" spans="32:32" x14ac:dyDescent="0.2">
      <c r="AF2529" t="s">
        <v>473</v>
      </c>
    </row>
    <row r="2530" spans="32:32" x14ac:dyDescent="0.2">
      <c r="AF2530" t="s">
        <v>473</v>
      </c>
    </row>
    <row r="2531" spans="32:32" x14ac:dyDescent="0.2">
      <c r="AF2531" t="s">
        <v>473</v>
      </c>
    </row>
    <row r="2532" spans="32:32" x14ac:dyDescent="0.2">
      <c r="AF2532" t="s">
        <v>473</v>
      </c>
    </row>
    <row r="2533" spans="32:32" x14ac:dyDescent="0.2">
      <c r="AF2533" t="s">
        <v>473</v>
      </c>
    </row>
    <row r="2534" spans="32:32" x14ac:dyDescent="0.2">
      <c r="AF2534" t="s">
        <v>473</v>
      </c>
    </row>
    <row r="2535" spans="32:32" x14ac:dyDescent="0.2">
      <c r="AF2535" t="s">
        <v>473</v>
      </c>
    </row>
    <row r="2536" spans="32:32" x14ac:dyDescent="0.2">
      <c r="AF2536" t="s">
        <v>473</v>
      </c>
    </row>
    <row r="2537" spans="32:32" x14ac:dyDescent="0.2">
      <c r="AF2537" t="s">
        <v>473</v>
      </c>
    </row>
    <row r="2538" spans="32:32" x14ac:dyDescent="0.2">
      <c r="AF2538" t="s">
        <v>473</v>
      </c>
    </row>
    <row r="2539" spans="32:32" x14ac:dyDescent="0.2">
      <c r="AF2539" t="s">
        <v>473</v>
      </c>
    </row>
    <row r="2540" spans="32:32" x14ac:dyDescent="0.2">
      <c r="AF2540" t="s">
        <v>473</v>
      </c>
    </row>
    <row r="2541" spans="32:32" x14ac:dyDescent="0.2">
      <c r="AF2541" t="s">
        <v>473</v>
      </c>
    </row>
    <row r="2542" spans="32:32" x14ac:dyDescent="0.2">
      <c r="AF2542" t="s">
        <v>473</v>
      </c>
    </row>
    <row r="2543" spans="32:32" x14ac:dyDescent="0.2">
      <c r="AF2543" t="s">
        <v>473</v>
      </c>
    </row>
    <row r="2544" spans="32:32" x14ac:dyDescent="0.2">
      <c r="AF2544" t="s">
        <v>473</v>
      </c>
    </row>
    <row r="2545" spans="32:32" x14ac:dyDescent="0.2">
      <c r="AF2545" t="s">
        <v>473</v>
      </c>
    </row>
    <row r="2546" spans="32:32" x14ac:dyDescent="0.2">
      <c r="AF2546" t="s">
        <v>473</v>
      </c>
    </row>
    <row r="2547" spans="32:32" x14ac:dyDescent="0.2">
      <c r="AF2547" t="s">
        <v>473</v>
      </c>
    </row>
    <row r="2548" spans="32:32" x14ac:dyDescent="0.2">
      <c r="AF2548" t="s">
        <v>473</v>
      </c>
    </row>
    <row r="2549" spans="32:32" x14ac:dyDescent="0.2">
      <c r="AF2549" t="s">
        <v>473</v>
      </c>
    </row>
    <row r="2550" spans="32:32" x14ac:dyDescent="0.2">
      <c r="AF2550" t="s">
        <v>473</v>
      </c>
    </row>
    <row r="2551" spans="32:32" x14ac:dyDescent="0.2">
      <c r="AF2551" t="s">
        <v>473</v>
      </c>
    </row>
    <row r="2552" spans="32:32" x14ac:dyDescent="0.2">
      <c r="AF2552" t="s">
        <v>473</v>
      </c>
    </row>
    <row r="2553" spans="32:32" x14ac:dyDescent="0.2">
      <c r="AF2553" t="s">
        <v>473</v>
      </c>
    </row>
    <row r="2554" spans="32:32" x14ac:dyDescent="0.2">
      <c r="AF2554" t="s">
        <v>473</v>
      </c>
    </row>
    <row r="2555" spans="32:32" x14ac:dyDescent="0.2">
      <c r="AF2555" t="s">
        <v>473</v>
      </c>
    </row>
    <row r="2556" spans="32:32" x14ac:dyDescent="0.2">
      <c r="AF2556" t="s">
        <v>473</v>
      </c>
    </row>
    <row r="2557" spans="32:32" x14ac:dyDescent="0.2">
      <c r="AF2557" t="s">
        <v>473</v>
      </c>
    </row>
    <row r="2558" spans="32:32" x14ac:dyDescent="0.2">
      <c r="AF2558" t="s">
        <v>473</v>
      </c>
    </row>
    <row r="2559" spans="32:32" x14ac:dyDescent="0.2">
      <c r="AF2559" t="s">
        <v>473</v>
      </c>
    </row>
    <row r="2560" spans="32:32" x14ac:dyDescent="0.2">
      <c r="AF2560" t="s">
        <v>473</v>
      </c>
    </row>
    <row r="2561" spans="32:32" x14ac:dyDescent="0.2">
      <c r="AF2561" t="s">
        <v>473</v>
      </c>
    </row>
    <row r="2562" spans="32:32" x14ac:dyDescent="0.2">
      <c r="AF2562" t="s">
        <v>473</v>
      </c>
    </row>
    <row r="2563" spans="32:32" x14ac:dyDescent="0.2">
      <c r="AF2563" t="s">
        <v>473</v>
      </c>
    </row>
    <row r="2564" spans="32:32" x14ac:dyDescent="0.2">
      <c r="AF2564" t="s">
        <v>473</v>
      </c>
    </row>
    <row r="2565" spans="32:32" x14ac:dyDescent="0.2">
      <c r="AF2565" t="s">
        <v>473</v>
      </c>
    </row>
    <row r="2566" spans="32:32" x14ac:dyDescent="0.2">
      <c r="AF2566" t="s">
        <v>473</v>
      </c>
    </row>
    <row r="2567" spans="32:32" x14ac:dyDescent="0.2">
      <c r="AF2567" t="s">
        <v>473</v>
      </c>
    </row>
    <row r="2568" spans="32:32" x14ac:dyDescent="0.2">
      <c r="AF2568" t="s">
        <v>473</v>
      </c>
    </row>
    <row r="2569" spans="32:32" x14ac:dyDescent="0.2">
      <c r="AF2569" t="s">
        <v>473</v>
      </c>
    </row>
    <row r="2570" spans="32:32" x14ac:dyDescent="0.2">
      <c r="AF2570" t="s">
        <v>473</v>
      </c>
    </row>
    <row r="2571" spans="32:32" x14ac:dyDescent="0.2">
      <c r="AF2571" t="s">
        <v>473</v>
      </c>
    </row>
    <row r="2572" spans="32:32" x14ac:dyDescent="0.2">
      <c r="AF2572" t="s">
        <v>473</v>
      </c>
    </row>
    <row r="2573" spans="32:32" x14ac:dyDescent="0.2">
      <c r="AF2573" t="s">
        <v>473</v>
      </c>
    </row>
    <row r="2574" spans="32:32" x14ac:dyDescent="0.2">
      <c r="AF2574" t="s">
        <v>473</v>
      </c>
    </row>
    <row r="2575" spans="32:32" x14ac:dyDescent="0.2">
      <c r="AF2575" t="s">
        <v>473</v>
      </c>
    </row>
    <row r="2576" spans="32:32" x14ac:dyDescent="0.2">
      <c r="AF2576" t="s">
        <v>473</v>
      </c>
    </row>
    <row r="2577" spans="32:32" x14ac:dyDescent="0.2">
      <c r="AF2577" t="s">
        <v>473</v>
      </c>
    </row>
    <row r="2578" spans="32:32" x14ac:dyDescent="0.2">
      <c r="AF2578" t="s">
        <v>473</v>
      </c>
    </row>
    <row r="2579" spans="32:32" x14ac:dyDescent="0.2">
      <c r="AF2579" t="s">
        <v>473</v>
      </c>
    </row>
    <row r="2580" spans="32:32" x14ac:dyDescent="0.2">
      <c r="AF2580" t="s">
        <v>473</v>
      </c>
    </row>
    <row r="2581" spans="32:32" x14ac:dyDescent="0.2">
      <c r="AF2581" t="s">
        <v>473</v>
      </c>
    </row>
    <row r="2582" spans="32:32" x14ac:dyDescent="0.2">
      <c r="AF2582" t="s">
        <v>473</v>
      </c>
    </row>
    <row r="2583" spans="32:32" x14ac:dyDescent="0.2">
      <c r="AF2583" t="s">
        <v>473</v>
      </c>
    </row>
    <row r="2584" spans="32:32" x14ac:dyDescent="0.2">
      <c r="AF2584" t="s">
        <v>473</v>
      </c>
    </row>
    <row r="2585" spans="32:32" x14ac:dyDescent="0.2">
      <c r="AF2585" t="s">
        <v>473</v>
      </c>
    </row>
    <row r="2586" spans="32:32" x14ac:dyDescent="0.2">
      <c r="AF2586" t="s">
        <v>473</v>
      </c>
    </row>
    <row r="2587" spans="32:32" x14ac:dyDescent="0.2">
      <c r="AF2587" t="s">
        <v>473</v>
      </c>
    </row>
    <row r="2588" spans="32:32" x14ac:dyDescent="0.2">
      <c r="AF2588" t="s">
        <v>473</v>
      </c>
    </row>
    <row r="2589" spans="32:32" x14ac:dyDescent="0.2">
      <c r="AF2589" t="s">
        <v>473</v>
      </c>
    </row>
    <row r="2590" spans="32:32" x14ac:dyDescent="0.2">
      <c r="AF2590" t="s">
        <v>473</v>
      </c>
    </row>
    <row r="2591" spans="32:32" x14ac:dyDescent="0.2">
      <c r="AF2591" t="s">
        <v>473</v>
      </c>
    </row>
    <row r="2592" spans="32:32" x14ac:dyDescent="0.2">
      <c r="AF2592" t="s">
        <v>473</v>
      </c>
    </row>
    <row r="2593" spans="32:32" x14ac:dyDescent="0.2">
      <c r="AF2593" t="s">
        <v>473</v>
      </c>
    </row>
    <row r="2594" spans="32:32" x14ac:dyDescent="0.2">
      <c r="AF2594" t="s">
        <v>473</v>
      </c>
    </row>
    <row r="2595" spans="32:32" x14ac:dyDescent="0.2">
      <c r="AF2595" t="s">
        <v>473</v>
      </c>
    </row>
    <row r="2596" spans="32:32" x14ac:dyDescent="0.2">
      <c r="AF2596" t="s">
        <v>473</v>
      </c>
    </row>
    <row r="2597" spans="32:32" x14ac:dyDescent="0.2">
      <c r="AF2597" t="s">
        <v>473</v>
      </c>
    </row>
    <row r="2598" spans="32:32" x14ac:dyDescent="0.2">
      <c r="AF2598" t="s">
        <v>473</v>
      </c>
    </row>
    <row r="2599" spans="32:32" x14ac:dyDescent="0.2">
      <c r="AF2599" t="s">
        <v>473</v>
      </c>
    </row>
    <row r="2600" spans="32:32" x14ac:dyDescent="0.2">
      <c r="AF2600" t="s">
        <v>473</v>
      </c>
    </row>
    <row r="2601" spans="32:32" x14ac:dyDescent="0.2">
      <c r="AF2601" t="s">
        <v>473</v>
      </c>
    </row>
    <row r="2602" spans="32:32" x14ac:dyDescent="0.2">
      <c r="AF2602" t="s">
        <v>473</v>
      </c>
    </row>
    <row r="2603" spans="32:32" x14ac:dyDescent="0.2">
      <c r="AF2603" t="s">
        <v>473</v>
      </c>
    </row>
    <row r="2604" spans="32:32" x14ac:dyDescent="0.2">
      <c r="AF2604" t="s">
        <v>473</v>
      </c>
    </row>
    <row r="2605" spans="32:32" x14ac:dyDescent="0.2">
      <c r="AF2605" t="s">
        <v>473</v>
      </c>
    </row>
    <row r="2606" spans="32:32" x14ac:dyDescent="0.2">
      <c r="AF2606" t="s">
        <v>473</v>
      </c>
    </row>
    <row r="2607" spans="32:32" x14ac:dyDescent="0.2">
      <c r="AF2607" t="s">
        <v>473</v>
      </c>
    </row>
    <row r="2608" spans="32:32" x14ac:dyDescent="0.2">
      <c r="AF2608" t="s">
        <v>473</v>
      </c>
    </row>
    <row r="2609" spans="32:32" x14ac:dyDescent="0.2">
      <c r="AF2609" t="s">
        <v>473</v>
      </c>
    </row>
    <row r="2610" spans="32:32" x14ac:dyDescent="0.2">
      <c r="AF2610" t="s">
        <v>473</v>
      </c>
    </row>
    <row r="2611" spans="32:32" x14ac:dyDescent="0.2">
      <c r="AF2611" t="s">
        <v>473</v>
      </c>
    </row>
    <row r="2612" spans="32:32" x14ac:dyDescent="0.2">
      <c r="AF2612" t="s">
        <v>473</v>
      </c>
    </row>
    <row r="2613" spans="32:32" x14ac:dyDescent="0.2">
      <c r="AF2613" t="s">
        <v>473</v>
      </c>
    </row>
    <row r="2614" spans="32:32" x14ac:dyDescent="0.2">
      <c r="AF2614" t="s">
        <v>473</v>
      </c>
    </row>
    <row r="2615" spans="32:32" x14ac:dyDescent="0.2">
      <c r="AF2615" t="s">
        <v>473</v>
      </c>
    </row>
    <row r="2616" spans="32:32" x14ac:dyDescent="0.2">
      <c r="AF2616" t="s">
        <v>473</v>
      </c>
    </row>
    <row r="2617" spans="32:32" x14ac:dyDescent="0.2">
      <c r="AF2617" t="s">
        <v>473</v>
      </c>
    </row>
    <row r="2618" spans="32:32" x14ac:dyDescent="0.2">
      <c r="AF2618" t="s">
        <v>473</v>
      </c>
    </row>
    <row r="2619" spans="32:32" x14ac:dyDescent="0.2">
      <c r="AF2619" t="s">
        <v>473</v>
      </c>
    </row>
    <row r="2620" spans="32:32" x14ac:dyDescent="0.2">
      <c r="AF2620" t="s">
        <v>473</v>
      </c>
    </row>
    <row r="2621" spans="32:32" x14ac:dyDescent="0.2">
      <c r="AF2621" t="s">
        <v>473</v>
      </c>
    </row>
    <row r="2622" spans="32:32" x14ac:dyDescent="0.2">
      <c r="AF2622" t="s">
        <v>473</v>
      </c>
    </row>
    <row r="2623" spans="32:32" x14ac:dyDescent="0.2">
      <c r="AF2623" t="s">
        <v>473</v>
      </c>
    </row>
    <row r="2624" spans="32:32" x14ac:dyDescent="0.2">
      <c r="AF2624" t="s">
        <v>473</v>
      </c>
    </row>
    <row r="2625" spans="32:32" x14ac:dyDescent="0.2">
      <c r="AF2625" t="s">
        <v>473</v>
      </c>
    </row>
    <row r="2626" spans="32:32" x14ac:dyDescent="0.2">
      <c r="AF2626" t="s">
        <v>473</v>
      </c>
    </row>
    <row r="2627" spans="32:32" x14ac:dyDescent="0.2">
      <c r="AF2627" t="s">
        <v>473</v>
      </c>
    </row>
    <row r="2628" spans="32:32" x14ac:dyDescent="0.2">
      <c r="AF2628" t="s">
        <v>473</v>
      </c>
    </row>
    <row r="2629" spans="32:32" x14ac:dyDescent="0.2">
      <c r="AF2629" t="s">
        <v>473</v>
      </c>
    </row>
    <row r="2630" spans="32:32" x14ac:dyDescent="0.2">
      <c r="AF2630" t="s">
        <v>473</v>
      </c>
    </row>
    <row r="2631" spans="32:32" x14ac:dyDescent="0.2">
      <c r="AF2631" t="s">
        <v>473</v>
      </c>
    </row>
    <row r="2632" spans="32:32" x14ac:dyDescent="0.2">
      <c r="AF2632" t="s">
        <v>473</v>
      </c>
    </row>
    <row r="2633" spans="32:32" x14ac:dyDescent="0.2">
      <c r="AF2633" t="s">
        <v>473</v>
      </c>
    </row>
    <row r="2634" spans="32:32" x14ac:dyDescent="0.2">
      <c r="AF2634" t="s">
        <v>473</v>
      </c>
    </row>
    <row r="2635" spans="32:32" x14ac:dyDescent="0.2">
      <c r="AF2635" t="s">
        <v>473</v>
      </c>
    </row>
    <row r="2636" spans="32:32" x14ac:dyDescent="0.2">
      <c r="AF2636" t="s">
        <v>473</v>
      </c>
    </row>
    <row r="2637" spans="32:32" x14ac:dyDescent="0.2">
      <c r="AF2637" t="s">
        <v>473</v>
      </c>
    </row>
    <row r="2638" spans="32:32" x14ac:dyDescent="0.2">
      <c r="AF2638" t="s">
        <v>473</v>
      </c>
    </row>
    <row r="2639" spans="32:32" x14ac:dyDescent="0.2">
      <c r="AF2639" t="s">
        <v>473</v>
      </c>
    </row>
    <row r="2640" spans="32:32" x14ac:dyDescent="0.2">
      <c r="AF2640" t="s">
        <v>473</v>
      </c>
    </row>
    <row r="2641" spans="32:32" x14ac:dyDescent="0.2">
      <c r="AF2641" t="s">
        <v>473</v>
      </c>
    </row>
    <row r="2642" spans="32:32" x14ac:dyDescent="0.2">
      <c r="AF2642" t="s">
        <v>473</v>
      </c>
    </row>
    <row r="2643" spans="32:32" x14ac:dyDescent="0.2">
      <c r="AF2643" t="s">
        <v>473</v>
      </c>
    </row>
    <row r="2644" spans="32:32" x14ac:dyDescent="0.2">
      <c r="AF2644" t="s">
        <v>473</v>
      </c>
    </row>
    <row r="2645" spans="32:32" x14ac:dyDescent="0.2">
      <c r="AF2645" t="s">
        <v>473</v>
      </c>
    </row>
    <row r="2646" spans="32:32" x14ac:dyDescent="0.2">
      <c r="AF2646" t="s">
        <v>473</v>
      </c>
    </row>
    <row r="2647" spans="32:32" x14ac:dyDescent="0.2">
      <c r="AF2647" t="s">
        <v>473</v>
      </c>
    </row>
    <row r="2648" spans="32:32" x14ac:dyDescent="0.2">
      <c r="AF2648" t="s">
        <v>473</v>
      </c>
    </row>
    <row r="2649" spans="32:32" x14ac:dyDescent="0.2">
      <c r="AF2649" t="s">
        <v>473</v>
      </c>
    </row>
    <row r="2650" spans="32:32" x14ac:dyDescent="0.2">
      <c r="AF2650" t="s">
        <v>473</v>
      </c>
    </row>
    <row r="2651" spans="32:32" x14ac:dyDescent="0.2">
      <c r="AF2651" t="s">
        <v>473</v>
      </c>
    </row>
    <row r="2652" spans="32:32" x14ac:dyDescent="0.2">
      <c r="AF2652" t="s">
        <v>473</v>
      </c>
    </row>
    <row r="2653" spans="32:32" x14ac:dyDescent="0.2">
      <c r="AF2653" t="s">
        <v>473</v>
      </c>
    </row>
    <row r="2654" spans="32:32" x14ac:dyDescent="0.2">
      <c r="AF2654" t="s">
        <v>473</v>
      </c>
    </row>
    <row r="2655" spans="32:32" x14ac:dyDescent="0.2">
      <c r="AF2655" t="s">
        <v>473</v>
      </c>
    </row>
    <row r="2656" spans="32:32" x14ac:dyDescent="0.2">
      <c r="AF2656" t="s">
        <v>473</v>
      </c>
    </row>
    <row r="2657" spans="32:32" x14ac:dyDescent="0.2">
      <c r="AF2657" t="s">
        <v>473</v>
      </c>
    </row>
    <row r="2658" spans="32:32" x14ac:dyDescent="0.2">
      <c r="AF2658" t="s">
        <v>473</v>
      </c>
    </row>
    <row r="2659" spans="32:32" x14ac:dyDescent="0.2">
      <c r="AF2659" t="s">
        <v>473</v>
      </c>
    </row>
    <row r="2660" spans="32:32" x14ac:dyDescent="0.2">
      <c r="AF2660" t="s">
        <v>473</v>
      </c>
    </row>
    <row r="2661" spans="32:32" x14ac:dyDescent="0.2">
      <c r="AF2661" t="s">
        <v>473</v>
      </c>
    </row>
    <row r="2662" spans="32:32" x14ac:dyDescent="0.2">
      <c r="AF2662" t="s">
        <v>473</v>
      </c>
    </row>
    <row r="2663" spans="32:32" x14ac:dyDescent="0.2">
      <c r="AF2663" t="s">
        <v>473</v>
      </c>
    </row>
    <row r="2664" spans="32:32" x14ac:dyDescent="0.2">
      <c r="AF2664" t="s">
        <v>473</v>
      </c>
    </row>
    <row r="2665" spans="32:32" x14ac:dyDescent="0.2">
      <c r="AF2665" t="s">
        <v>473</v>
      </c>
    </row>
    <row r="2666" spans="32:32" x14ac:dyDescent="0.2">
      <c r="AF2666" t="s">
        <v>473</v>
      </c>
    </row>
    <row r="2667" spans="32:32" x14ac:dyDescent="0.2">
      <c r="AF2667" t="s">
        <v>473</v>
      </c>
    </row>
    <row r="2668" spans="32:32" x14ac:dyDescent="0.2">
      <c r="AF2668" t="s">
        <v>473</v>
      </c>
    </row>
    <row r="2669" spans="32:32" x14ac:dyDescent="0.2">
      <c r="AF2669" t="s">
        <v>473</v>
      </c>
    </row>
    <row r="2670" spans="32:32" x14ac:dyDescent="0.2">
      <c r="AF2670" t="s">
        <v>473</v>
      </c>
    </row>
    <row r="2671" spans="32:32" x14ac:dyDescent="0.2">
      <c r="AF2671" t="s">
        <v>473</v>
      </c>
    </row>
    <row r="2672" spans="32:32" x14ac:dyDescent="0.2">
      <c r="AF2672" t="s">
        <v>473</v>
      </c>
    </row>
    <row r="2673" spans="32:32" x14ac:dyDescent="0.2">
      <c r="AF2673" t="s">
        <v>473</v>
      </c>
    </row>
    <row r="2674" spans="32:32" x14ac:dyDescent="0.2">
      <c r="AF2674" t="s">
        <v>473</v>
      </c>
    </row>
    <row r="2675" spans="32:32" x14ac:dyDescent="0.2">
      <c r="AF2675" t="s">
        <v>473</v>
      </c>
    </row>
    <row r="2676" spans="32:32" x14ac:dyDescent="0.2">
      <c r="AF2676" t="s">
        <v>473</v>
      </c>
    </row>
    <row r="2677" spans="32:32" x14ac:dyDescent="0.2">
      <c r="AF2677" t="s">
        <v>473</v>
      </c>
    </row>
    <row r="2678" spans="32:32" x14ac:dyDescent="0.2">
      <c r="AF2678" t="s">
        <v>473</v>
      </c>
    </row>
    <row r="2679" spans="32:32" x14ac:dyDescent="0.2">
      <c r="AF2679" t="s">
        <v>473</v>
      </c>
    </row>
    <row r="2680" spans="32:32" x14ac:dyDescent="0.2">
      <c r="AF2680" t="s">
        <v>473</v>
      </c>
    </row>
    <row r="2681" spans="32:32" x14ac:dyDescent="0.2">
      <c r="AF2681" t="s">
        <v>473</v>
      </c>
    </row>
    <row r="2682" spans="32:32" x14ac:dyDescent="0.2">
      <c r="AF2682" t="s">
        <v>473</v>
      </c>
    </row>
    <row r="2683" spans="32:32" x14ac:dyDescent="0.2">
      <c r="AF2683" t="s">
        <v>473</v>
      </c>
    </row>
    <row r="2684" spans="32:32" x14ac:dyDescent="0.2">
      <c r="AF2684" t="s">
        <v>473</v>
      </c>
    </row>
    <row r="2685" spans="32:32" x14ac:dyDescent="0.2">
      <c r="AF2685" t="s">
        <v>473</v>
      </c>
    </row>
    <row r="2686" spans="32:32" x14ac:dyDescent="0.2">
      <c r="AF2686" t="s">
        <v>473</v>
      </c>
    </row>
    <row r="2687" spans="32:32" x14ac:dyDescent="0.2">
      <c r="AF2687" t="s">
        <v>473</v>
      </c>
    </row>
    <row r="2688" spans="32:32" x14ac:dyDescent="0.2">
      <c r="AF2688" t="s">
        <v>473</v>
      </c>
    </row>
    <row r="2689" spans="32:32" x14ac:dyDescent="0.2">
      <c r="AF2689" t="s">
        <v>473</v>
      </c>
    </row>
    <row r="2690" spans="32:32" x14ac:dyDescent="0.2">
      <c r="AF2690" t="s">
        <v>473</v>
      </c>
    </row>
    <row r="2691" spans="32:32" x14ac:dyDescent="0.2">
      <c r="AF2691" t="s">
        <v>473</v>
      </c>
    </row>
    <row r="2692" spans="32:32" x14ac:dyDescent="0.2">
      <c r="AF2692" t="s">
        <v>473</v>
      </c>
    </row>
    <row r="2693" spans="32:32" x14ac:dyDescent="0.2">
      <c r="AF2693" t="s">
        <v>473</v>
      </c>
    </row>
    <row r="2694" spans="32:32" x14ac:dyDescent="0.2">
      <c r="AF2694" t="s">
        <v>473</v>
      </c>
    </row>
    <row r="2695" spans="32:32" x14ac:dyDescent="0.2">
      <c r="AF2695" t="s">
        <v>473</v>
      </c>
    </row>
    <row r="2696" spans="32:32" x14ac:dyDescent="0.2">
      <c r="AF2696" t="s">
        <v>473</v>
      </c>
    </row>
    <row r="2697" spans="32:32" x14ac:dyDescent="0.2">
      <c r="AF2697" t="s">
        <v>473</v>
      </c>
    </row>
    <row r="2698" spans="32:32" x14ac:dyDescent="0.2">
      <c r="AF2698" t="s">
        <v>473</v>
      </c>
    </row>
    <row r="2699" spans="32:32" x14ac:dyDescent="0.2">
      <c r="AF2699" t="s">
        <v>473</v>
      </c>
    </row>
    <row r="2700" spans="32:32" x14ac:dyDescent="0.2">
      <c r="AF2700" t="s">
        <v>473</v>
      </c>
    </row>
    <row r="2701" spans="32:32" x14ac:dyDescent="0.2">
      <c r="AF2701" t="s">
        <v>473</v>
      </c>
    </row>
    <row r="2702" spans="32:32" x14ac:dyDescent="0.2">
      <c r="AF2702" t="s">
        <v>473</v>
      </c>
    </row>
    <row r="2703" spans="32:32" x14ac:dyDescent="0.2">
      <c r="AF2703" t="s">
        <v>473</v>
      </c>
    </row>
    <row r="2704" spans="32:32" x14ac:dyDescent="0.2">
      <c r="AF2704" t="s">
        <v>473</v>
      </c>
    </row>
    <row r="2705" spans="32:32" x14ac:dyDescent="0.2">
      <c r="AF2705" t="s">
        <v>473</v>
      </c>
    </row>
    <row r="2706" spans="32:32" x14ac:dyDescent="0.2">
      <c r="AF2706" t="s">
        <v>473</v>
      </c>
    </row>
    <row r="2707" spans="32:32" x14ac:dyDescent="0.2">
      <c r="AF2707" t="s">
        <v>473</v>
      </c>
    </row>
    <row r="2708" spans="32:32" x14ac:dyDescent="0.2">
      <c r="AF2708" t="s">
        <v>473</v>
      </c>
    </row>
    <row r="2709" spans="32:32" x14ac:dyDescent="0.2">
      <c r="AF2709" t="s">
        <v>473</v>
      </c>
    </row>
    <row r="2710" spans="32:32" x14ac:dyDescent="0.2">
      <c r="AF2710" t="s">
        <v>473</v>
      </c>
    </row>
    <row r="2711" spans="32:32" x14ac:dyDescent="0.2">
      <c r="AF2711" t="s">
        <v>473</v>
      </c>
    </row>
    <row r="2712" spans="32:32" x14ac:dyDescent="0.2">
      <c r="AF2712" t="s">
        <v>473</v>
      </c>
    </row>
    <row r="2713" spans="32:32" x14ac:dyDescent="0.2">
      <c r="AF2713" t="s">
        <v>473</v>
      </c>
    </row>
    <row r="2714" spans="32:32" x14ac:dyDescent="0.2">
      <c r="AF2714" t="s">
        <v>473</v>
      </c>
    </row>
    <row r="2715" spans="32:32" x14ac:dyDescent="0.2">
      <c r="AF2715" t="s">
        <v>473</v>
      </c>
    </row>
    <row r="2716" spans="32:32" x14ac:dyDescent="0.2">
      <c r="AF2716" t="s">
        <v>473</v>
      </c>
    </row>
    <row r="2717" spans="32:32" x14ac:dyDescent="0.2">
      <c r="AF2717" t="s">
        <v>473</v>
      </c>
    </row>
    <row r="2718" spans="32:32" x14ac:dyDescent="0.2">
      <c r="AF2718" t="s">
        <v>473</v>
      </c>
    </row>
    <row r="2719" spans="32:32" x14ac:dyDescent="0.2">
      <c r="AF2719" t="s">
        <v>473</v>
      </c>
    </row>
    <row r="2720" spans="32:32" x14ac:dyDescent="0.2">
      <c r="AF2720" t="s">
        <v>473</v>
      </c>
    </row>
    <row r="2721" spans="32:32" x14ac:dyDescent="0.2">
      <c r="AF2721" t="s">
        <v>473</v>
      </c>
    </row>
    <row r="2722" spans="32:32" x14ac:dyDescent="0.2">
      <c r="AF2722" t="s">
        <v>473</v>
      </c>
    </row>
    <row r="2723" spans="32:32" x14ac:dyDescent="0.2">
      <c r="AF2723" t="s">
        <v>473</v>
      </c>
    </row>
    <row r="2724" spans="32:32" x14ac:dyDescent="0.2">
      <c r="AF2724" t="s">
        <v>473</v>
      </c>
    </row>
    <row r="2725" spans="32:32" x14ac:dyDescent="0.2">
      <c r="AF2725" t="s">
        <v>473</v>
      </c>
    </row>
    <row r="2726" spans="32:32" x14ac:dyDescent="0.2">
      <c r="AF2726" t="s">
        <v>473</v>
      </c>
    </row>
    <row r="2727" spans="32:32" x14ac:dyDescent="0.2">
      <c r="AF2727" t="s">
        <v>473</v>
      </c>
    </row>
    <row r="2728" spans="32:32" x14ac:dyDescent="0.2">
      <c r="AF2728" t="s">
        <v>473</v>
      </c>
    </row>
    <row r="2729" spans="32:32" x14ac:dyDescent="0.2">
      <c r="AF2729" t="s">
        <v>473</v>
      </c>
    </row>
    <row r="2730" spans="32:32" x14ac:dyDescent="0.2">
      <c r="AF2730" t="s">
        <v>473</v>
      </c>
    </row>
    <row r="2731" spans="32:32" x14ac:dyDescent="0.2">
      <c r="AF2731" t="s">
        <v>473</v>
      </c>
    </row>
    <row r="2732" spans="32:32" x14ac:dyDescent="0.2">
      <c r="AF2732" t="s">
        <v>473</v>
      </c>
    </row>
    <row r="2733" spans="32:32" x14ac:dyDescent="0.2">
      <c r="AF2733" t="s">
        <v>473</v>
      </c>
    </row>
    <row r="2734" spans="32:32" x14ac:dyDescent="0.2">
      <c r="AF2734" t="s">
        <v>473</v>
      </c>
    </row>
    <row r="2735" spans="32:32" x14ac:dyDescent="0.2">
      <c r="AF2735" t="s">
        <v>473</v>
      </c>
    </row>
    <row r="2736" spans="32:32" x14ac:dyDescent="0.2">
      <c r="AF2736" t="s">
        <v>473</v>
      </c>
    </row>
    <row r="2737" spans="32:32" x14ac:dyDescent="0.2">
      <c r="AF2737" t="s">
        <v>473</v>
      </c>
    </row>
    <row r="2738" spans="32:32" x14ac:dyDescent="0.2">
      <c r="AF2738" t="s">
        <v>473</v>
      </c>
    </row>
    <row r="2739" spans="32:32" x14ac:dyDescent="0.2">
      <c r="AF2739" t="s">
        <v>473</v>
      </c>
    </row>
    <row r="2740" spans="32:32" x14ac:dyDescent="0.2">
      <c r="AF2740" t="s">
        <v>473</v>
      </c>
    </row>
    <row r="2741" spans="32:32" x14ac:dyDescent="0.2">
      <c r="AF2741" t="s">
        <v>473</v>
      </c>
    </row>
    <row r="2742" spans="32:32" x14ac:dyDescent="0.2">
      <c r="AF2742" t="s">
        <v>473</v>
      </c>
    </row>
    <row r="2743" spans="32:32" x14ac:dyDescent="0.2">
      <c r="AF2743" t="s">
        <v>473</v>
      </c>
    </row>
    <row r="2744" spans="32:32" x14ac:dyDescent="0.2">
      <c r="AF2744" t="s">
        <v>473</v>
      </c>
    </row>
    <row r="2745" spans="32:32" x14ac:dyDescent="0.2">
      <c r="AF2745" t="s">
        <v>473</v>
      </c>
    </row>
    <row r="2746" spans="32:32" x14ac:dyDescent="0.2">
      <c r="AF2746" t="s">
        <v>473</v>
      </c>
    </row>
    <row r="2747" spans="32:32" x14ac:dyDescent="0.2">
      <c r="AF2747" t="s">
        <v>473</v>
      </c>
    </row>
    <row r="2748" spans="32:32" x14ac:dyDescent="0.2">
      <c r="AF2748" t="s">
        <v>473</v>
      </c>
    </row>
    <row r="2749" spans="32:32" x14ac:dyDescent="0.2">
      <c r="AF2749" t="s">
        <v>473</v>
      </c>
    </row>
    <row r="2750" spans="32:32" x14ac:dyDescent="0.2">
      <c r="AF2750" t="s">
        <v>473</v>
      </c>
    </row>
    <row r="2751" spans="32:32" x14ac:dyDescent="0.2">
      <c r="AF2751" t="s">
        <v>473</v>
      </c>
    </row>
    <row r="2752" spans="32:32" x14ac:dyDescent="0.2">
      <c r="AF2752" t="s">
        <v>473</v>
      </c>
    </row>
    <row r="2753" spans="32:32" x14ac:dyDescent="0.2">
      <c r="AF2753" t="s">
        <v>473</v>
      </c>
    </row>
    <row r="2754" spans="32:32" x14ac:dyDescent="0.2">
      <c r="AF2754" t="s">
        <v>473</v>
      </c>
    </row>
    <row r="2755" spans="32:32" x14ac:dyDescent="0.2">
      <c r="AF2755" t="s">
        <v>473</v>
      </c>
    </row>
    <row r="2756" spans="32:32" x14ac:dyDescent="0.2">
      <c r="AF2756" t="s">
        <v>473</v>
      </c>
    </row>
    <row r="2757" spans="32:32" x14ac:dyDescent="0.2">
      <c r="AF2757" t="s">
        <v>473</v>
      </c>
    </row>
    <row r="2758" spans="32:32" x14ac:dyDescent="0.2">
      <c r="AF2758" t="s">
        <v>473</v>
      </c>
    </row>
    <row r="2759" spans="32:32" x14ac:dyDescent="0.2">
      <c r="AF2759" t="s">
        <v>473</v>
      </c>
    </row>
    <row r="2760" spans="32:32" x14ac:dyDescent="0.2">
      <c r="AF2760" t="s">
        <v>473</v>
      </c>
    </row>
    <row r="2761" spans="32:32" x14ac:dyDescent="0.2">
      <c r="AF2761" t="s">
        <v>473</v>
      </c>
    </row>
    <row r="2762" spans="32:32" x14ac:dyDescent="0.2">
      <c r="AF2762" t="s">
        <v>473</v>
      </c>
    </row>
    <row r="2763" spans="32:32" x14ac:dyDescent="0.2">
      <c r="AF2763" t="s">
        <v>473</v>
      </c>
    </row>
    <row r="2764" spans="32:32" x14ac:dyDescent="0.2">
      <c r="AF2764" t="s">
        <v>473</v>
      </c>
    </row>
    <row r="2765" spans="32:32" x14ac:dyDescent="0.2">
      <c r="AF2765" t="s">
        <v>473</v>
      </c>
    </row>
    <row r="2766" spans="32:32" x14ac:dyDescent="0.2">
      <c r="AF2766" t="s">
        <v>473</v>
      </c>
    </row>
    <row r="2767" spans="32:32" x14ac:dyDescent="0.2">
      <c r="AF2767" t="s">
        <v>473</v>
      </c>
    </row>
    <row r="2768" spans="32:32" x14ac:dyDescent="0.2">
      <c r="AF2768" t="s">
        <v>473</v>
      </c>
    </row>
    <row r="2769" spans="32:32" x14ac:dyDescent="0.2">
      <c r="AF2769" t="s">
        <v>473</v>
      </c>
    </row>
    <row r="2770" spans="32:32" x14ac:dyDescent="0.2">
      <c r="AF2770" t="s">
        <v>473</v>
      </c>
    </row>
    <row r="2771" spans="32:32" x14ac:dyDescent="0.2">
      <c r="AF2771" t="s">
        <v>473</v>
      </c>
    </row>
    <row r="2772" spans="32:32" x14ac:dyDescent="0.2">
      <c r="AF2772" t="s">
        <v>473</v>
      </c>
    </row>
    <row r="2773" spans="32:32" x14ac:dyDescent="0.2">
      <c r="AF2773" t="s">
        <v>473</v>
      </c>
    </row>
    <row r="2774" spans="32:32" x14ac:dyDescent="0.2">
      <c r="AF2774" t="s">
        <v>473</v>
      </c>
    </row>
    <row r="2775" spans="32:32" x14ac:dyDescent="0.2">
      <c r="AF2775" t="s">
        <v>473</v>
      </c>
    </row>
    <row r="2776" spans="32:32" x14ac:dyDescent="0.2">
      <c r="AF2776" t="s">
        <v>473</v>
      </c>
    </row>
    <row r="2777" spans="32:32" x14ac:dyDescent="0.2">
      <c r="AF2777" t="s">
        <v>473</v>
      </c>
    </row>
    <row r="2778" spans="32:32" x14ac:dyDescent="0.2">
      <c r="AF2778" t="s">
        <v>473</v>
      </c>
    </row>
    <row r="2779" spans="32:32" x14ac:dyDescent="0.2">
      <c r="AF2779" t="s">
        <v>473</v>
      </c>
    </row>
    <row r="2780" spans="32:32" x14ac:dyDescent="0.2">
      <c r="AF2780" t="s">
        <v>473</v>
      </c>
    </row>
    <row r="2781" spans="32:32" x14ac:dyDescent="0.2">
      <c r="AF2781" t="s">
        <v>473</v>
      </c>
    </row>
    <row r="2782" spans="32:32" x14ac:dyDescent="0.2">
      <c r="AF2782" t="s">
        <v>473</v>
      </c>
    </row>
    <row r="2783" spans="32:32" x14ac:dyDescent="0.2">
      <c r="AF2783" t="s">
        <v>473</v>
      </c>
    </row>
    <row r="2784" spans="32:32" x14ac:dyDescent="0.2">
      <c r="AF2784" t="s">
        <v>473</v>
      </c>
    </row>
    <row r="2785" spans="32:32" x14ac:dyDescent="0.2">
      <c r="AF2785" t="s">
        <v>473</v>
      </c>
    </row>
    <row r="2786" spans="32:32" x14ac:dyDescent="0.2">
      <c r="AF2786" t="s">
        <v>473</v>
      </c>
    </row>
    <row r="2787" spans="32:32" x14ac:dyDescent="0.2">
      <c r="AF2787" t="s">
        <v>473</v>
      </c>
    </row>
    <row r="2788" spans="32:32" x14ac:dyDescent="0.2">
      <c r="AF2788" t="s">
        <v>473</v>
      </c>
    </row>
    <row r="2789" spans="32:32" x14ac:dyDescent="0.2">
      <c r="AF2789" t="s">
        <v>473</v>
      </c>
    </row>
    <row r="2790" spans="32:32" x14ac:dyDescent="0.2">
      <c r="AF2790" t="s">
        <v>473</v>
      </c>
    </row>
    <row r="2791" spans="32:32" x14ac:dyDescent="0.2">
      <c r="AF2791" t="s">
        <v>473</v>
      </c>
    </row>
    <row r="2792" spans="32:32" x14ac:dyDescent="0.2">
      <c r="AF2792" t="s">
        <v>473</v>
      </c>
    </row>
    <row r="2793" spans="32:32" x14ac:dyDescent="0.2">
      <c r="AF2793" t="s">
        <v>473</v>
      </c>
    </row>
    <row r="2794" spans="32:32" x14ac:dyDescent="0.2">
      <c r="AF2794" t="s">
        <v>473</v>
      </c>
    </row>
    <row r="2795" spans="32:32" x14ac:dyDescent="0.2">
      <c r="AF2795" t="s">
        <v>473</v>
      </c>
    </row>
    <row r="2796" spans="32:32" x14ac:dyDescent="0.2">
      <c r="AF2796" t="s">
        <v>473</v>
      </c>
    </row>
    <row r="2797" spans="32:32" x14ac:dyDescent="0.2">
      <c r="AF2797" t="s">
        <v>473</v>
      </c>
    </row>
    <row r="2798" spans="32:32" x14ac:dyDescent="0.2">
      <c r="AF2798" t="s">
        <v>473</v>
      </c>
    </row>
    <row r="2799" spans="32:32" x14ac:dyDescent="0.2">
      <c r="AF2799" t="s">
        <v>473</v>
      </c>
    </row>
    <row r="2800" spans="32:32" x14ac:dyDescent="0.2">
      <c r="AF2800" t="s">
        <v>473</v>
      </c>
    </row>
    <row r="2801" spans="32:32" x14ac:dyDescent="0.2">
      <c r="AF2801" t="s">
        <v>473</v>
      </c>
    </row>
    <row r="2802" spans="32:32" x14ac:dyDescent="0.2">
      <c r="AF2802" t="s">
        <v>473</v>
      </c>
    </row>
    <row r="2803" spans="32:32" x14ac:dyDescent="0.2">
      <c r="AF2803" t="s">
        <v>473</v>
      </c>
    </row>
    <row r="2804" spans="32:32" x14ac:dyDescent="0.2">
      <c r="AF2804" t="s">
        <v>473</v>
      </c>
    </row>
    <row r="2805" spans="32:32" x14ac:dyDescent="0.2">
      <c r="AF2805" t="s">
        <v>473</v>
      </c>
    </row>
    <row r="2806" spans="32:32" x14ac:dyDescent="0.2">
      <c r="AF2806" t="s">
        <v>473</v>
      </c>
    </row>
    <row r="2807" spans="32:32" x14ac:dyDescent="0.2">
      <c r="AF2807" t="s">
        <v>473</v>
      </c>
    </row>
    <row r="2808" spans="32:32" x14ac:dyDescent="0.2">
      <c r="AF2808" t="s">
        <v>473</v>
      </c>
    </row>
    <row r="2809" spans="32:32" x14ac:dyDescent="0.2">
      <c r="AF2809" t="s">
        <v>473</v>
      </c>
    </row>
    <row r="2810" spans="32:32" x14ac:dyDescent="0.2">
      <c r="AF2810" t="s">
        <v>473</v>
      </c>
    </row>
    <row r="2811" spans="32:32" x14ac:dyDescent="0.2">
      <c r="AF2811" t="s">
        <v>473</v>
      </c>
    </row>
    <row r="2812" spans="32:32" x14ac:dyDescent="0.2">
      <c r="AF2812" t="s">
        <v>473</v>
      </c>
    </row>
    <row r="2813" spans="32:32" x14ac:dyDescent="0.2">
      <c r="AF2813" t="s">
        <v>473</v>
      </c>
    </row>
    <row r="2814" spans="32:32" x14ac:dyDescent="0.2">
      <c r="AF2814" t="s">
        <v>473</v>
      </c>
    </row>
    <row r="2815" spans="32:32" x14ac:dyDescent="0.2">
      <c r="AF2815" t="s">
        <v>473</v>
      </c>
    </row>
    <row r="2816" spans="32:32" x14ac:dyDescent="0.2">
      <c r="AF2816" t="s">
        <v>473</v>
      </c>
    </row>
    <row r="2817" spans="32:32" x14ac:dyDescent="0.2">
      <c r="AF2817" t="s">
        <v>473</v>
      </c>
    </row>
    <row r="2818" spans="32:32" x14ac:dyDescent="0.2">
      <c r="AF2818" t="s">
        <v>473</v>
      </c>
    </row>
    <row r="2819" spans="32:32" x14ac:dyDescent="0.2">
      <c r="AF2819" t="s">
        <v>473</v>
      </c>
    </row>
    <row r="2820" spans="32:32" x14ac:dyDescent="0.2">
      <c r="AF2820" t="s">
        <v>473</v>
      </c>
    </row>
    <row r="2821" spans="32:32" x14ac:dyDescent="0.2">
      <c r="AF2821" t="s">
        <v>473</v>
      </c>
    </row>
    <row r="2822" spans="32:32" x14ac:dyDescent="0.2">
      <c r="AF2822" t="s">
        <v>473</v>
      </c>
    </row>
    <row r="2823" spans="32:32" x14ac:dyDescent="0.2">
      <c r="AF2823" t="s">
        <v>473</v>
      </c>
    </row>
    <row r="2824" spans="32:32" x14ac:dyDescent="0.2">
      <c r="AF2824" t="s">
        <v>473</v>
      </c>
    </row>
    <row r="2825" spans="32:32" x14ac:dyDescent="0.2">
      <c r="AF2825" t="s">
        <v>473</v>
      </c>
    </row>
    <row r="2826" spans="32:32" x14ac:dyDescent="0.2">
      <c r="AF2826" t="s">
        <v>473</v>
      </c>
    </row>
    <row r="2827" spans="32:32" x14ac:dyDescent="0.2">
      <c r="AF2827" t="s">
        <v>473</v>
      </c>
    </row>
    <row r="2828" spans="32:32" x14ac:dyDescent="0.2">
      <c r="AF2828" t="s">
        <v>473</v>
      </c>
    </row>
    <row r="2829" spans="32:32" x14ac:dyDescent="0.2">
      <c r="AF2829" t="s">
        <v>473</v>
      </c>
    </row>
    <row r="2830" spans="32:32" x14ac:dyDescent="0.2">
      <c r="AF2830" t="s">
        <v>473</v>
      </c>
    </row>
    <row r="2831" spans="32:32" x14ac:dyDescent="0.2">
      <c r="AF2831" t="s">
        <v>473</v>
      </c>
    </row>
    <row r="2832" spans="32:32" x14ac:dyDescent="0.2">
      <c r="AF2832" t="s">
        <v>473</v>
      </c>
    </row>
    <row r="2833" spans="32:32" x14ac:dyDescent="0.2">
      <c r="AF2833" t="s">
        <v>473</v>
      </c>
    </row>
    <row r="2834" spans="32:32" x14ac:dyDescent="0.2">
      <c r="AF2834" t="s">
        <v>473</v>
      </c>
    </row>
    <row r="2835" spans="32:32" x14ac:dyDescent="0.2">
      <c r="AF2835" t="s">
        <v>473</v>
      </c>
    </row>
    <row r="2836" spans="32:32" x14ac:dyDescent="0.2">
      <c r="AF2836" t="s">
        <v>473</v>
      </c>
    </row>
    <row r="2837" spans="32:32" x14ac:dyDescent="0.2">
      <c r="AF2837" t="s">
        <v>473</v>
      </c>
    </row>
    <row r="2838" spans="32:32" x14ac:dyDescent="0.2">
      <c r="AF2838" t="s">
        <v>473</v>
      </c>
    </row>
    <row r="2839" spans="32:32" x14ac:dyDescent="0.2">
      <c r="AF2839" t="s">
        <v>473</v>
      </c>
    </row>
    <row r="2840" spans="32:32" x14ac:dyDescent="0.2">
      <c r="AF2840" t="s">
        <v>473</v>
      </c>
    </row>
    <row r="2841" spans="32:32" x14ac:dyDescent="0.2">
      <c r="AF2841" t="s">
        <v>473</v>
      </c>
    </row>
    <row r="2842" spans="32:32" x14ac:dyDescent="0.2">
      <c r="AF2842" t="s">
        <v>473</v>
      </c>
    </row>
    <row r="2843" spans="32:32" x14ac:dyDescent="0.2">
      <c r="AF2843" t="s">
        <v>473</v>
      </c>
    </row>
    <row r="2844" spans="32:32" x14ac:dyDescent="0.2">
      <c r="AF2844" t="s">
        <v>473</v>
      </c>
    </row>
    <row r="2845" spans="32:32" x14ac:dyDescent="0.2">
      <c r="AF2845" t="s">
        <v>473</v>
      </c>
    </row>
    <row r="2846" spans="32:32" x14ac:dyDescent="0.2">
      <c r="AF2846" t="s">
        <v>473</v>
      </c>
    </row>
    <row r="2847" spans="32:32" x14ac:dyDescent="0.2">
      <c r="AF2847" t="s">
        <v>473</v>
      </c>
    </row>
    <row r="2848" spans="32:32" x14ac:dyDescent="0.2">
      <c r="AF2848" t="s">
        <v>473</v>
      </c>
    </row>
    <row r="2849" spans="32:32" x14ac:dyDescent="0.2">
      <c r="AF2849" t="s">
        <v>473</v>
      </c>
    </row>
    <row r="2850" spans="32:32" x14ac:dyDescent="0.2">
      <c r="AF2850" t="s">
        <v>473</v>
      </c>
    </row>
    <row r="2851" spans="32:32" x14ac:dyDescent="0.2">
      <c r="AF2851" t="s">
        <v>473</v>
      </c>
    </row>
    <row r="2852" spans="32:32" x14ac:dyDescent="0.2">
      <c r="AF2852" t="s">
        <v>473</v>
      </c>
    </row>
    <row r="2853" spans="32:32" x14ac:dyDescent="0.2">
      <c r="AF2853" t="s">
        <v>473</v>
      </c>
    </row>
    <row r="2854" spans="32:32" x14ac:dyDescent="0.2">
      <c r="AF2854" t="s">
        <v>473</v>
      </c>
    </row>
    <row r="2855" spans="32:32" x14ac:dyDescent="0.2">
      <c r="AF2855" t="s">
        <v>473</v>
      </c>
    </row>
    <row r="2856" spans="32:32" x14ac:dyDescent="0.2">
      <c r="AF2856" t="s">
        <v>473</v>
      </c>
    </row>
    <row r="2857" spans="32:32" x14ac:dyDescent="0.2">
      <c r="AF2857" t="s">
        <v>473</v>
      </c>
    </row>
    <row r="2858" spans="32:32" x14ac:dyDescent="0.2">
      <c r="AF2858" t="s">
        <v>473</v>
      </c>
    </row>
    <row r="2859" spans="32:32" x14ac:dyDescent="0.2">
      <c r="AF2859" t="s">
        <v>473</v>
      </c>
    </row>
    <row r="2860" spans="32:32" x14ac:dyDescent="0.2">
      <c r="AF2860" t="s">
        <v>473</v>
      </c>
    </row>
    <row r="2861" spans="32:32" x14ac:dyDescent="0.2">
      <c r="AF2861" t="s">
        <v>473</v>
      </c>
    </row>
    <row r="2862" spans="32:32" x14ac:dyDescent="0.2">
      <c r="AF2862" t="s">
        <v>473</v>
      </c>
    </row>
    <row r="2863" spans="32:32" x14ac:dyDescent="0.2">
      <c r="AF2863" t="s">
        <v>473</v>
      </c>
    </row>
    <row r="2864" spans="32:32" x14ac:dyDescent="0.2">
      <c r="AF2864" t="s">
        <v>473</v>
      </c>
    </row>
    <row r="2865" spans="32:32" x14ac:dyDescent="0.2">
      <c r="AF2865" t="s">
        <v>473</v>
      </c>
    </row>
    <row r="2866" spans="32:32" x14ac:dyDescent="0.2">
      <c r="AF2866" t="s">
        <v>473</v>
      </c>
    </row>
    <row r="2867" spans="32:32" x14ac:dyDescent="0.2">
      <c r="AF2867" t="s">
        <v>473</v>
      </c>
    </row>
    <row r="2868" spans="32:32" x14ac:dyDescent="0.2">
      <c r="AF2868" t="s">
        <v>473</v>
      </c>
    </row>
    <row r="2869" spans="32:32" x14ac:dyDescent="0.2">
      <c r="AF2869" t="s">
        <v>473</v>
      </c>
    </row>
    <row r="2870" spans="32:32" x14ac:dyDescent="0.2">
      <c r="AF2870" t="s">
        <v>473</v>
      </c>
    </row>
    <row r="2871" spans="32:32" x14ac:dyDescent="0.2">
      <c r="AF2871" t="s">
        <v>473</v>
      </c>
    </row>
    <row r="2872" spans="32:32" x14ac:dyDescent="0.2">
      <c r="AF2872" t="s">
        <v>473</v>
      </c>
    </row>
    <row r="2873" spans="32:32" x14ac:dyDescent="0.2">
      <c r="AF2873" t="s">
        <v>473</v>
      </c>
    </row>
    <row r="2874" spans="32:32" x14ac:dyDescent="0.2">
      <c r="AF2874" t="s">
        <v>473</v>
      </c>
    </row>
    <row r="2875" spans="32:32" x14ac:dyDescent="0.2">
      <c r="AF2875" t="s">
        <v>473</v>
      </c>
    </row>
    <row r="2876" spans="32:32" x14ac:dyDescent="0.2">
      <c r="AF2876" t="s">
        <v>473</v>
      </c>
    </row>
    <row r="2877" spans="32:32" x14ac:dyDescent="0.2">
      <c r="AF2877" t="s">
        <v>473</v>
      </c>
    </row>
    <row r="2878" spans="32:32" x14ac:dyDescent="0.2">
      <c r="AF2878" t="s">
        <v>473</v>
      </c>
    </row>
    <row r="2879" spans="32:32" x14ac:dyDescent="0.2">
      <c r="AF2879" t="s">
        <v>473</v>
      </c>
    </row>
    <row r="2880" spans="32:32" x14ac:dyDescent="0.2">
      <c r="AF2880" t="s">
        <v>473</v>
      </c>
    </row>
    <row r="2881" spans="32:32" x14ac:dyDescent="0.2">
      <c r="AF2881" t="s">
        <v>473</v>
      </c>
    </row>
    <row r="2882" spans="32:32" x14ac:dyDescent="0.2">
      <c r="AF2882" t="s">
        <v>473</v>
      </c>
    </row>
    <row r="2883" spans="32:32" x14ac:dyDescent="0.2">
      <c r="AF2883" t="s">
        <v>473</v>
      </c>
    </row>
    <row r="2884" spans="32:32" x14ac:dyDescent="0.2">
      <c r="AF2884" t="s">
        <v>473</v>
      </c>
    </row>
    <row r="2885" spans="32:32" x14ac:dyDescent="0.2">
      <c r="AF2885" t="s">
        <v>473</v>
      </c>
    </row>
    <row r="2886" spans="32:32" x14ac:dyDescent="0.2">
      <c r="AF2886" t="s">
        <v>473</v>
      </c>
    </row>
    <row r="2887" spans="32:32" x14ac:dyDescent="0.2">
      <c r="AF2887" t="s">
        <v>473</v>
      </c>
    </row>
    <row r="2888" spans="32:32" x14ac:dyDescent="0.2">
      <c r="AF2888" t="s">
        <v>473</v>
      </c>
    </row>
    <row r="2889" spans="32:32" x14ac:dyDescent="0.2">
      <c r="AF2889" t="s">
        <v>473</v>
      </c>
    </row>
    <row r="2890" spans="32:32" x14ac:dyDescent="0.2">
      <c r="AF2890" t="s">
        <v>473</v>
      </c>
    </row>
    <row r="2891" spans="32:32" x14ac:dyDescent="0.2">
      <c r="AF2891" t="s">
        <v>473</v>
      </c>
    </row>
    <row r="2892" spans="32:32" x14ac:dyDescent="0.2">
      <c r="AF2892" t="s">
        <v>473</v>
      </c>
    </row>
    <row r="2893" spans="32:32" x14ac:dyDescent="0.2">
      <c r="AF2893" t="s">
        <v>473</v>
      </c>
    </row>
    <row r="2894" spans="32:32" x14ac:dyDescent="0.2">
      <c r="AF2894" t="s">
        <v>473</v>
      </c>
    </row>
    <row r="2895" spans="32:32" x14ac:dyDescent="0.2">
      <c r="AF2895" t="s">
        <v>473</v>
      </c>
    </row>
    <row r="2896" spans="32:32" x14ac:dyDescent="0.2">
      <c r="AF2896" t="s">
        <v>473</v>
      </c>
    </row>
    <row r="2897" spans="32:32" x14ac:dyDescent="0.2">
      <c r="AF2897" t="s">
        <v>473</v>
      </c>
    </row>
    <row r="2898" spans="32:32" x14ac:dyDescent="0.2">
      <c r="AF2898" t="s">
        <v>473</v>
      </c>
    </row>
    <row r="2899" spans="32:32" x14ac:dyDescent="0.2">
      <c r="AF2899" t="s">
        <v>473</v>
      </c>
    </row>
    <row r="2900" spans="32:32" x14ac:dyDescent="0.2">
      <c r="AF2900" t="s">
        <v>473</v>
      </c>
    </row>
    <row r="2901" spans="32:32" x14ac:dyDescent="0.2">
      <c r="AF2901" t="s">
        <v>473</v>
      </c>
    </row>
    <row r="2902" spans="32:32" x14ac:dyDescent="0.2">
      <c r="AF2902" t="s">
        <v>473</v>
      </c>
    </row>
    <row r="2903" spans="32:32" x14ac:dyDescent="0.2">
      <c r="AF2903" t="s">
        <v>473</v>
      </c>
    </row>
    <row r="2904" spans="32:32" x14ac:dyDescent="0.2">
      <c r="AF2904" t="s">
        <v>473</v>
      </c>
    </row>
    <row r="2905" spans="32:32" x14ac:dyDescent="0.2">
      <c r="AF2905" t="s">
        <v>473</v>
      </c>
    </row>
    <row r="2906" spans="32:32" x14ac:dyDescent="0.2">
      <c r="AF2906" t="s">
        <v>473</v>
      </c>
    </row>
    <row r="2907" spans="32:32" x14ac:dyDescent="0.2">
      <c r="AF2907" t="s">
        <v>473</v>
      </c>
    </row>
    <row r="2908" spans="32:32" x14ac:dyDescent="0.2">
      <c r="AF2908" t="s">
        <v>473</v>
      </c>
    </row>
    <row r="2909" spans="32:32" x14ac:dyDescent="0.2">
      <c r="AF2909" t="s">
        <v>473</v>
      </c>
    </row>
    <row r="2910" spans="32:32" x14ac:dyDescent="0.2">
      <c r="AF2910" t="s">
        <v>473</v>
      </c>
    </row>
    <row r="2911" spans="32:32" x14ac:dyDescent="0.2">
      <c r="AF2911" t="s">
        <v>473</v>
      </c>
    </row>
    <row r="2912" spans="32:32" x14ac:dyDescent="0.2">
      <c r="AF2912" t="s">
        <v>473</v>
      </c>
    </row>
    <row r="2913" spans="32:32" x14ac:dyDescent="0.2">
      <c r="AF2913" t="s">
        <v>473</v>
      </c>
    </row>
    <row r="2914" spans="32:32" x14ac:dyDescent="0.2">
      <c r="AF2914" t="s">
        <v>473</v>
      </c>
    </row>
    <row r="2915" spans="32:32" x14ac:dyDescent="0.2">
      <c r="AF2915" t="s">
        <v>473</v>
      </c>
    </row>
    <row r="2916" spans="32:32" x14ac:dyDescent="0.2">
      <c r="AF2916" t="s">
        <v>473</v>
      </c>
    </row>
    <row r="2917" spans="32:32" x14ac:dyDescent="0.2">
      <c r="AF2917" t="s">
        <v>473</v>
      </c>
    </row>
    <row r="2918" spans="32:32" x14ac:dyDescent="0.2">
      <c r="AF2918" t="s">
        <v>473</v>
      </c>
    </row>
    <row r="2919" spans="32:32" x14ac:dyDescent="0.2">
      <c r="AF2919" t="s">
        <v>473</v>
      </c>
    </row>
    <row r="2920" spans="32:32" x14ac:dyDescent="0.2">
      <c r="AF2920" t="s">
        <v>473</v>
      </c>
    </row>
    <row r="2921" spans="32:32" x14ac:dyDescent="0.2">
      <c r="AF2921" t="s">
        <v>473</v>
      </c>
    </row>
    <row r="2922" spans="32:32" x14ac:dyDescent="0.2">
      <c r="AF2922" t="s">
        <v>473</v>
      </c>
    </row>
    <row r="2923" spans="32:32" x14ac:dyDescent="0.2">
      <c r="AF2923" t="s">
        <v>473</v>
      </c>
    </row>
    <row r="2924" spans="32:32" x14ac:dyDescent="0.2">
      <c r="AF2924" t="s">
        <v>473</v>
      </c>
    </row>
    <row r="2925" spans="32:32" x14ac:dyDescent="0.2">
      <c r="AF2925" t="s">
        <v>473</v>
      </c>
    </row>
    <row r="2926" spans="32:32" x14ac:dyDescent="0.2">
      <c r="AF2926" t="s">
        <v>473</v>
      </c>
    </row>
    <row r="2927" spans="32:32" x14ac:dyDescent="0.2">
      <c r="AF2927" t="s">
        <v>473</v>
      </c>
    </row>
    <row r="2928" spans="32:32" x14ac:dyDescent="0.2">
      <c r="AF2928" t="s">
        <v>473</v>
      </c>
    </row>
    <row r="2929" spans="32:32" x14ac:dyDescent="0.2">
      <c r="AF2929" t="s">
        <v>473</v>
      </c>
    </row>
    <row r="2930" spans="32:32" x14ac:dyDescent="0.2">
      <c r="AF2930" t="s">
        <v>473</v>
      </c>
    </row>
    <row r="2931" spans="32:32" x14ac:dyDescent="0.2">
      <c r="AF2931" t="s">
        <v>473</v>
      </c>
    </row>
    <row r="2932" spans="32:32" x14ac:dyDescent="0.2">
      <c r="AF2932" t="s">
        <v>473</v>
      </c>
    </row>
    <row r="2933" spans="32:32" x14ac:dyDescent="0.2">
      <c r="AF2933" t="s">
        <v>473</v>
      </c>
    </row>
    <row r="2934" spans="32:32" x14ac:dyDescent="0.2">
      <c r="AF2934" t="s">
        <v>473</v>
      </c>
    </row>
    <row r="2935" spans="32:32" x14ac:dyDescent="0.2">
      <c r="AF2935" t="s">
        <v>473</v>
      </c>
    </row>
    <row r="2936" spans="32:32" x14ac:dyDescent="0.2">
      <c r="AF2936" t="s">
        <v>473</v>
      </c>
    </row>
    <row r="2937" spans="32:32" x14ac:dyDescent="0.2">
      <c r="AF2937" t="s">
        <v>473</v>
      </c>
    </row>
    <row r="2938" spans="32:32" x14ac:dyDescent="0.2">
      <c r="AF2938" t="s">
        <v>473</v>
      </c>
    </row>
    <row r="2939" spans="32:32" x14ac:dyDescent="0.2">
      <c r="AF2939" t="s">
        <v>473</v>
      </c>
    </row>
    <row r="2940" spans="32:32" x14ac:dyDescent="0.2">
      <c r="AF2940" t="s">
        <v>473</v>
      </c>
    </row>
    <row r="2941" spans="32:32" x14ac:dyDescent="0.2">
      <c r="AF2941" t="s">
        <v>473</v>
      </c>
    </row>
    <row r="2942" spans="32:32" x14ac:dyDescent="0.2">
      <c r="AF2942" t="s">
        <v>473</v>
      </c>
    </row>
    <row r="2943" spans="32:32" x14ac:dyDescent="0.2">
      <c r="AF2943" t="s">
        <v>473</v>
      </c>
    </row>
    <row r="2944" spans="32:32" x14ac:dyDescent="0.2">
      <c r="AF2944" t="s">
        <v>473</v>
      </c>
    </row>
    <row r="2945" spans="32:32" x14ac:dyDescent="0.2">
      <c r="AF2945" t="s">
        <v>473</v>
      </c>
    </row>
    <row r="2946" spans="32:32" x14ac:dyDescent="0.2">
      <c r="AF2946" t="s">
        <v>473</v>
      </c>
    </row>
    <row r="2947" spans="32:32" x14ac:dyDescent="0.2">
      <c r="AF2947" t="s">
        <v>473</v>
      </c>
    </row>
    <row r="2948" spans="32:32" x14ac:dyDescent="0.2">
      <c r="AF2948" t="s">
        <v>473</v>
      </c>
    </row>
    <row r="2949" spans="32:32" x14ac:dyDescent="0.2">
      <c r="AF2949" t="s">
        <v>473</v>
      </c>
    </row>
    <row r="2950" spans="32:32" x14ac:dyDescent="0.2">
      <c r="AF2950" t="s">
        <v>473</v>
      </c>
    </row>
    <row r="2951" spans="32:32" x14ac:dyDescent="0.2">
      <c r="AF2951" t="s">
        <v>473</v>
      </c>
    </row>
    <row r="2952" spans="32:32" x14ac:dyDescent="0.2">
      <c r="AF2952" t="s">
        <v>473</v>
      </c>
    </row>
    <row r="2953" spans="32:32" x14ac:dyDescent="0.2">
      <c r="AF2953" t="s">
        <v>473</v>
      </c>
    </row>
    <row r="2954" spans="32:32" x14ac:dyDescent="0.2">
      <c r="AF2954" t="s">
        <v>473</v>
      </c>
    </row>
    <row r="2955" spans="32:32" x14ac:dyDescent="0.2">
      <c r="AF2955" t="s">
        <v>473</v>
      </c>
    </row>
    <row r="2956" spans="32:32" x14ac:dyDescent="0.2">
      <c r="AF2956" t="s">
        <v>473</v>
      </c>
    </row>
    <row r="2957" spans="32:32" x14ac:dyDescent="0.2">
      <c r="AF2957" t="s">
        <v>473</v>
      </c>
    </row>
    <row r="2958" spans="32:32" x14ac:dyDescent="0.2">
      <c r="AF2958" t="s">
        <v>473</v>
      </c>
    </row>
    <row r="2959" spans="32:32" x14ac:dyDescent="0.2">
      <c r="AF2959" t="s">
        <v>473</v>
      </c>
    </row>
    <row r="2960" spans="32:32" x14ac:dyDescent="0.2">
      <c r="AF2960" t="s">
        <v>473</v>
      </c>
    </row>
    <row r="2961" spans="32:32" x14ac:dyDescent="0.2">
      <c r="AF2961" t="s">
        <v>473</v>
      </c>
    </row>
    <row r="2962" spans="32:32" x14ac:dyDescent="0.2">
      <c r="AF2962" t="s">
        <v>473</v>
      </c>
    </row>
    <row r="2963" spans="32:32" x14ac:dyDescent="0.2">
      <c r="AF2963" t="s">
        <v>473</v>
      </c>
    </row>
    <row r="2964" spans="32:32" x14ac:dyDescent="0.2">
      <c r="AF2964" t="s">
        <v>473</v>
      </c>
    </row>
    <row r="2965" spans="32:32" x14ac:dyDescent="0.2">
      <c r="AF2965" t="s">
        <v>473</v>
      </c>
    </row>
    <row r="2966" spans="32:32" x14ac:dyDescent="0.2">
      <c r="AF2966" t="s">
        <v>473</v>
      </c>
    </row>
    <row r="2967" spans="32:32" x14ac:dyDescent="0.2">
      <c r="AF2967" t="s">
        <v>473</v>
      </c>
    </row>
    <row r="2968" spans="32:32" x14ac:dyDescent="0.2">
      <c r="AF2968" t="s">
        <v>473</v>
      </c>
    </row>
    <row r="2969" spans="32:32" x14ac:dyDescent="0.2">
      <c r="AF2969" t="s">
        <v>473</v>
      </c>
    </row>
    <row r="2970" spans="32:32" x14ac:dyDescent="0.2">
      <c r="AF2970" t="s">
        <v>473</v>
      </c>
    </row>
    <row r="2971" spans="32:32" x14ac:dyDescent="0.2">
      <c r="AF2971" t="s">
        <v>473</v>
      </c>
    </row>
    <row r="2972" spans="32:32" x14ac:dyDescent="0.2">
      <c r="AF2972" t="s">
        <v>473</v>
      </c>
    </row>
    <row r="2973" spans="32:32" x14ac:dyDescent="0.2">
      <c r="AF2973" t="s">
        <v>473</v>
      </c>
    </row>
    <row r="2974" spans="32:32" x14ac:dyDescent="0.2">
      <c r="AF2974" t="s">
        <v>473</v>
      </c>
    </row>
    <row r="2975" spans="32:32" x14ac:dyDescent="0.2">
      <c r="AF2975" t="s">
        <v>473</v>
      </c>
    </row>
    <row r="2976" spans="32:32" x14ac:dyDescent="0.2">
      <c r="AF2976" t="s">
        <v>473</v>
      </c>
    </row>
    <row r="2977" spans="32:32" x14ac:dyDescent="0.2">
      <c r="AF2977" t="s">
        <v>473</v>
      </c>
    </row>
    <row r="2978" spans="32:32" x14ac:dyDescent="0.2">
      <c r="AF2978" t="s">
        <v>473</v>
      </c>
    </row>
    <row r="2979" spans="32:32" x14ac:dyDescent="0.2">
      <c r="AF2979" t="s">
        <v>473</v>
      </c>
    </row>
    <row r="2980" spans="32:32" x14ac:dyDescent="0.2">
      <c r="AF2980" t="s">
        <v>473</v>
      </c>
    </row>
    <row r="2981" spans="32:32" x14ac:dyDescent="0.2">
      <c r="AF2981" t="s">
        <v>473</v>
      </c>
    </row>
    <row r="2982" spans="32:32" x14ac:dyDescent="0.2">
      <c r="AF2982" t="s">
        <v>473</v>
      </c>
    </row>
    <row r="2983" spans="32:32" x14ac:dyDescent="0.2">
      <c r="AF2983" t="s">
        <v>473</v>
      </c>
    </row>
    <row r="2984" spans="32:32" x14ac:dyDescent="0.2">
      <c r="AF2984" t="s">
        <v>473</v>
      </c>
    </row>
    <row r="2985" spans="32:32" x14ac:dyDescent="0.2">
      <c r="AF2985" t="s">
        <v>473</v>
      </c>
    </row>
    <row r="2986" spans="32:32" x14ac:dyDescent="0.2">
      <c r="AF2986" t="s">
        <v>473</v>
      </c>
    </row>
    <row r="2987" spans="32:32" x14ac:dyDescent="0.2">
      <c r="AF2987" t="s">
        <v>473</v>
      </c>
    </row>
    <row r="2988" spans="32:32" x14ac:dyDescent="0.2">
      <c r="AF2988" t="s">
        <v>473</v>
      </c>
    </row>
    <row r="2989" spans="32:32" x14ac:dyDescent="0.2">
      <c r="AF2989" t="s">
        <v>473</v>
      </c>
    </row>
    <row r="2990" spans="32:32" x14ac:dyDescent="0.2">
      <c r="AF2990" t="s">
        <v>473</v>
      </c>
    </row>
    <row r="2991" spans="32:32" x14ac:dyDescent="0.2">
      <c r="AF2991" t="s">
        <v>473</v>
      </c>
    </row>
    <row r="2992" spans="32:32" x14ac:dyDescent="0.2">
      <c r="AF2992" t="s">
        <v>473</v>
      </c>
    </row>
    <row r="2993" spans="32:32" x14ac:dyDescent="0.2">
      <c r="AF2993" t="s">
        <v>473</v>
      </c>
    </row>
    <row r="2994" spans="32:32" x14ac:dyDescent="0.2">
      <c r="AF2994" t="s">
        <v>473</v>
      </c>
    </row>
    <row r="2995" spans="32:32" x14ac:dyDescent="0.2">
      <c r="AF2995" t="s">
        <v>473</v>
      </c>
    </row>
    <row r="2996" spans="32:32" x14ac:dyDescent="0.2">
      <c r="AF2996" t="s">
        <v>473</v>
      </c>
    </row>
    <row r="2997" spans="32:32" x14ac:dyDescent="0.2">
      <c r="AF2997" t="s">
        <v>473</v>
      </c>
    </row>
    <row r="2998" spans="32:32" x14ac:dyDescent="0.2">
      <c r="AF2998" t="s">
        <v>473</v>
      </c>
    </row>
    <row r="2999" spans="32:32" x14ac:dyDescent="0.2">
      <c r="AF2999" t="s">
        <v>473</v>
      </c>
    </row>
    <row r="3000" spans="32:32" x14ac:dyDescent="0.2">
      <c r="AF3000" t="s">
        <v>473</v>
      </c>
    </row>
    <row r="3001" spans="32:32" x14ac:dyDescent="0.2">
      <c r="AF3001" t="s">
        <v>473</v>
      </c>
    </row>
    <row r="3002" spans="32:32" x14ac:dyDescent="0.2">
      <c r="AF3002" t="s">
        <v>473</v>
      </c>
    </row>
    <row r="3003" spans="32:32" x14ac:dyDescent="0.2">
      <c r="AF3003" t="s">
        <v>473</v>
      </c>
    </row>
    <row r="3004" spans="32:32" x14ac:dyDescent="0.2">
      <c r="AF3004" t="s">
        <v>473</v>
      </c>
    </row>
    <row r="3005" spans="32:32" x14ac:dyDescent="0.2">
      <c r="AF3005" t="s">
        <v>473</v>
      </c>
    </row>
    <row r="3006" spans="32:32" x14ac:dyDescent="0.2">
      <c r="AF3006" t="s">
        <v>473</v>
      </c>
    </row>
    <row r="3007" spans="32:32" x14ac:dyDescent="0.2">
      <c r="AF3007" t="s">
        <v>473</v>
      </c>
    </row>
    <row r="3008" spans="32:32" x14ac:dyDescent="0.2">
      <c r="AF3008" t="s">
        <v>473</v>
      </c>
    </row>
    <row r="3009" spans="32:32" x14ac:dyDescent="0.2">
      <c r="AF3009" t="s">
        <v>473</v>
      </c>
    </row>
    <row r="3010" spans="32:32" x14ac:dyDescent="0.2">
      <c r="AF3010" t="s">
        <v>473</v>
      </c>
    </row>
    <row r="3011" spans="32:32" x14ac:dyDescent="0.2">
      <c r="AF3011" t="s">
        <v>473</v>
      </c>
    </row>
    <row r="3012" spans="32:32" x14ac:dyDescent="0.2">
      <c r="AF3012" t="s">
        <v>473</v>
      </c>
    </row>
    <row r="3013" spans="32:32" x14ac:dyDescent="0.2">
      <c r="AF3013" t="s">
        <v>473</v>
      </c>
    </row>
    <row r="3014" spans="32:32" x14ac:dyDescent="0.2">
      <c r="AF3014" t="s">
        <v>473</v>
      </c>
    </row>
    <row r="3015" spans="32:32" x14ac:dyDescent="0.2">
      <c r="AF3015" t="s">
        <v>473</v>
      </c>
    </row>
    <row r="3016" spans="32:32" x14ac:dyDescent="0.2">
      <c r="AF3016" t="s">
        <v>473</v>
      </c>
    </row>
    <row r="3017" spans="32:32" x14ac:dyDescent="0.2">
      <c r="AF3017" t="s">
        <v>473</v>
      </c>
    </row>
    <row r="3018" spans="32:32" x14ac:dyDescent="0.2">
      <c r="AF3018" t="s">
        <v>473</v>
      </c>
    </row>
    <row r="3019" spans="32:32" x14ac:dyDescent="0.2">
      <c r="AF3019" t="s">
        <v>473</v>
      </c>
    </row>
    <row r="3020" spans="32:32" x14ac:dyDescent="0.2">
      <c r="AF3020" t="s">
        <v>473</v>
      </c>
    </row>
    <row r="3021" spans="32:32" x14ac:dyDescent="0.2">
      <c r="AF3021" t="s">
        <v>473</v>
      </c>
    </row>
    <row r="3022" spans="32:32" x14ac:dyDescent="0.2">
      <c r="AF3022" t="s">
        <v>473</v>
      </c>
    </row>
    <row r="3023" spans="32:32" x14ac:dyDescent="0.2">
      <c r="AF3023" t="s">
        <v>473</v>
      </c>
    </row>
    <row r="3024" spans="32:32" x14ac:dyDescent="0.2">
      <c r="AF3024" t="s">
        <v>473</v>
      </c>
    </row>
    <row r="3025" spans="32:32" x14ac:dyDescent="0.2">
      <c r="AF3025" t="s">
        <v>473</v>
      </c>
    </row>
    <row r="3026" spans="32:32" x14ac:dyDescent="0.2">
      <c r="AF3026" t="s">
        <v>473</v>
      </c>
    </row>
    <row r="3027" spans="32:32" x14ac:dyDescent="0.2">
      <c r="AF3027" t="s">
        <v>473</v>
      </c>
    </row>
    <row r="3028" spans="32:32" x14ac:dyDescent="0.2">
      <c r="AF3028" t="s">
        <v>473</v>
      </c>
    </row>
    <row r="3029" spans="32:32" x14ac:dyDescent="0.2">
      <c r="AF3029" t="s">
        <v>473</v>
      </c>
    </row>
    <row r="3030" spans="32:32" x14ac:dyDescent="0.2">
      <c r="AF3030" t="s">
        <v>473</v>
      </c>
    </row>
    <row r="3031" spans="32:32" x14ac:dyDescent="0.2">
      <c r="AF3031" t="s">
        <v>473</v>
      </c>
    </row>
    <row r="3032" spans="32:32" x14ac:dyDescent="0.2">
      <c r="AF3032" t="s">
        <v>473</v>
      </c>
    </row>
    <row r="3033" spans="32:32" x14ac:dyDescent="0.2">
      <c r="AF3033" t="s">
        <v>473</v>
      </c>
    </row>
    <row r="3034" spans="32:32" x14ac:dyDescent="0.2">
      <c r="AF3034" t="s">
        <v>473</v>
      </c>
    </row>
    <row r="3035" spans="32:32" x14ac:dyDescent="0.2">
      <c r="AF3035" t="s">
        <v>473</v>
      </c>
    </row>
    <row r="3036" spans="32:32" x14ac:dyDescent="0.2">
      <c r="AF3036" t="s">
        <v>473</v>
      </c>
    </row>
    <row r="3037" spans="32:32" x14ac:dyDescent="0.2">
      <c r="AF3037" t="s">
        <v>473</v>
      </c>
    </row>
    <row r="3038" spans="32:32" x14ac:dyDescent="0.2">
      <c r="AF3038" t="s">
        <v>473</v>
      </c>
    </row>
    <row r="3039" spans="32:32" x14ac:dyDescent="0.2">
      <c r="AF3039" t="s">
        <v>473</v>
      </c>
    </row>
    <row r="3040" spans="32:32" x14ac:dyDescent="0.2">
      <c r="AF3040" t="s">
        <v>473</v>
      </c>
    </row>
    <row r="3041" spans="32:32" x14ac:dyDescent="0.2">
      <c r="AF3041" t="s">
        <v>473</v>
      </c>
    </row>
    <row r="3042" spans="32:32" x14ac:dyDescent="0.2">
      <c r="AF3042" t="s">
        <v>473</v>
      </c>
    </row>
    <row r="3043" spans="32:32" x14ac:dyDescent="0.2">
      <c r="AF3043" t="s">
        <v>473</v>
      </c>
    </row>
    <row r="3044" spans="32:32" x14ac:dyDescent="0.2">
      <c r="AF3044" t="s">
        <v>473</v>
      </c>
    </row>
    <row r="3045" spans="32:32" x14ac:dyDescent="0.2">
      <c r="AF3045" t="s">
        <v>473</v>
      </c>
    </row>
    <row r="3046" spans="32:32" x14ac:dyDescent="0.2">
      <c r="AF3046" t="s">
        <v>473</v>
      </c>
    </row>
    <row r="3047" spans="32:32" x14ac:dyDescent="0.2">
      <c r="AF3047" t="s">
        <v>473</v>
      </c>
    </row>
    <row r="3048" spans="32:32" x14ac:dyDescent="0.2">
      <c r="AF3048" t="s">
        <v>473</v>
      </c>
    </row>
    <row r="3049" spans="32:32" x14ac:dyDescent="0.2">
      <c r="AF3049" t="s">
        <v>473</v>
      </c>
    </row>
    <row r="3050" spans="32:32" x14ac:dyDescent="0.2">
      <c r="AF3050" t="s">
        <v>473</v>
      </c>
    </row>
    <row r="3051" spans="32:32" x14ac:dyDescent="0.2">
      <c r="AF3051" t="s">
        <v>473</v>
      </c>
    </row>
    <row r="3052" spans="32:32" x14ac:dyDescent="0.2">
      <c r="AF3052" t="s">
        <v>473</v>
      </c>
    </row>
    <row r="3053" spans="32:32" x14ac:dyDescent="0.2">
      <c r="AF3053" t="s">
        <v>473</v>
      </c>
    </row>
    <row r="3054" spans="32:32" x14ac:dyDescent="0.2">
      <c r="AF3054" t="s">
        <v>473</v>
      </c>
    </row>
    <row r="3055" spans="32:32" x14ac:dyDescent="0.2">
      <c r="AF3055" t="s">
        <v>473</v>
      </c>
    </row>
    <row r="3056" spans="32:32" x14ac:dyDescent="0.2">
      <c r="AF3056" t="s">
        <v>473</v>
      </c>
    </row>
    <row r="3057" spans="32:32" x14ac:dyDescent="0.2">
      <c r="AF3057" t="s">
        <v>473</v>
      </c>
    </row>
    <row r="3058" spans="32:32" x14ac:dyDescent="0.2">
      <c r="AF3058" t="s">
        <v>473</v>
      </c>
    </row>
    <row r="3059" spans="32:32" x14ac:dyDescent="0.2">
      <c r="AF3059" t="s">
        <v>473</v>
      </c>
    </row>
    <row r="3060" spans="32:32" x14ac:dyDescent="0.2">
      <c r="AF3060" t="s">
        <v>473</v>
      </c>
    </row>
    <row r="3061" spans="32:32" x14ac:dyDescent="0.2">
      <c r="AF3061" t="s">
        <v>473</v>
      </c>
    </row>
    <row r="3062" spans="32:32" x14ac:dyDescent="0.2">
      <c r="AF3062" t="s">
        <v>473</v>
      </c>
    </row>
    <row r="3063" spans="32:32" x14ac:dyDescent="0.2">
      <c r="AF3063" t="s">
        <v>473</v>
      </c>
    </row>
    <row r="3064" spans="32:32" x14ac:dyDescent="0.2">
      <c r="AF3064" t="s">
        <v>473</v>
      </c>
    </row>
    <row r="3065" spans="32:32" x14ac:dyDescent="0.2">
      <c r="AF3065" t="s">
        <v>473</v>
      </c>
    </row>
    <row r="3066" spans="32:32" x14ac:dyDescent="0.2">
      <c r="AF3066" t="s">
        <v>473</v>
      </c>
    </row>
    <row r="3067" spans="32:32" x14ac:dyDescent="0.2">
      <c r="AF3067" t="s">
        <v>473</v>
      </c>
    </row>
    <row r="3068" spans="32:32" x14ac:dyDescent="0.2">
      <c r="AF3068" t="s">
        <v>473</v>
      </c>
    </row>
    <row r="3069" spans="32:32" x14ac:dyDescent="0.2">
      <c r="AF3069" t="s">
        <v>473</v>
      </c>
    </row>
    <row r="3070" spans="32:32" x14ac:dyDescent="0.2">
      <c r="AF3070" t="s">
        <v>473</v>
      </c>
    </row>
    <row r="3071" spans="32:32" x14ac:dyDescent="0.2">
      <c r="AF3071" t="s">
        <v>473</v>
      </c>
    </row>
    <row r="3072" spans="32:32" x14ac:dyDescent="0.2">
      <c r="AF3072" t="s">
        <v>473</v>
      </c>
    </row>
    <row r="3073" spans="32:32" x14ac:dyDescent="0.2">
      <c r="AF3073" t="s">
        <v>473</v>
      </c>
    </row>
    <row r="3074" spans="32:32" x14ac:dyDescent="0.2">
      <c r="AF3074" t="s">
        <v>473</v>
      </c>
    </row>
    <row r="3075" spans="32:32" x14ac:dyDescent="0.2">
      <c r="AF3075" t="s">
        <v>473</v>
      </c>
    </row>
    <row r="3076" spans="32:32" x14ac:dyDescent="0.2">
      <c r="AF3076" t="s">
        <v>473</v>
      </c>
    </row>
    <row r="3077" spans="32:32" x14ac:dyDescent="0.2">
      <c r="AF3077" t="s">
        <v>473</v>
      </c>
    </row>
    <row r="3078" spans="32:32" x14ac:dyDescent="0.2">
      <c r="AF3078" t="s">
        <v>473</v>
      </c>
    </row>
    <row r="3079" spans="32:32" x14ac:dyDescent="0.2">
      <c r="AF3079" t="s">
        <v>473</v>
      </c>
    </row>
    <row r="3080" spans="32:32" x14ac:dyDescent="0.2">
      <c r="AF3080" t="s">
        <v>473</v>
      </c>
    </row>
    <row r="3081" spans="32:32" x14ac:dyDescent="0.2">
      <c r="AF3081" t="s">
        <v>473</v>
      </c>
    </row>
    <row r="3082" spans="32:32" x14ac:dyDescent="0.2">
      <c r="AF3082" t="s">
        <v>473</v>
      </c>
    </row>
    <row r="3083" spans="32:32" x14ac:dyDescent="0.2">
      <c r="AF3083" t="s">
        <v>473</v>
      </c>
    </row>
    <row r="3084" spans="32:32" x14ac:dyDescent="0.2">
      <c r="AF3084" t="s">
        <v>473</v>
      </c>
    </row>
    <row r="3085" spans="32:32" x14ac:dyDescent="0.2">
      <c r="AF3085" t="s">
        <v>473</v>
      </c>
    </row>
    <row r="3086" spans="32:32" x14ac:dyDescent="0.2">
      <c r="AF3086" t="s">
        <v>473</v>
      </c>
    </row>
    <row r="3087" spans="32:32" x14ac:dyDescent="0.2">
      <c r="AF3087" t="s">
        <v>473</v>
      </c>
    </row>
    <row r="3088" spans="32:32" x14ac:dyDescent="0.2">
      <c r="AF3088" t="s">
        <v>473</v>
      </c>
    </row>
    <row r="3089" spans="32:32" x14ac:dyDescent="0.2">
      <c r="AF3089" t="s">
        <v>473</v>
      </c>
    </row>
    <row r="3090" spans="32:32" x14ac:dyDescent="0.2">
      <c r="AF3090" t="s">
        <v>473</v>
      </c>
    </row>
    <row r="3091" spans="32:32" x14ac:dyDescent="0.2">
      <c r="AF3091" t="s">
        <v>473</v>
      </c>
    </row>
    <row r="3092" spans="32:32" x14ac:dyDescent="0.2">
      <c r="AF3092" t="s">
        <v>473</v>
      </c>
    </row>
    <row r="3093" spans="32:32" x14ac:dyDescent="0.2">
      <c r="AF3093" t="s">
        <v>473</v>
      </c>
    </row>
    <row r="3094" spans="32:32" x14ac:dyDescent="0.2">
      <c r="AF3094" t="s">
        <v>473</v>
      </c>
    </row>
    <row r="3095" spans="32:32" x14ac:dyDescent="0.2">
      <c r="AF3095" t="s">
        <v>473</v>
      </c>
    </row>
    <row r="3096" spans="32:32" x14ac:dyDescent="0.2">
      <c r="AF3096" t="s">
        <v>473</v>
      </c>
    </row>
    <row r="3097" spans="32:32" x14ac:dyDescent="0.2">
      <c r="AF3097" t="s">
        <v>473</v>
      </c>
    </row>
    <row r="3098" spans="32:32" x14ac:dyDescent="0.2">
      <c r="AF3098" t="s">
        <v>473</v>
      </c>
    </row>
    <row r="3099" spans="32:32" x14ac:dyDescent="0.2">
      <c r="AF3099" t="s">
        <v>473</v>
      </c>
    </row>
    <row r="3100" spans="32:32" x14ac:dyDescent="0.2">
      <c r="AF3100" t="s">
        <v>473</v>
      </c>
    </row>
    <row r="3101" spans="32:32" x14ac:dyDescent="0.2">
      <c r="AF3101" t="s">
        <v>473</v>
      </c>
    </row>
    <row r="3102" spans="32:32" x14ac:dyDescent="0.2">
      <c r="AF3102" t="s">
        <v>473</v>
      </c>
    </row>
    <row r="3103" spans="32:32" x14ac:dyDescent="0.2">
      <c r="AF3103" t="s">
        <v>473</v>
      </c>
    </row>
    <row r="3104" spans="32:32" x14ac:dyDescent="0.2">
      <c r="AF3104" t="s">
        <v>473</v>
      </c>
    </row>
    <row r="3105" spans="32:32" x14ac:dyDescent="0.2">
      <c r="AF3105" t="s">
        <v>473</v>
      </c>
    </row>
    <row r="3106" spans="32:32" x14ac:dyDescent="0.2">
      <c r="AF3106" t="s">
        <v>473</v>
      </c>
    </row>
    <row r="3107" spans="32:32" x14ac:dyDescent="0.2">
      <c r="AF3107" t="s">
        <v>473</v>
      </c>
    </row>
    <row r="3108" spans="32:32" x14ac:dyDescent="0.2">
      <c r="AF3108" t="s">
        <v>473</v>
      </c>
    </row>
    <row r="3109" spans="32:32" x14ac:dyDescent="0.2">
      <c r="AF3109" t="s">
        <v>473</v>
      </c>
    </row>
    <row r="3110" spans="32:32" x14ac:dyDescent="0.2">
      <c r="AF3110" t="s">
        <v>473</v>
      </c>
    </row>
    <row r="3111" spans="32:32" x14ac:dyDescent="0.2">
      <c r="AF3111" t="s">
        <v>473</v>
      </c>
    </row>
    <row r="3112" spans="32:32" x14ac:dyDescent="0.2">
      <c r="AF3112" t="s">
        <v>473</v>
      </c>
    </row>
    <row r="3113" spans="32:32" x14ac:dyDescent="0.2">
      <c r="AF3113" t="s">
        <v>473</v>
      </c>
    </row>
    <row r="3114" spans="32:32" x14ac:dyDescent="0.2">
      <c r="AF3114" t="s">
        <v>473</v>
      </c>
    </row>
    <row r="3115" spans="32:32" x14ac:dyDescent="0.2">
      <c r="AF3115" t="s">
        <v>473</v>
      </c>
    </row>
    <row r="3116" spans="32:32" x14ac:dyDescent="0.2">
      <c r="AF3116" t="s">
        <v>473</v>
      </c>
    </row>
    <row r="3117" spans="32:32" x14ac:dyDescent="0.2">
      <c r="AF3117" t="s">
        <v>473</v>
      </c>
    </row>
    <row r="3118" spans="32:32" x14ac:dyDescent="0.2">
      <c r="AF3118" t="s">
        <v>473</v>
      </c>
    </row>
    <row r="3119" spans="32:32" x14ac:dyDescent="0.2">
      <c r="AF3119" t="s">
        <v>473</v>
      </c>
    </row>
    <row r="3120" spans="32:32" x14ac:dyDescent="0.2">
      <c r="AF3120" t="s">
        <v>473</v>
      </c>
    </row>
    <row r="3121" spans="32:32" x14ac:dyDescent="0.2">
      <c r="AF3121" t="s">
        <v>473</v>
      </c>
    </row>
    <row r="3122" spans="32:32" x14ac:dyDescent="0.2">
      <c r="AF3122" t="s">
        <v>473</v>
      </c>
    </row>
    <row r="3123" spans="32:32" x14ac:dyDescent="0.2">
      <c r="AF3123" t="s">
        <v>473</v>
      </c>
    </row>
    <row r="3124" spans="32:32" x14ac:dyDescent="0.2">
      <c r="AF3124" t="s">
        <v>473</v>
      </c>
    </row>
    <row r="3125" spans="32:32" x14ac:dyDescent="0.2">
      <c r="AF3125" t="s">
        <v>473</v>
      </c>
    </row>
    <row r="3126" spans="32:32" x14ac:dyDescent="0.2">
      <c r="AF3126" t="s">
        <v>473</v>
      </c>
    </row>
    <row r="3127" spans="32:32" x14ac:dyDescent="0.2">
      <c r="AF3127" t="s">
        <v>473</v>
      </c>
    </row>
    <row r="3128" spans="32:32" x14ac:dyDescent="0.2">
      <c r="AF3128" t="s">
        <v>473</v>
      </c>
    </row>
    <row r="3129" spans="32:32" x14ac:dyDescent="0.2">
      <c r="AF3129" t="s">
        <v>473</v>
      </c>
    </row>
    <row r="3130" spans="32:32" x14ac:dyDescent="0.2">
      <c r="AF3130" t="s">
        <v>473</v>
      </c>
    </row>
    <row r="3131" spans="32:32" x14ac:dyDescent="0.2">
      <c r="AF3131" t="s">
        <v>473</v>
      </c>
    </row>
    <row r="3132" spans="32:32" x14ac:dyDescent="0.2">
      <c r="AF3132" t="s">
        <v>473</v>
      </c>
    </row>
    <row r="3133" spans="32:32" x14ac:dyDescent="0.2">
      <c r="AF3133" t="s">
        <v>473</v>
      </c>
    </row>
    <row r="3134" spans="32:32" x14ac:dyDescent="0.2">
      <c r="AF3134" t="s">
        <v>473</v>
      </c>
    </row>
    <row r="3135" spans="32:32" x14ac:dyDescent="0.2">
      <c r="AF3135" t="s">
        <v>473</v>
      </c>
    </row>
    <row r="3136" spans="32:32" x14ac:dyDescent="0.2">
      <c r="AF3136" t="s">
        <v>473</v>
      </c>
    </row>
    <row r="3137" spans="32:32" x14ac:dyDescent="0.2">
      <c r="AF3137" t="s">
        <v>473</v>
      </c>
    </row>
    <row r="3138" spans="32:32" x14ac:dyDescent="0.2">
      <c r="AF3138" t="s">
        <v>473</v>
      </c>
    </row>
    <row r="3139" spans="32:32" x14ac:dyDescent="0.2">
      <c r="AF3139" t="s">
        <v>473</v>
      </c>
    </row>
    <row r="3140" spans="32:32" x14ac:dyDescent="0.2">
      <c r="AF3140" t="s">
        <v>473</v>
      </c>
    </row>
    <row r="3141" spans="32:32" x14ac:dyDescent="0.2">
      <c r="AF3141" t="s">
        <v>473</v>
      </c>
    </row>
    <row r="3142" spans="32:32" x14ac:dyDescent="0.2">
      <c r="AF3142" t="s">
        <v>473</v>
      </c>
    </row>
    <row r="3143" spans="32:32" x14ac:dyDescent="0.2">
      <c r="AF3143" t="s">
        <v>473</v>
      </c>
    </row>
    <row r="3144" spans="32:32" x14ac:dyDescent="0.2">
      <c r="AF3144" t="s">
        <v>473</v>
      </c>
    </row>
    <row r="3145" spans="32:32" x14ac:dyDescent="0.2">
      <c r="AF3145" t="s">
        <v>473</v>
      </c>
    </row>
    <row r="3146" spans="32:32" x14ac:dyDescent="0.2">
      <c r="AF3146" t="s">
        <v>473</v>
      </c>
    </row>
    <row r="3147" spans="32:32" x14ac:dyDescent="0.2">
      <c r="AF3147" t="s">
        <v>473</v>
      </c>
    </row>
    <row r="3148" spans="32:32" x14ac:dyDescent="0.2">
      <c r="AF3148" t="s">
        <v>473</v>
      </c>
    </row>
    <row r="3149" spans="32:32" x14ac:dyDescent="0.2">
      <c r="AF3149" t="s">
        <v>473</v>
      </c>
    </row>
    <row r="3150" spans="32:32" x14ac:dyDescent="0.2">
      <c r="AF3150" t="s">
        <v>473</v>
      </c>
    </row>
    <row r="3151" spans="32:32" x14ac:dyDescent="0.2">
      <c r="AF3151" t="s">
        <v>473</v>
      </c>
    </row>
    <row r="3152" spans="32:32" x14ac:dyDescent="0.2">
      <c r="AF3152" t="s">
        <v>473</v>
      </c>
    </row>
    <row r="3153" spans="32:32" x14ac:dyDescent="0.2">
      <c r="AF3153" t="s">
        <v>473</v>
      </c>
    </row>
    <row r="3154" spans="32:32" x14ac:dyDescent="0.2">
      <c r="AF3154" t="s">
        <v>473</v>
      </c>
    </row>
    <row r="3155" spans="32:32" x14ac:dyDescent="0.2">
      <c r="AF3155" t="s">
        <v>473</v>
      </c>
    </row>
    <row r="3156" spans="32:32" x14ac:dyDescent="0.2">
      <c r="AF3156" t="s">
        <v>473</v>
      </c>
    </row>
    <row r="3157" spans="32:32" x14ac:dyDescent="0.2">
      <c r="AF3157" t="s">
        <v>473</v>
      </c>
    </row>
    <row r="3158" spans="32:32" x14ac:dyDescent="0.2">
      <c r="AF3158" t="s">
        <v>473</v>
      </c>
    </row>
    <row r="3159" spans="32:32" x14ac:dyDescent="0.2">
      <c r="AF3159" t="s">
        <v>473</v>
      </c>
    </row>
    <row r="3160" spans="32:32" x14ac:dyDescent="0.2">
      <c r="AF3160" t="s">
        <v>473</v>
      </c>
    </row>
    <row r="3161" spans="32:32" x14ac:dyDescent="0.2">
      <c r="AF3161" t="s">
        <v>473</v>
      </c>
    </row>
    <row r="3162" spans="32:32" x14ac:dyDescent="0.2">
      <c r="AF3162" t="s">
        <v>473</v>
      </c>
    </row>
    <row r="3163" spans="32:32" x14ac:dyDescent="0.2">
      <c r="AF3163" t="s">
        <v>473</v>
      </c>
    </row>
    <row r="3164" spans="32:32" x14ac:dyDescent="0.2">
      <c r="AF3164" t="s">
        <v>473</v>
      </c>
    </row>
    <row r="3165" spans="32:32" x14ac:dyDescent="0.2">
      <c r="AF3165" t="s">
        <v>473</v>
      </c>
    </row>
    <row r="3166" spans="32:32" x14ac:dyDescent="0.2">
      <c r="AF3166" t="s">
        <v>473</v>
      </c>
    </row>
    <row r="3167" spans="32:32" x14ac:dyDescent="0.2">
      <c r="AF3167" t="s">
        <v>473</v>
      </c>
    </row>
    <row r="3168" spans="32:32" x14ac:dyDescent="0.2">
      <c r="AF3168" t="s">
        <v>473</v>
      </c>
    </row>
    <row r="3169" spans="32:32" x14ac:dyDescent="0.2">
      <c r="AF3169" t="s">
        <v>473</v>
      </c>
    </row>
    <row r="3170" spans="32:32" x14ac:dyDescent="0.2">
      <c r="AF3170" t="s">
        <v>473</v>
      </c>
    </row>
    <row r="3171" spans="32:32" x14ac:dyDescent="0.2">
      <c r="AF3171" t="s">
        <v>473</v>
      </c>
    </row>
    <row r="3172" spans="32:32" x14ac:dyDescent="0.2">
      <c r="AF3172" t="s">
        <v>473</v>
      </c>
    </row>
    <row r="3173" spans="32:32" x14ac:dyDescent="0.2">
      <c r="AF3173" t="s">
        <v>473</v>
      </c>
    </row>
    <row r="3174" spans="32:32" x14ac:dyDescent="0.2">
      <c r="AF3174" t="s">
        <v>473</v>
      </c>
    </row>
    <row r="3175" spans="32:32" x14ac:dyDescent="0.2">
      <c r="AF3175" t="s">
        <v>473</v>
      </c>
    </row>
    <row r="3176" spans="32:32" x14ac:dyDescent="0.2">
      <c r="AF3176" t="s">
        <v>473</v>
      </c>
    </row>
    <row r="3177" spans="32:32" x14ac:dyDescent="0.2">
      <c r="AF3177" t="s">
        <v>473</v>
      </c>
    </row>
    <row r="3178" spans="32:32" x14ac:dyDescent="0.2">
      <c r="AF3178" t="s">
        <v>473</v>
      </c>
    </row>
    <row r="3179" spans="32:32" x14ac:dyDescent="0.2">
      <c r="AF3179" t="s">
        <v>473</v>
      </c>
    </row>
    <row r="3180" spans="32:32" x14ac:dyDescent="0.2">
      <c r="AF3180" t="s">
        <v>473</v>
      </c>
    </row>
    <row r="3181" spans="32:32" x14ac:dyDescent="0.2">
      <c r="AF3181" t="s">
        <v>473</v>
      </c>
    </row>
    <row r="3182" spans="32:32" x14ac:dyDescent="0.2">
      <c r="AF3182" t="s">
        <v>473</v>
      </c>
    </row>
    <row r="3183" spans="32:32" x14ac:dyDescent="0.2">
      <c r="AF3183" t="s">
        <v>473</v>
      </c>
    </row>
    <row r="3184" spans="32:32" x14ac:dyDescent="0.2">
      <c r="AF3184" t="s">
        <v>473</v>
      </c>
    </row>
    <row r="3185" spans="32:32" x14ac:dyDescent="0.2">
      <c r="AF3185" t="s">
        <v>473</v>
      </c>
    </row>
    <row r="3186" spans="32:32" x14ac:dyDescent="0.2">
      <c r="AF3186" t="s">
        <v>473</v>
      </c>
    </row>
    <row r="3187" spans="32:32" x14ac:dyDescent="0.2">
      <c r="AF3187" t="s">
        <v>473</v>
      </c>
    </row>
    <row r="3188" spans="32:32" x14ac:dyDescent="0.2">
      <c r="AF3188" t="s">
        <v>473</v>
      </c>
    </row>
    <row r="3189" spans="32:32" x14ac:dyDescent="0.2">
      <c r="AF3189" t="s">
        <v>473</v>
      </c>
    </row>
    <row r="3190" spans="32:32" x14ac:dyDescent="0.2">
      <c r="AF3190" t="s">
        <v>473</v>
      </c>
    </row>
    <row r="3191" spans="32:32" x14ac:dyDescent="0.2">
      <c r="AF3191" t="s">
        <v>473</v>
      </c>
    </row>
    <row r="3192" spans="32:32" x14ac:dyDescent="0.2">
      <c r="AF3192" t="s">
        <v>473</v>
      </c>
    </row>
    <row r="3193" spans="32:32" x14ac:dyDescent="0.2">
      <c r="AF3193" t="s">
        <v>473</v>
      </c>
    </row>
    <row r="3194" spans="32:32" x14ac:dyDescent="0.2">
      <c r="AF3194" t="s">
        <v>473</v>
      </c>
    </row>
    <row r="3195" spans="32:32" x14ac:dyDescent="0.2">
      <c r="AF3195" t="s">
        <v>473</v>
      </c>
    </row>
    <row r="3196" spans="32:32" x14ac:dyDescent="0.2">
      <c r="AF3196" t="s">
        <v>473</v>
      </c>
    </row>
    <row r="3197" spans="32:32" x14ac:dyDescent="0.2">
      <c r="AF3197" t="s">
        <v>473</v>
      </c>
    </row>
    <row r="3198" spans="32:32" x14ac:dyDescent="0.2">
      <c r="AF3198" t="s">
        <v>473</v>
      </c>
    </row>
    <row r="3199" spans="32:32" x14ac:dyDescent="0.2">
      <c r="AF3199" t="s">
        <v>473</v>
      </c>
    </row>
    <row r="3200" spans="32:32" x14ac:dyDescent="0.2">
      <c r="AF3200" t="s">
        <v>473</v>
      </c>
    </row>
    <row r="3201" spans="32:32" x14ac:dyDescent="0.2">
      <c r="AF3201" t="s">
        <v>473</v>
      </c>
    </row>
    <row r="3202" spans="32:32" x14ac:dyDescent="0.2">
      <c r="AF3202" t="s">
        <v>473</v>
      </c>
    </row>
    <row r="3203" spans="32:32" x14ac:dyDescent="0.2">
      <c r="AF3203" t="s">
        <v>473</v>
      </c>
    </row>
    <row r="3204" spans="32:32" x14ac:dyDescent="0.2">
      <c r="AF3204" t="s">
        <v>473</v>
      </c>
    </row>
    <row r="3205" spans="32:32" x14ac:dyDescent="0.2">
      <c r="AF3205" t="s">
        <v>473</v>
      </c>
    </row>
    <row r="3206" spans="32:32" x14ac:dyDescent="0.2">
      <c r="AF3206" t="s">
        <v>473</v>
      </c>
    </row>
    <row r="3207" spans="32:32" x14ac:dyDescent="0.2">
      <c r="AF3207" t="s">
        <v>473</v>
      </c>
    </row>
    <row r="3208" spans="32:32" x14ac:dyDescent="0.2">
      <c r="AF3208" t="s">
        <v>473</v>
      </c>
    </row>
    <row r="3209" spans="32:32" x14ac:dyDescent="0.2">
      <c r="AF3209" t="s">
        <v>473</v>
      </c>
    </row>
    <row r="3210" spans="32:32" x14ac:dyDescent="0.2">
      <c r="AF3210" t="s">
        <v>473</v>
      </c>
    </row>
    <row r="3211" spans="32:32" x14ac:dyDescent="0.2">
      <c r="AF3211" t="s">
        <v>473</v>
      </c>
    </row>
    <row r="3212" spans="32:32" x14ac:dyDescent="0.2">
      <c r="AF3212" t="s">
        <v>473</v>
      </c>
    </row>
    <row r="3213" spans="32:32" x14ac:dyDescent="0.2">
      <c r="AF3213" t="s">
        <v>473</v>
      </c>
    </row>
    <row r="3214" spans="32:32" x14ac:dyDescent="0.2">
      <c r="AF3214" t="s">
        <v>473</v>
      </c>
    </row>
    <row r="3215" spans="32:32" x14ac:dyDescent="0.2">
      <c r="AF3215" t="s">
        <v>473</v>
      </c>
    </row>
    <row r="3216" spans="32:32" x14ac:dyDescent="0.2">
      <c r="AF3216" t="s">
        <v>473</v>
      </c>
    </row>
    <row r="3217" spans="32:32" x14ac:dyDescent="0.2">
      <c r="AF3217" t="s">
        <v>473</v>
      </c>
    </row>
    <row r="3218" spans="32:32" x14ac:dyDescent="0.2">
      <c r="AF3218" t="s">
        <v>473</v>
      </c>
    </row>
    <row r="3219" spans="32:32" x14ac:dyDescent="0.2">
      <c r="AF3219" t="s">
        <v>473</v>
      </c>
    </row>
    <row r="3220" spans="32:32" x14ac:dyDescent="0.2">
      <c r="AF3220" t="s">
        <v>473</v>
      </c>
    </row>
    <row r="3221" spans="32:32" x14ac:dyDescent="0.2">
      <c r="AF3221" t="s">
        <v>473</v>
      </c>
    </row>
    <row r="3222" spans="32:32" x14ac:dyDescent="0.2">
      <c r="AF3222" t="s">
        <v>473</v>
      </c>
    </row>
    <row r="3223" spans="32:32" x14ac:dyDescent="0.2">
      <c r="AF3223" t="s">
        <v>473</v>
      </c>
    </row>
    <row r="3224" spans="32:32" x14ac:dyDescent="0.2">
      <c r="AF3224" t="s">
        <v>473</v>
      </c>
    </row>
    <row r="3225" spans="32:32" x14ac:dyDescent="0.2">
      <c r="AF3225" t="s">
        <v>473</v>
      </c>
    </row>
    <row r="3226" spans="32:32" x14ac:dyDescent="0.2">
      <c r="AF3226" t="s">
        <v>473</v>
      </c>
    </row>
    <row r="3227" spans="32:32" x14ac:dyDescent="0.2">
      <c r="AF3227" t="s">
        <v>473</v>
      </c>
    </row>
    <row r="3228" spans="32:32" x14ac:dyDescent="0.2">
      <c r="AF3228" t="s">
        <v>473</v>
      </c>
    </row>
    <row r="3229" spans="32:32" x14ac:dyDescent="0.2">
      <c r="AF3229" t="s">
        <v>473</v>
      </c>
    </row>
    <row r="3230" spans="32:32" x14ac:dyDescent="0.2">
      <c r="AF3230" t="s">
        <v>473</v>
      </c>
    </row>
    <row r="3231" spans="32:32" x14ac:dyDescent="0.2">
      <c r="AF3231" t="s">
        <v>473</v>
      </c>
    </row>
    <row r="3232" spans="32:32" x14ac:dyDescent="0.2">
      <c r="AF3232" t="s">
        <v>473</v>
      </c>
    </row>
    <row r="3233" spans="32:32" x14ac:dyDescent="0.2">
      <c r="AF3233" t="s">
        <v>473</v>
      </c>
    </row>
    <row r="3234" spans="32:32" x14ac:dyDescent="0.2">
      <c r="AF3234" t="s">
        <v>473</v>
      </c>
    </row>
    <row r="3235" spans="32:32" x14ac:dyDescent="0.2">
      <c r="AF3235" t="s">
        <v>473</v>
      </c>
    </row>
    <row r="3236" spans="32:32" x14ac:dyDescent="0.2">
      <c r="AF3236" t="s">
        <v>473</v>
      </c>
    </row>
    <row r="3237" spans="32:32" x14ac:dyDescent="0.2">
      <c r="AF3237" t="s">
        <v>473</v>
      </c>
    </row>
    <row r="3238" spans="32:32" x14ac:dyDescent="0.2">
      <c r="AF3238" t="s">
        <v>473</v>
      </c>
    </row>
    <row r="3239" spans="32:32" x14ac:dyDescent="0.2">
      <c r="AF3239" t="s">
        <v>473</v>
      </c>
    </row>
    <row r="3240" spans="32:32" x14ac:dyDescent="0.2">
      <c r="AF3240" t="s">
        <v>473</v>
      </c>
    </row>
    <row r="3241" spans="32:32" x14ac:dyDescent="0.2">
      <c r="AF3241" t="s">
        <v>473</v>
      </c>
    </row>
    <row r="3242" spans="32:32" x14ac:dyDescent="0.2">
      <c r="AF3242" t="s">
        <v>473</v>
      </c>
    </row>
    <row r="3243" spans="32:32" x14ac:dyDescent="0.2">
      <c r="AF3243" t="s">
        <v>473</v>
      </c>
    </row>
    <row r="3244" spans="32:32" x14ac:dyDescent="0.2">
      <c r="AF3244" t="s">
        <v>473</v>
      </c>
    </row>
    <row r="3245" spans="32:32" x14ac:dyDescent="0.2">
      <c r="AF3245" t="s">
        <v>473</v>
      </c>
    </row>
    <row r="3246" spans="32:32" x14ac:dyDescent="0.2">
      <c r="AF3246" t="s">
        <v>473</v>
      </c>
    </row>
    <row r="3247" spans="32:32" x14ac:dyDescent="0.2">
      <c r="AF3247" t="s">
        <v>473</v>
      </c>
    </row>
    <row r="3248" spans="32:32" x14ac:dyDescent="0.2">
      <c r="AF3248" t="s">
        <v>473</v>
      </c>
    </row>
    <row r="3249" spans="32:32" x14ac:dyDescent="0.2">
      <c r="AF3249" t="s">
        <v>473</v>
      </c>
    </row>
    <row r="3250" spans="32:32" x14ac:dyDescent="0.2">
      <c r="AF3250" t="s">
        <v>473</v>
      </c>
    </row>
    <row r="3251" spans="32:32" x14ac:dyDescent="0.2">
      <c r="AF3251" t="s">
        <v>473</v>
      </c>
    </row>
    <row r="3252" spans="32:32" x14ac:dyDescent="0.2">
      <c r="AF3252" t="s">
        <v>473</v>
      </c>
    </row>
    <row r="3253" spans="32:32" x14ac:dyDescent="0.2">
      <c r="AF3253" t="s">
        <v>473</v>
      </c>
    </row>
    <row r="3254" spans="32:32" x14ac:dyDescent="0.2">
      <c r="AF3254" t="s">
        <v>473</v>
      </c>
    </row>
    <row r="3255" spans="32:32" x14ac:dyDescent="0.2">
      <c r="AF3255" t="s">
        <v>473</v>
      </c>
    </row>
    <row r="3256" spans="32:32" x14ac:dyDescent="0.2">
      <c r="AF3256" t="s">
        <v>473</v>
      </c>
    </row>
    <row r="3257" spans="32:32" x14ac:dyDescent="0.2">
      <c r="AF3257" t="s">
        <v>473</v>
      </c>
    </row>
    <row r="3258" spans="32:32" x14ac:dyDescent="0.2">
      <c r="AF3258" t="s">
        <v>473</v>
      </c>
    </row>
    <row r="3259" spans="32:32" x14ac:dyDescent="0.2">
      <c r="AF3259" t="s">
        <v>473</v>
      </c>
    </row>
    <row r="3260" spans="32:32" x14ac:dyDescent="0.2">
      <c r="AF3260" t="s">
        <v>473</v>
      </c>
    </row>
    <row r="3261" spans="32:32" x14ac:dyDescent="0.2">
      <c r="AF3261" t="s">
        <v>473</v>
      </c>
    </row>
    <row r="3262" spans="32:32" x14ac:dyDescent="0.2">
      <c r="AF3262" t="s">
        <v>473</v>
      </c>
    </row>
    <row r="3263" spans="32:32" x14ac:dyDescent="0.2">
      <c r="AF3263" t="s">
        <v>473</v>
      </c>
    </row>
    <row r="3264" spans="32:32" x14ac:dyDescent="0.2">
      <c r="AF3264" t="s">
        <v>473</v>
      </c>
    </row>
    <row r="3265" spans="32:32" x14ac:dyDescent="0.2">
      <c r="AF3265" t="s">
        <v>473</v>
      </c>
    </row>
    <row r="3266" spans="32:32" x14ac:dyDescent="0.2">
      <c r="AF3266" t="s">
        <v>473</v>
      </c>
    </row>
    <row r="3267" spans="32:32" x14ac:dyDescent="0.2">
      <c r="AF3267" t="s">
        <v>473</v>
      </c>
    </row>
    <row r="3268" spans="32:32" x14ac:dyDescent="0.2">
      <c r="AF3268" t="s">
        <v>473</v>
      </c>
    </row>
    <row r="3269" spans="32:32" x14ac:dyDescent="0.2">
      <c r="AF3269" t="s">
        <v>473</v>
      </c>
    </row>
    <row r="3270" spans="32:32" x14ac:dyDescent="0.2">
      <c r="AF3270" t="s">
        <v>473</v>
      </c>
    </row>
    <row r="3271" spans="32:32" x14ac:dyDescent="0.2">
      <c r="AF3271" t="s">
        <v>473</v>
      </c>
    </row>
    <row r="3272" spans="32:32" x14ac:dyDescent="0.2">
      <c r="AF3272" t="s">
        <v>473</v>
      </c>
    </row>
    <row r="3273" spans="32:32" x14ac:dyDescent="0.2">
      <c r="AF3273" t="s">
        <v>473</v>
      </c>
    </row>
    <row r="3274" spans="32:32" x14ac:dyDescent="0.2">
      <c r="AF3274" t="s">
        <v>473</v>
      </c>
    </row>
    <row r="3275" spans="32:32" x14ac:dyDescent="0.2">
      <c r="AF3275" t="s">
        <v>473</v>
      </c>
    </row>
    <row r="3276" spans="32:32" x14ac:dyDescent="0.2">
      <c r="AF3276" t="s">
        <v>473</v>
      </c>
    </row>
    <row r="3277" spans="32:32" x14ac:dyDescent="0.2">
      <c r="AF3277" t="s">
        <v>473</v>
      </c>
    </row>
    <row r="3278" spans="32:32" x14ac:dyDescent="0.2">
      <c r="AF3278" t="s">
        <v>473</v>
      </c>
    </row>
    <row r="3279" spans="32:32" x14ac:dyDescent="0.2">
      <c r="AF3279" t="s">
        <v>473</v>
      </c>
    </row>
    <row r="3280" spans="32:32" x14ac:dyDescent="0.2">
      <c r="AF3280" t="s">
        <v>473</v>
      </c>
    </row>
    <row r="3281" spans="32:32" x14ac:dyDescent="0.2">
      <c r="AF3281" t="s">
        <v>473</v>
      </c>
    </row>
    <row r="3282" spans="32:32" x14ac:dyDescent="0.2">
      <c r="AF3282" t="s">
        <v>473</v>
      </c>
    </row>
    <row r="3283" spans="32:32" x14ac:dyDescent="0.2">
      <c r="AF3283" t="s">
        <v>473</v>
      </c>
    </row>
    <row r="3284" spans="32:32" x14ac:dyDescent="0.2">
      <c r="AF3284" t="s">
        <v>473</v>
      </c>
    </row>
    <row r="3285" spans="32:32" x14ac:dyDescent="0.2">
      <c r="AF3285" t="s">
        <v>473</v>
      </c>
    </row>
    <row r="3286" spans="32:32" x14ac:dyDescent="0.2">
      <c r="AF3286" t="s">
        <v>473</v>
      </c>
    </row>
    <row r="3287" spans="32:32" x14ac:dyDescent="0.2">
      <c r="AF3287" t="s">
        <v>473</v>
      </c>
    </row>
    <row r="3288" spans="32:32" x14ac:dyDescent="0.2">
      <c r="AF3288" t="s">
        <v>473</v>
      </c>
    </row>
    <row r="3289" spans="32:32" x14ac:dyDescent="0.2">
      <c r="AF3289" t="s">
        <v>473</v>
      </c>
    </row>
    <row r="3290" spans="32:32" x14ac:dyDescent="0.2">
      <c r="AF3290" t="s">
        <v>473</v>
      </c>
    </row>
    <row r="3291" spans="32:32" x14ac:dyDescent="0.2">
      <c r="AF3291" t="s">
        <v>473</v>
      </c>
    </row>
    <row r="3292" spans="32:32" x14ac:dyDescent="0.2">
      <c r="AF3292" t="s">
        <v>473</v>
      </c>
    </row>
    <row r="3293" spans="32:32" x14ac:dyDescent="0.2">
      <c r="AF3293" t="s">
        <v>473</v>
      </c>
    </row>
    <row r="3294" spans="32:32" x14ac:dyDescent="0.2">
      <c r="AF3294" t="s">
        <v>473</v>
      </c>
    </row>
    <row r="3295" spans="32:32" x14ac:dyDescent="0.2">
      <c r="AF3295" t="s">
        <v>473</v>
      </c>
    </row>
    <row r="3296" spans="32:32" x14ac:dyDescent="0.2">
      <c r="AF3296" t="s">
        <v>473</v>
      </c>
    </row>
    <row r="3297" spans="32:32" x14ac:dyDescent="0.2">
      <c r="AF3297" t="s">
        <v>473</v>
      </c>
    </row>
    <row r="3298" spans="32:32" x14ac:dyDescent="0.2">
      <c r="AF3298" t="s">
        <v>473</v>
      </c>
    </row>
    <row r="3299" spans="32:32" x14ac:dyDescent="0.2">
      <c r="AF3299" t="s">
        <v>473</v>
      </c>
    </row>
    <row r="3300" spans="32:32" x14ac:dyDescent="0.2">
      <c r="AF3300" t="s">
        <v>473</v>
      </c>
    </row>
    <row r="3301" spans="32:32" x14ac:dyDescent="0.2">
      <c r="AF3301" t="s">
        <v>473</v>
      </c>
    </row>
    <row r="3302" spans="32:32" x14ac:dyDescent="0.2">
      <c r="AF3302" t="s">
        <v>473</v>
      </c>
    </row>
    <row r="3303" spans="32:32" x14ac:dyDescent="0.2">
      <c r="AF3303" t="s">
        <v>473</v>
      </c>
    </row>
    <row r="3304" spans="32:32" x14ac:dyDescent="0.2">
      <c r="AF3304" t="s">
        <v>473</v>
      </c>
    </row>
    <row r="3305" spans="32:32" x14ac:dyDescent="0.2">
      <c r="AF3305" t="s">
        <v>473</v>
      </c>
    </row>
    <row r="3306" spans="32:32" x14ac:dyDescent="0.2">
      <c r="AF3306" t="s">
        <v>473</v>
      </c>
    </row>
    <row r="3307" spans="32:32" x14ac:dyDescent="0.2">
      <c r="AF3307" t="s">
        <v>473</v>
      </c>
    </row>
    <row r="3308" spans="32:32" x14ac:dyDescent="0.2">
      <c r="AF3308" t="s">
        <v>473</v>
      </c>
    </row>
    <row r="3309" spans="32:32" x14ac:dyDescent="0.2">
      <c r="AF3309" t="s">
        <v>473</v>
      </c>
    </row>
    <row r="3310" spans="32:32" x14ac:dyDescent="0.2">
      <c r="AF3310" t="s">
        <v>473</v>
      </c>
    </row>
    <row r="3311" spans="32:32" x14ac:dyDescent="0.2">
      <c r="AF3311" t="s">
        <v>473</v>
      </c>
    </row>
    <row r="3312" spans="32:32" x14ac:dyDescent="0.2">
      <c r="AF3312" t="s">
        <v>473</v>
      </c>
    </row>
    <row r="3313" spans="32:32" x14ac:dyDescent="0.2">
      <c r="AF3313" t="s">
        <v>473</v>
      </c>
    </row>
    <row r="3314" spans="32:32" x14ac:dyDescent="0.2">
      <c r="AF3314" t="s">
        <v>473</v>
      </c>
    </row>
    <row r="3315" spans="32:32" x14ac:dyDescent="0.2">
      <c r="AF3315" t="s">
        <v>473</v>
      </c>
    </row>
    <row r="3316" spans="32:32" x14ac:dyDescent="0.2">
      <c r="AF3316" t="s">
        <v>473</v>
      </c>
    </row>
    <row r="3317" spans="32:32" x14ac:dyDescent="0.2">
      <c r="AF3317" t="s">
        <v>473</v>
      </c>
    </row>
    <row r="3318" spans="32:32" x14ac:dyDescent="0.2">
      <c r="AF3318" t="s">
        <v>473</v>
      </c>
    </row>
    <row r="3319" spans="32:32" x14ac:dyDescent="0.2">
      <c r="AF3319" t="s">
        <v>473</v>
      </c>
    </row>
    <row r="3320" spans="32:32" x14ac:dyDescent="0.2">
      <c r="AF3320" t="s">
        <v>473</v>
      </c>
    </row>
    <row r="3321" spans="32:32" x14ac:dyDescent="0.2">
      <c r="AF3321" t="s">
        <v>473</v>
      </c>
    </row>
    <row r="3322" spans="32:32" x14ac:dyDescent="0.2">
      <c r="AF3322" t="s">
        <v>473</v>
      </c>
    </row>
    <row r="3323" spans="32:32" x14ac:dyDescent="0.2">
      <c r="AF3323" t="s">
        <v>473</v>
      </c>
    </row>
    <row r="3324" spans="32:32" x14ac:dyDescent="0.2">
      <c r="AF3324" t="s">
        <v>473</v>
      </c>
    </row>
    <row r="3325" spans="32:32" x14ac:dyDescent="0.2">
      <c r="AF3325" t="s">
        <v>473</v>
      </c>
    </row>
    <row r="3326" spans="32:32" x14ac:dyDescent="0.2">
      <c r="AF3326" t="s">
        <v>473</v>
      </c>
    </row>
    <row r="3327" spans="32:32" x14ac:dyDescent="0.2">
      <c r="AF3327" t="s">
        <v>473</v>
      </c>
    </row>
    <row r="3328" spans="32:32" x14ac:dyDescent="0.2">
      <c r="AF3328" t="s">
        <v>473</v>
      </c>
    </row>
    <row r="3329" spans="32:32" x14ac:dyDescent="0.2">
      <c r="AF3329" t="s">
        <v>473</v>
      </c>
    </row>
    <row r="3330" spans="32:32" x14ac:dyDescent="0.2">
      <c r="AF3330" t="s">
        <v>473</v>
      </c>
    </row>
    <row r="3331" spans="32:32" x14ac:dyDescent="0.2">
      <c r="AF3331" t="s">
        <v>473</v>
      </c>
    </row>
    <row r="3332" spans="32:32" x14ac:dyDescent="0.2">
      <c r="AF3332" t="s">
        <v>473</v>
      </c>
    </row>
    <row r="3333" spans="32:32" x14ac:dyDescent="0.2">
      <c r="AF3333" t="s">
        <v>473</v>
      </c>
    </row>
    <row r="3334" spans="32:32" x14ac:dyDescent="0.2">
      <c r="AF3334" t="s">
        <v>473</v>
      </c>
    </row>
    <row r="3335" spans="32:32" x14ac:dyDescent="0.2">
      <c r="AF3335" t="s">
        <v>473</v>
      </c>
    </row>
    <row r="3336" spans="32:32" x14ac:dyDescent="0.2">
      <c r="AF3336" t="s">
        <v>473</v>
      </c>
    </row>
    <row r="3337" spans="32:32" x14ac:dyDescent="0.2">
      <c r="AF3337" t="s">
        <v>473</v>
      </c>
    </row>
    <row r="3338" spans="32:32" x14ac:dyDescent="0.2">
      <c r="AF3338" t="s">
        <v>473</v>
      </c>
    </row>
    <row r="3339" spans="32:32" x14ac:dyDescent="0.2">
      <c r="AF3339" t="s">
        <v>473</v>
      </c>
    </row>
    <row r="3340" spans="32:32" x14ac:dyDescent="0.2">
      <c r="AF3340" t="s">
        <v>473</v>
      </c>
    </row>
    <row r="3341" spans="32:32" x14ac:dyDescent="0.2">
      <c r="AF3341" t="s">
        <v>473</v>
      </c>
    </row>
    <row r="3342" spans="32:32" x14ac:dyDescent="0.2">
      <c r="AF3342" t="s">
        <v>473</v>
      </c>
    </row>
    <row r="3343" spans="32:32" x14ac:dyDescent="0.2">
      <c r="AF3343" t="s">
        <v>473</v>
      </c>
    </row>
    <row r="3344" spans="32:32" x14ac:dyDescent="0.2">
      <c r="AF3344" t="s">
        <v>473</v>
      </c>
    </row>
    <row r="3345" spans="32:32" x14ac:dyDescent="0.2">
      <c r="AF3345" t="s">
        <v>473</v>
      </c>
    </row>
    <row r="3346" spans="32:32" x14ac:dyDescent="0.2">
      <c r="AF3346" t="s">
        <v>473</v>
      </c>
    </row>
    <row r="3347" spans="32:32" x14ac:dyDescent="0.2">
      <c r="AF3347" t="s">
        <v>473</v>
      </c>
    </row>
    <row r="3348" spans="32:32" x14ac:dyDescent="0.2">
      <c r="AF3348" t="s">
        <v>473</v>
      </c>
    </row>
    <row r="3349" spans="32:32" x14ac:dyDescent="0.2">
      <c r="AF3349" t="s">
        <v>473</v>
      </c>
    </row>
    <row r="3350" spans="32:32" x14ac:dyDescent="0.2">
      <c r="AF3350" t="s">
        <v>473</v>
      </c>
    </row>
    <row r="3351" spans="32:32" x14ac:dyDescent="0.2">
      <c r="AF3351" t="s">
        <v>473</v>
      </c>
    </row>
    <row r="3352" spans="32:32" x14ac:dyDescent="0.2">
      <c r="AF3352" t="s">
        <v>473</v>
      </c>
    </row>
    <row r="3353" spans="32:32" x14ac:dyDescent="0.2">
      <c r="AF3353" t="s">
        <v>473</v>
      </c>
    </row>
    <row r="3354" spans="32:32" x14ac:dyDescent="0.2">
      <c r="AF3354" t="s">
        <v>473</v>
      </c>
    </row>
    <row r="3355" spans="32:32" x14ac:dyDescent="0.2">
      <c r="AF3355" t="s">
        <v>473</v>
      </c>
    </row>
    <row r="3356" spans="32:32" x14ac:dyDescent="0.2">
      <c r="AF3356" t="s">
        <v>473</v>
      </c>
    </row>
    <row r="3357" spans="32:32" x14ac:dyDescent="0.2">
      <c r="AF3357" t="s">
        <v>473</v>
      </c>
    </row>
    <row r="3358" spans="32:32" x14ac:dyDescent="0.2">
      <c r="AF3358" t="s">
        <v>473</v>
      </c>
    </row>
    <row r="3359" spans="32:32" x14ac:dyDescent="0.2">
      <c r="AF3359" t="s">
        <v>473</v>
      </c>
    </row>
    <row r="3360" spans="32:32" x14ac:dyDescent="0.2">
      <c r="AF3360" t="s">
        <v>473</v>
      </c>
    </row>
    <row r="3361" spans="32:32" x14ac:dyDescent="0.2">
      <c r="AF3361" t="s">
        <v>473</v>
      </c>
    </row>
    <row r="3362" spans="32:32" x14ac:dyDescent="0.2">
      <c r="AF3362" t="s">
        <v>473</v>
      </c>
    </row>
    <row r="3363" spans="32:32" x14ac:dyDescent="0.2">
      <c r="AF3363" t="s">
        <v>473</v>
      </c>
    </row>
    <row r="3364" spans="32:32" x14ac:dyDescent="0.2">
      <c r="AF3364" t="s">
        <v>473</v>
      </c>
    </row>
    <row r="3365" spans="32:32" x14ac:dyDescent="0.2">
      <c r="AF3365" t="s">
        <v>473</v>
      </c>
    </row>
    <row r="3366" spans="32:32" x14ac:dyDescent="0.2">
      <c r="AF3366" t="s">
        <v>473</v>
      </c>
    </row>
    <row r="3367" spans="32:32" x14ac:dyDescent="0.2">
      <c r="AF3367" t="s">
        <v>473</v>
      </c>
    </row>
    <row r="3368" spans="32:32" x14ac:dyDescent="0.2">
      <c r="AF3368" t="s">
        <v>473</v>
      </c>
    </row>
    <row r="3369" spans="32:32" x14ac:dyDescent="0.2">
      <c r="AF3369" t="s">
        <v>473</v>
      </c>
    </row>
    <row r="3370" spans="32:32" x14ac:dyDescent="0.2">
      <c r="AF3370" t="s">
        <v>473</v>
      </c>
    </row>
    <row r="3371" spans="32:32" x14ac:dyDescent="0.2">
      <c r="AF3371" t="s">
        <v>473</v>
      </c>
    </row>
    <row r="3372" spans="32:32" x14ac:dyDescent="0.2">
      <c r="AF3372" t="s">
        <v>473</v>
      </c>
    </row>
    <row r="3373" spans="32:32" x14ac:dyDescent="0.2">
      <c r="AF3373" t="s">
        <v>473</v>
      </c>
    </row>
    <row r="3374" spans="32:32" x14ac:dyDescent="0.2">
      <c r="AF3374" t="s">
        <v>473</v>
      </c>
    </row>
    <row r="3375" spans="32:32" x14ac:dyDescent="0.2">
      <c r="AF3375" t="s">
        <v>473</v>
      </c>
    </row>
    <row r="3376" spans="32:32" x14ac:dyDescent="0.2">
      <c r="AF3376" t="s">
        <v>473</v>
      </c>
    </row>
    <row r="3377" spans="32:32" x14ac:dyDescent="0.2">
      <c r="AF3377" t="s">
        <v>473</v>
      </c>
    </row>
    <row r="3378" spans="32:32" x14ac:dyDescent="0.2">
      <c r="AF3378" t="s">
        <v>473</v>
      </c>
    </row>
    <row r="3379" spans="32:32" x14ac:dyDescent="0.2">
      <c r="AF3379" t="s">
        <v>473</v>
      </c>
    </row>
    <row r="3380" spans="32:32" x14ac:dyDescent="0.2">
      <c r="AF3380" t="s">
        <v>473</v>
      </c>
    </row>
    <row r="3381" spans="32:32" x14ac:dyDescent="0.2">
      <c r="AF3381" t="s">
        <v>473</v>
      </c>
    </row>
    <row r="3382" spans="32:32" x14ac:dyDescent="0.2">
      <c r="AF3382" t="s">
        <v>473</v>
      </c>
    </row>
    <row r="3383" spans="32:32" x14ac:dyDescent="0.2">
      <c r="AF3383" t="s">
        <v>473</v>
      </c>
    </row>
    <row r="3384" spans="32:32" x14ac:dyDescent="0.2">
      <c r="AF3384" t="s">
        <v>473</v>
      </c>
    </row>
    <row r="3385" spans="32:32" x14ac:dyDescent="0.2">
      <c r="AF3385" t="s">
        <v>473</v>
      </c>
    </row>
    <row r="3386" spans="32:32" x14ac:dyDescent="0.2">
      <c r="AF3386" t="s">
        <v>473</v>
      </c>
    </row>
    <row r="3387" spans="32:32" x14ac:dyDescent="0.2">
      <c r="AF3387" t="s">
        <v>473</v>
      </c>
    </row>
    <row r="3388" spans="32:32" x14ac:dyDescent="0.2">
      <c r="AF3388" t="s">
        <v>473</v>
      </c>
    </row>
    <row r="3389" spans="32:32" x14ac:dyDescent="0.2">
      <c r="AF3389" t="s">
        <v>473</v>
      </c>
    </row>
    <row r="3390" spans="32:32" x14ac:dyDescent="0.2">
      <c r="AF3390" t="s">
        <v>473</v>
      </c>
    </row>
    <row r="3391" spans="32:32" x14ac:dyDescent="0.2">
      <c r="AF3391" t="s">
        <v>473</v>
      </c>
    </row>
    <row r="3392" spans="32:32" x14ac:dyDescent="0.2">
      <c r="AF3392" t="s">
        <v>473</v>
      </c>
    </row>
    <row r="3393" spans="32:32" x14ac:dyDescent="0.2">
      <c r="AF3393" t="s">
        <v>473</v>
      </c>
    </row>
    <row r="3394" spans="32:32" x14ac:dyDescent="0.2">
      <c r="AF3394" t="s">
        <v>473</v>
      </c>
    </row>
    <row r="3395" spans="32:32" x14ac:dyDescent="0.2">
      <c r="AF3395" t="s">
        <v>473</v>
      </c>
    </row>
    <row r="3396" spans="32:32" x14ac:dyDescent="0.2">
      <c r="AF3396" t="s">
        <v>473</v>
      </c>
    </row>
    <row r="3397" spans="32:32" x14ac:dyDescent="0.2">
      <c r="AF3397" t="s">
        <v>473</v>
      </c>
    </row>
    <row r="3398" spans="32:32" x14ac:dyDescent="0.2">
      <c r="AF3398" t="s">
        <v>473</v>
      </c>
    </row>
    <row r="3399" spans="32:32" x14ac:dyDescent="0.2">
      <c r="AF3399" t="s">
        <v>473</v>
      </c>
    </row>
    <row r="3400" spans="32:32" x14ac:dyDescent="0.2">
      <c r="AF3400" t="s">
        <v>473</v>
      </c>
    </row>
    <row r="3401" spans="32:32" x14ac:dyDescent="0.2">
      <c r="AF3401" t="s">
        <v>473</v>
      </c>
    </row>
    <row r="3402" spans="32:32" x14ac:dyDescent="0.2">
      <c r="AF3402" t="s">
        <v>473</v>
      </c>
    </row>
    <row r="3403" spans="32:32" x14ac:dyDescent="0.2">
      <c r="AF3403" t="s">
        <v>473</v>
      </c>
    </row>
    <row r="3404" spans="32:32" x14ac:dyDescent="0.2">
      <c r="AF3404" t="s">
        <v>473</v>
      </c>
    </row>
    <row r="3405" spans="32:32" x14ac:dyDescent="0.2">
      <c r="AF3405" t="s">
        <v>473</v>
      </c>
    </row>
    <row r="3406" spans="32:32" x14ac:dyDescent="0.2">
      <c r="AF3406" t="s">
        <v>473</v>
      </c>
    </row>
    <row r="3407" spans="32:32" x14ac:dyDescent="0.2">
      <c r="AF3407" t="s">
        <v>473</v>
      </c>
    </row>
    <row r="3408" spans="32:32" x14ac:dyDescent="0.2">
      <c r="AF3408" t="s">
        <v>473</v>
      </c>
    </row>
    <row r="3409" spans="32:32" x14ac:dyDescent="0.2">
      <c r="AF3409" t="s">
        <v>473</v>
      </c>
    </row>
    <row r="3410" spans="32:32" x14ac:dyDescent="0.2">
      <c r="AF3410" t="s">
        <v>473</v>
      </c>
    </row>
    <row r="3411" spans="32:32" x14ac:dyDescent="0.2">
      <c r="AF3411" t="s">
        <v>473</v>
      </c>
    </row>
    <row r="3412" spans="32:32" x14ac:dyDescent="0.2">
      <c r="AF3412" t="s">
        <v>473</v>
      </c>
    </row>
    <row r="3413" spans="32:32" x14ac:dyDescent="0.2">
      <c r="AF3413" t="s">
        <v>473</v>
      </c>
    </row>
    <row r="3414" spans="32:32" x14ac:dyDescent="0.2">
      <c r="AF3414" t="s">
        <v>473</v>
      </c>
    </row>
    <row r="3415" spans="32:32" x14ac:dyDescent="0.2">
      <c r="AF3415" t="s">
        <v>473</v>
      </c>
    </row>
    <row r="3416" spans="32:32" x14ac:dyDescent="0.2">
      <c r="AF3416" t="s">
        <v>473</v>
      </c>
    </row>
    <row r="3417" spans="32:32" x14ac:dyDescent="0.2">
      <c r="AF3417" t="s">
        <v>473</v>
      </c>
    </row>
    <row r="3418" spans="32:32" x14ac:dyDescent="0.2">
      <c r="AF3418" t="s">
        <v>473</v>
      </c>
    </row>
    <row r="3419" spans="32:32" x14ac:dyDescent="0.2">
      <c r="AF3419" t="s">
        <v>473</v>
      </c>
    </row>
    <row r="3420" spans="32:32" x14ac:dyDescent="0.2">
      <c r="AF3420" t="s">
        <v>473</v>
      </c>
    </row>
    <row r="3421" spans="32:32" x14ac:dyDescent="0.2">
      <c r="AF3421" t="s">
        <v>473</v>
      </c>
    </row>
    <row r="3422" spans="32:32" x14ac:dyDescent="0.2">
      <c r="AF3422" t="s">
        <v>473</v>
      </c>
    </row>
    <row r="3423" spans="32:32" x14ac:dyDescent="0.2">
      <c r="AF3423" t="s">
        <v>473</v>
      </c>
    </row>
    <row r="3424" spans="32:32" x14ac:dyDescent="0.2">
      <c r="AF3424" t="s">
        <v>473</v>
      </c>
    </row>
    <row r="3425" spans="32:32" x14ac:dyDescent="0.2">
      <c r="AF3425" t="s">
        <v>473</v>
      </c>
    </row>
    <row r="3426" spans="32:32" x14ac:dyDescent="0.2">
      <c r="AF3426" t="s">
        <v>473</v>
      </c>
    </row>
    <row r="3427" spans="32:32" x14ac:dyDescent="0.2">
      <c r="AF3427" t="s">
        <v>473</v>
      </c>
    </row>
    <row r="3428" spans="32:32" x14ac:dyDescent="0.2">
      <c r="AF3428" t="s">
        <v>473</v>
      </c>
    </row>
    <row r="3429" spans="32:32" x14ac:dyDescent="0.2">
      <c r="AF3429" t="s">
        <v>473</v>
      </c>
    </row>
    <row r="3430" spans="32:32" x14ac:dyDescent="0.2">
      <c r="AF3430" t="s">
        <v>473</v>
      </c>
    </row>
    <row r="3431" spans="32:32" x14ac:dyDescent="0.2">
      <c r="AF3431" t="s">
        <v>473</v>
      </c>
    </row>
    <row r="3432" spans="32:32" x14ac:dyDescent="0.2">
      <c r="AF3432" t="s">
        <v>473</v>
      </c>
    </row>
    <row r="3433" spans="32:32" x14ac:dyDescent="0.2">
      <c r="AF3433" t="s">
        <v>473</v>
      </c>
    </row>
    <row r="3434" spans="32:32" x14ac:dyDescent="0.2">
      <c r="AF3434" t="s">
        <v>473</v>
      </c>
    </row>
    <row r="3435" spans="32:32" x14ac:dyDescent="0.2">
      <c r="AF3435" t="s">
        <v>473</v>
      </c>
    </row>
    <row r="3436" spans="32:32" x14ac:dyDescent="0.2">
      <c r="AF3436" t="s">
        <v>473</v>
      </c>
    </row>
    <row r="3437" spans="32:32" x14ac:dyDescent="0.2">
      <c r="AF3437" t="s">
        <v>473</v>
      </c>
    </row>
    <row r="3438" spans="32:32" x14ac:dyDescent="0.2">
      <c r="AF3438" t="s">
        <v>473</v>
      </c>
    </row>
    <row r="3439" spans="32:32" x14ac:dyDescent="0.2">
      <c r="AF3439" t="s">
        <v>473</v>
      </c>
    </row>
    <row r="3440" spans="32:32" x14ac:dyDescent="0.2">
      <c r="AF3440" t="s">
        <v>473</v>
      </c>
    </row>
    <row r="3441" spans="32:32" x14ac:dyDescent="0.2">
      <c r="AF3441" t="s">
        <v>473</v>
      </c>
    </row>
    <row r="3442" spans="32:32" x14ac:dyDescent="0.2">
      <c r="AF3442" t="s">
        <v>473</v>
      </c>
    </row>
    <row r="3443" spans="32:32" x14ac:dyDescent="0.2">
      <c r="AF3443" t="s">
        <v>473</v>
      </c>
    </row>
    <row r="3444" spans="32:32" x14ac:dyDescent="0.2">
      <c r="AF3444" t="s">
        <v>473</v>
      </c>
    </row>
    <row r="3445" spans="32:32" x14ac:dyDescent="0.2">
      <c r="AF3445" t="s">
        <v>473</v>
      </c>
    </row>
    <row r="3446" spans="32:32" x14ac:dyDescent="0.2">
      <c r="AF3446" t="s">
        <v>473</v>
      </c>
    </row>
    <row r="3447" spans="32:32" x14ac:dyDescent="0.2">
      <c r="AF3447" t="s">
        <v>473</v>
      </c>
    </row>
    <row r="3448" spans="32:32" x14ac:dyDescent="0.2">
      <c r="AF3448" t="s">
        <v>473</v>
      </c>
    </row>
    <row r="3449" spans="32:32" x14ac:dyDescent="0.2">
      <c r="AF3449" t="s">
        <v>473</v>
      </c>
    </row>
    <row r="3450" spans="32:32" x14ac:dyDescent="0.2">
      <c r="AF3450" t="s">
        <v>473</v>
      </c>
    </row>
    <row r="3451" spans="32:32" x14ac:dyDescent="0.2">
      <c r="AF3451" t="s">
        <v>473</v>
      </c>
    </row>
    <row r="3452" spans="32:32" x14ac:dyDescent="0.2">
      <c r="AF3452" t="s">
        <v>473</v>
      </c>
    </row>
    <row r="3453" spans="32:32" x14ac:dyDescent="0.2">
      <c r="AF3453" t="s">
        <v>473</v>
      </c>
    </row>
    <row r="3454" spans="32:32" x14ac:dyDescent="0.2">
      <c r="AF3454" t="s">
        <v>473</v>
      </c>
    </row>
    <row r="3455" spans="32:32" x14ac:dyDescent="0.2">
      <c r="AF3455" t="s">
        <v>473</v>
      </c>
    </row>
    <row r="3456" spans="32:32" x14ac:dyDescent="0.2">
      <c r="AF3456" t="s">
        <v>473</v>
      </c>
    </row>
    <row r="3457" spans="32:32" x14ac:dyDescent="0.2">
      <c r="AF3457" t="s">
        <v>473</v>
      </c>
    </row>
    <row r="3458" spans="32:32" x14ac:dyDescent="0.2">
      <c r="AF3458" t="s">
        <v>473</v>
      </c>
    </row>
    <row r="3459" spans="32:32" x14ac:dyDescent="0.2">
      <c r="AF3459" t="s">
        <v>473</v>
      </c>
    </row>
    <row r="3460" spans="32:32" x14ac:dyDescent="0.2">
      <c r="AF3460" t="s">
        <v>473</v>
      </c>
    </row>
    <row r="3461" spans="32:32" x14ac:dyDescent="0.2">
      <c r="AF3461" t="s">
        <v>473</v>
      </c>
    </row>
    <row r="3462" spans="32:32" x14ac:dyDescent="0.2">
      <c r="AF3462" t="s">
        <v>473</v>
      </c>
    </row>
    <row r="3463" spans="32:32" x14ac:dyDescent="0.2">
      <c r="AF3463" t="s">
        <v>473</v>
      </c>
    </row>
    <row r="3464" spans="32:32" x14ac:dyDescent="0.2">
      <c r="AF3464" t="s">
        <v>473</v>
      </c>
    </row>
    <row r="3465" spans="32:32" x14ac:dyDescent="0.2">
      <c r="AF3465" t="s">
        <v>473</v>
      </c>
    </row>
    <row r="3466" spans="32:32" x14ac:dyDescent="0.2">
      <c r="AF3466" t="s">
        <v>473</v>
      </c>
    </row>
    <row r="3467" spans="32:32" x14ac:dyDescent="0.2">
      <c r="AF3467" t="s">
        <v>473</v>
      </c>
    </row>
    <row r="3468" spans="32:32" x14ac:dyDescent="0.2">
      <c r="AF3468" t="s">
        <v>473</v>
      </c>
    </row>
    <row r="3469" spans="32:32" x14ac:dyDescent="0.2">
      <c r="AF3469" t="s">
        <v>473</v>
      </c>
    </row>
    <row r="3470" spans="32:32" x14ac:dyDescent="0.2">
      <c r="AF3470" t="s">
        <v>473</v>
      </c>
    </row>
    <row r="3471" spans="32:32" x14ac:dyDescent="0.2">
      <c r="AF3471" t="s">
        <v>473</v>
      </c>
    </row>
    <row r="3472" spans="32:32" x14ac:dyDescent="0.2">
      <c r="AF3472" t="s">
        <v>473</v>
      </c>
    </row>
    <row r="3473" spans="32:32" x14ac:dyDescent="0.2">
      <c r="AF3473" t="s">
        <v>473</v>
      </c>
    </row>
    <row r="3474" spans="32:32" x14ac:dyDescent="0.2">
      <c r="AF3474" t="s">
        <v>473</v>
      </c>
    </row>
    <row r="3475" spans="32:32" x14ac:dyDescent="0.2">
      <c r="AF3475" t="s">
        <v>473</v>
      </c>
    </row>
    <row r="3476" spans="32:32" x14ac:dyDescent="0.2">
      <c r="AF3476" t="s">
        <v>473</v>
      </c>
    </row>
    <row r="3477" spans="32:32" x14ac:dyDescent="0.2">
      <c r="AF3477" t="s">
        <v>473</v>
      </c>
    </row>
    <row r="3478" spans="32:32" x14ac:dyDescent="0.2">
      <c r="AF3478" t="s">
        <v>473</v>
      </c>
    </row>
    <row r="3479" spans="32:32" x14ac:dyDescent="0.2">
      <c r="AF3479" t="s">
        <v>473</v>
      </c>
    </row>
    <row r="3480" spans="32:32" x14ac:dyDescent="0.2">
      <c r="AF3480" t="s">
        <v>473</v>
      </c>
    </row>
    <row r="3481" spans="32:32" x14ac:dyDescent="0.2">
      <c r="AF3481" t="s">
        <v>473</v>
      </c>
    </row>
    <row r="3482" spans="32:32" x14ac:dyDescent="0.2">
      <c r="AF3482" t="s">
        <v>473</v>
      </c>
    </row>
    <row r="3483" spans="32:32" x14ac:dyDescent="0.2">
      <c r="AF3483" t="s">
        <v>473</v>
      </c>
    </row>
    <row r="3484" spans="32:32" x14ac:dyDescent="0.2">
      <c r="AF3484" t="s">
        <v>473</v>
      </c>
    </row>
    <row r="3485" spans="32:32" x14ac:dyDescent="0.2">
      <c r="AF3485" t="s">
        <v>473</v>
      </c>
    </row>
    <row r="3486" spans="32:32" x14ac:dyDescent="0.2">
      <c r="AF3486" t="s">
        <v>473</v>
      </c>
    </row>
    <row r="3487" spans="32:32" x14ac:dyDescent="0.2">
      <c r="AF3487" t="s">
        <v>473</v>
      </c>
    </row>
    <row r="3488" spans="32:32" x14ac:dyDescent="0.2">
      <c r="AF3488" t="s">
        <v>473</v>
      </c>
    </row>
    <row r="3489" spans="32:32" x14ac:dyDescent="0.2">
      <c r="AF3489" t="s">
        <v>473</v>
      </c>
    </row>
    <row r="3490" spans="32:32" x14ac:dyDescent="0.2">
      <c r="AF3490" t="s">
        <v>473</v>
      </c>
    </row>
    <row r="3491" spans="32:32" x14ac:dyDescent="0.2">
      <c r="AF3491" t="s">
        <v>473</v>
      </c>
    </row>
    <row r="3492" spans="32:32" x14ac:dyDescent="0.2">
      <c r="AF3492" t="s">
        <v>473</v>
      </c>
    </row>
    <row r="3493" spans="32:32" x14ac:dyDescent="0.2">
      <c r="AF3493" t="s">
        <v>473</v>
      </c>
    </row>
    <row r="3494" spans="32:32" x14ac:dyDescent="0.2">
      <c r="AF3494" t="s">
        <v>473</v>
      </c>
    </row>
    <row r="3495" spans="32:32" x14ac:dyDescent="0.2">
      <c r="AF3495" t="s">
        <v>473</v>
      </c>
    </row>
    <row r="3496" spans="32:32" x14ac:dyDescent="0.2">
      <c r="AF3496" t="s">
        <v>473</v>
      </c>
    </row>
    <row r="3497" spans="32:32" x14ac:dyDescent="0.2">
      <c r="AF3497" t="s">
        <v>473</v>
      </c>
    </row>
    <row r="3498" spans="32:32" x14ac:dyDescent="0.2">
      <c r="AF3498" t="s">
        <v>473</v>
      </c>
    </row>
    <row r="3499" spans="32:32" x14ac:dyDescent="0.2">
      <c r="AF3499" t="s">
        <v>473</v>
      </c>
    </row>
    <row r="3500" spans="32:32" x14ac:dyDescent="0.2">
      <c r="AF3500" t="s">
        <v>473</v>
      </c>
    </row>
    <row r="3501" spans="32:32" x14ac:dyDescent="0.2">
      <c r="AF3501" t="s">
        <v>473</v>
      </c>
    </row>
    <row r="3502" spans="32:32" x14ac:dyDescent="0.2">
      <c r="AF3502" t="s">
        <v>473</v>
      </c>
    </row>
    <row r="3503" spans="32:32" x14ac:dyDescent="0.2">
      <c r="AF3503" t="s">
        <v>473</v>
      </c>
    </row>
    <row r="3504" spans="32:32" x14ac:dyDescent="0.2">
      <c r="AF3504" t="s">
        <v>473</v>
      </c>
    </row>
    <row r="3505" spans="32:32" x14ac:dyDescent="0.2">
      <c r="AF3505" t="s">
        <v>473</v>
      </c>
    </row>
    <row r="3506" spans="32:32" x14ac:dyDescent="0.2">
      <c r="AF3506" t="s">
        <v>473</v>
      </c>
    </row>
    <row r="3507" spans="32:32" x14ac:dyDescent="0.2">
      <c r="AF3507" t="s">
        <v>473</v>
      </c>
    </row>
    <row r="3508" spans="32:32" x14ac:dyDescent="0.2">
      <c r="AF3508" t="s">
        <v>473</v>
      </c>
    </row>
    <row r="3509" spans="32:32" x14ac:dyDescent="0.2">
      <c r="AF3509" t="s">
        <v>473</v>
      </c>
    </row>
    <row r="3510" spans="32:32" x14ac:dyDescent="0.2">
      <c r="AF3510" t="s">
        <v>473</v>
      </c>
    </row>
    <row r="3511" spans="32:32" x14ac:dyDescent="0.2">
      <c r="AF3511" t="s">
        <v>473</v>
      </c>
    </row>
    <row r="3512" spans="32:32" x14ac:dyDescent="0.2">
      <c r="AF3512" t="s">
        <v>473</v>
      </c>
    </row>
    <row r="3513" spans="32:32" x14ac:dyDescent="0.2">
      <c r="AF3513" t="s">
        <v>473</v>
      </c>
    </row>
    <row r="3514" spans="32:32" x14ac:dyDescent="0.2">
      <c r="AF3514" t="s">
        <v>473</v>
      </c>
    </row>
    <row r="3515" spans="32:32" x14ac:dyDescent="0.2">
      <c r="AF3515" t="s">
        <v>473</v>
      </c>
    </row>
    <row r="3516" spans="32:32" x14ac:dyDescent="0.2">
      <c r="AF3516" t="s">
        <v>473</v>
      </c>
    </row>
    <row r="3517" spans="32:32" x14ac:dyDescent="0.2">
      <c r="AF3517" t="s">
        <v>473</v>
      </c>
    </row>
    <row r="3518" spans="32:32" x14ac:dyDescent="0.2">
      <c r="AF3518" t="s">
        <v>473</v>
      </c>
    </row>
    <row r="3519" spans="32:32" x14ac:dyDescent="0.2">
      <c r="AF3519" t="s">
        <v>473</v>
      </c>
    </row>
    <row r="3520" spans="32:32" x14ac:dyDescent="0.2">
      <c r="AF3520" t="s">
        <v>473</v>
      </c>
    </row>
    <row r="3521" spans="32:32" x14ac:dyDescent="0.2">
      <c r="AF3521" t="s">
        <v>473</v>
      </c>
    </row>
    <row r="3522" spans="32:32" x14ac:dyDescent="0.2">
      <c r="AF3522" t="s">
        <v>473</v>
      </c>
    </row>
    <row r="3523" spans="32:32" x14ac:dyDescent="0.2">
      <c r="AF3523" t="s">
        <v>473</v>
      </c>
    </row>
    <row r="3524" spans="32:32" x14ac:dyDescent="0.2">
      <c r="AF3524" t="s">
        <v>473</v>
      </c>
    </row>
    <row r="3525" spans="32:32" x14ac:dyDescent="0.2">
      <c r="AF3525" t="s">
        <v>473</v>
      </c>
    </row>
    <row r="3526" spans="32:32" x14ac:dyDescent="0.2">
      <c r="AF3526" t="s">
        <v>473</v>
      </c>
    </row>
    <row r="3527" spans="32:32" x14ac:dyDescent="0.2">
      <c r="AF3527" t="s">
        <v>473</v>
      </c>
    </row>
    <row r="3528" spans="32:32" x14ac:dyDescent="0.2">
      <c r="AF3528" t="s">
        <v>473</v>
      </c>
    </row>
    <row r="3529" spans="32:32" x14ac:dyDescent="0.2">
      <c r="AF3529" t="s">
        <v>473</v>
      </c>
    </row>
    <row r="3530" spans="32:32" x14ac:dyDescent="0.2">
      <c r="AF3530" t="s">
        <v>473</v>
      </c>
    </row>
    <row r="3531" spans="32:32" x14ac:dyDescent="0.2">
      <c r="AF3531" t="s">
        <v>473</v>
      </c>
    </row>
    <row r="3532" spans="32:32" x14ac:dyDescent="0.2">
      <c r="AF3532" t="s">
        <v>473</v>
      </c>
    </row>
    <row r="3533" spans="32:32" x14ac:dyDescent="0.2">
      <c r="AF3533" t="s">
        <v>473</v>
      </c>
    </row>
    <row r="3534" spans="32:32" x14ac:dyDescent="0.2">
      <c r="AF3534" t="s">
        <v>473</v>
      </c>
    </row>
    <row r="3535" spans="32:32" x14ac:dyDescent="0.2">
      <c r="AF3535" t="s">
        <v>473</v>
      </c>
    </row>
    <row r="3536" spans="32:32" x14ac:dyDescent="0.2">
      <c r="AF3536" t="s">
        <v>473</v>
      </c>
    </row>
    <row r="3537" spans="32:32" x14ac:dyDescent="0.2">
      <c r="AF3537" t="s">
        <v>473</v>
      </c>
    </row>
    <row r="3538" spans="32:32" x14ac:dyDescent="0.2">
      <c r="AF3538" t="s">
        <v>473</v>
      </c>
    </row>
    <row r="3539" spans="32:32" x14ac:dyDescent="0.2">
      <c r="AF3539" t="s">
        <v>473</v>
      </c>
    </row>
    <row r="3540" spans="32:32" x14ac:dyDescent="0.2">
      <c r="AF3540" t="s">
        <v>473</v>
      </c>
    </row>
    <row r="3541" spans="32:32" x14ac:dyDescent="0.2">
      <c r="AF3541" t="s">
        <v>473</v>
      </c>
    </row>
    <row r="3542" spans="32:32" x14ac:dyDescent="0.2">
      <c r="AF3542" t="s">
        <v>473</v>
      </c>
    </row>
    <row r="3543" spans="32:32" x14ac:dyDescent="0.2">
      <c r="AF3543" t="s">
        <v>473</v>
      </c>
    </row>
    <row r="3544" spans="32:32" x14ac:dyDescent="0.2">
      <c r="AF3544" t="s">
        <v>473</v>
      </c>
    </row>
    <row r="3545" spans="32:32" x14ac:dyDescent="0.2">
      <c r="AF3545" t="s">
        <v>473</v>
      </c>
    </row>
    <row r="3546" spans="32:32" x14ac:dyDescent="0.2">
      <c r="AF3546" t="s">
        <v>473</v>
      </c>
    </row>
    <row r="3547" spans="32:32" x14ac:dyDescent="0.2">
      <c r="AF3547" t="s">
        <v>473</v>
      </c>
    </row>
    <row r="3548" spans="32:32" x14ac:dyDescent="0.2">
      <c r="AF3548" t="s">
        <v>473</v>
      </c>
    </row>
    <row r="3549" spans="32:32" x14ac:dyDescent="0.2">
      <c r="AF3549" t="s">
        <v>473</v>
      </c>
    </row>
    <row r="3550" spans="32:32" x14ac:dyDescent="0.2">
      <c r="AF3550" t="s">
        <v>473</v>
      </c>
    </row>
    <row r="3551" spans="32:32" x14ac:dyDescent="0.2">
      <c r="AF3551" t="s">
        <v>473</v>
      </c>
    </row>
    <row r="3552" spans="32:32" x14ac:dyDescent="0.2">
      <c r="AF3552" t="s">
        <v>473</v>
      </c>
    </row>
    <row r="3553" spans="32:32" x14ac:dyDescent="0.2">
      <c r="AF3553" t="s">
        <v>473</v>
      </c>
    </row>
    <row r="3554" spans="32:32" x14ac:dyDescent="0.2">
      <c r="AF3554" t="s">
        <v>473</v>
      </c>
    </row>
    <row r="3555" spans="32:32" x14ac:dyDescent="0.2">
      <c r="AF3555" t="s">
        <v>473</v>
      </c>
    </row>
    <row r="3556" spans="32:32" x14ac:dyDescent="0.2">
      <c r="AF3556" t="s">
        <v>473</v>
      </c>
    </row>
    <row r="3557" spans="32:32" x14ac:dyDescent="0.2">
      <c r="AF3557" t="s">
        <v>473</v>
      </c>
    </row>
    <row r="3558" spans="32:32" x14ac:dyDescent="0.2">
      <c r="AF3558" t="s">
        <v>473</v>
      </c>
    </row>
    <row r="3559" spans="32:32" x14ac:dyDescent="0.2">
      <c r="AF3559" t="s">
        <v>473</v>
      </c>
    </row>
    <row r="3560" spans="32:32" x14ac:dyDescent="0.2">
      <c r="AF3560" t="s">
        <v>473</v>
      </c>
    </row>
    <row r="3561" spans="32:32" x14ac:dyDescent="0.2">
      <c r="AF3561" t="s">
        <v>473</v>
      </c>
    </row>
    <row r="3562" spans="32:32" x14ac:dyDescent="0.2">
      <c r="AF3562" t="s">
        <v>473</v>
      </c>
    </row>
    <row r="3563" spans="32:32" x14ac:dyDescent="0.2">
      <c r="AF3563" t="s">
        <v>473</v>
      </c>
    </row>
    <row r="3564" spans="32:32" x14ac:dyDescent="0.2">
      <c r="AF3564" t="s">
        <v>473</v>
      </c>
    </row>
    <row r="3565" spans="32:32" x14ac:dyDescent="0.2">
      <c r="AF3565" t="s">
        <v>473</v>
      </c>
    </row>
    <row r="3566" spans="32:32" x14ac:dyDescent="0.2">
      <c r="AF3566" t="s">
        <v>473</v>
      </c>
    </row>
    <row r="3567" spans="32:32" x14ac:dyDescent="0.2">
      <c r="AF3567" t="s">
        <v>473</v>
      </c>
    </row>
    <row r="3568" spans="32:32" x14ac:dyDescent="0.2">
      <c r="AF3568" t="s">
        <v>473</v>
      </c>
    </row>
    <row r="3569" spans="32:32" x14ac:dyDescent="0.2">
      <c r="AF3569" t="s">
        <v>473</v>
      </c>
    </row>
    <row r="3570" spans="32:32" x14ac:dyDescent="0.2">
      <c r="AF3570" t="s">
        <v>473</v>
      </c>
    </row>
    <row r="3571" spans="32:32" x14ac:dyDescent="0.2">
      <c r="AF3571" t="s">
        <v>473</v>
      </c>
    </row>
    <row r="3572" spans="32:32" x14ac:dyDescent="0.2">
      <c r="AF3572" t="s">
        <v>473</v>
      </c>
    </row>
    <row r="3573" spans="32:32" x14ac:dyDescent="0.2">
      <c r="AF3573" t="s">
        <v>473</v>
      </c>
    </row>
    <row r="3574" spans="32:32" x14ac:dyDescent="0.2">
      <c r="AF3574" t="s">
        <v>473</v>
      </c>
    </row>
    <row r="3575" spans="32:32" x14ac:dyDescent="0.2">
      <c r="AF3575" t="s">
        <v>473</v>
      </c>
    </row>
    <row r="3576" spans="32:32" x14ac:dyDescent="0.2">
      <c r="AF3576" t="s">
        <v>473</v>
      </c>
    </row>
    <row r="3577" spans="32:32" x14ac:dyDescent="0.2">
      <c r="AF3577" t="s">
        <v>473</v>
      </c>
    </row>
    <row r="3578" spans="32:32" x14ac:dyDescent="0.2">
      <c r="AF3578" t="s">
        <v>473</v>
      </c>
    </row>
    <row r="3579" spans="32:32" x14ac:dyDescent="0.2">
      <c r="AF3579" t="s">
        <v>473</v>
      </c>
    </row>
    <row r="3580" spans="32:32" x14ac:dyDescent="0.2">
      <c r="AF3580" t="s">
        <v>473</v>
      </c>
    </row>
    <row r="3581" spans="32:32" x14ac:dyDescent="0.2">
      <c r="AF3581" t="s">
        <v>473</v>
      </c>
    </row>
    <row r="3582" spans="32:32" x14ac:dyDescent="0.2">
      <c r="AF3582" t="s">
        <v>473</v>
      </c>
    </row>
    <row r="3583" spans="32:32" x14ac:dyDescent="0.2">
      <c r="AF3583" t="s">
        <v>473</v>
      </c>
    </row>
    <row r="3584" spans="32:32" x14ac:dyDescent="0.2">
      <c r="AF3584" t="s">
        <v>473</v>
      </c>
    </row>
    <row r="3585" spans="32:32" x14ac:dyDescent="0.2">
      <c r="AF3585" t="s">
        <v>473</v>
      </c>
    </row>
    <row r="3586" spans="32:32" x14ac:dyDescent="0.2">
      <c r="AF3586" t="s">
        <v>473</v>
      </c>
    </row>
    <row r="3587" spans="32:32" x14ac:dyDescent="0.2">
      <c r="AF3587" t="s">
        <v>473</v>
      </c>
    </row>
    <row r="3588" spans="32:32" x14ac:dyDescent="0.2">
      <c r="AF3588" t="s">
        <v>473</v>
      </c>
    </row>
    <row r="3589" spans="32:32" x14ac:dyDescent="0.2">
      <c r="AF3589" t="s">
        <v>473</v>
      </c>
    </row>
    <row r="3590" spans="32:32" x14ac:dyDescent="0.2">
      <c r="AF3590" t="s">
        <v>473</v>
      </c>
    </row>
    <row r="3591" spans="32:32" x14ac:dyDescent="0.2">
      <c r="AF3591" t="s">
        <v>473</v>
      </c>
    </row>
    <row r="3592" spans="32:32" x14ac:dyDescent="0.2">
      <c r="AF3592" t="s">
        <v>473</v>
      </c>
    </row>
    <row r="3593" spans="32:32" x14ac:dyDescent="0.2">
      <c r="AF3593" t="s">
        <v>473</v>
      </c>
    </row>
    <row r="3594" spans="32:32" x14ac:dyDescent="0.2">
      <c r="AF3594" t="s">
        <v>473</v>
      </c>
    </row>
    <row r="3595" spans="32:32" x14ac:dyDescent="0.2">
      <c r="AF3595" t="s">
        <v>473</v>
      </c>
    </row>
    <row r="3596" spans="32:32" x14ac:dyDescent="0.2">
      <c r="AF3596" t="s">
        <v>473</v>
      </c>
    </row>
    <row r="3597" spans="32:32" x14ac:dyDescent="0.2">
      <c r="AF3597" t="s">
        <v>473</v>
      </c>
    </row>
    <row r="3598" spans="32:32" x14ac:dyDescent="0.2">
      <c r="AF3598" t="s">
        <v>473</v>
      </c>
    </row>
    <row r="3599" spans="32:32" x14ac:dyDescent="0.2">
      <c r="AF3599" t="s">
        <v>473</v>
      </c>
    </row>
    <row r="3600" spans="32:32" x14ac:dyDescent="0.2">
      <c r="AF3600" t="s">
        <v>473</v>
      </c>
    </row>
    <row r="3601" spans="32:32" x14ac:dyDescent="0.2">
      <c r="AF3601" t="s">
        <v>473</v>
      </c>
    </row>
    <row r="3602" spans="32:32" x14ac:dyDescent="0.2">
      <c r="AF3602" t="s">
        <v>473</v>
      </c>
    </row>
    <row r="3603" spans="32:32" x14ac:dyDescent="0.2">
      <c r="AF3603" t="s">
        <v>473</v>
      </c>
    </row>
    <row r="3604" spans="32:32" x14ac:dyDescent="0.2">
      <c r="AF3604" t="s">
        <v>473</v>
      </c>
    </row>
    <row r="3605" spans="32:32" x14ac:dyDescent="0.2">
      <c r="AF3605" t="s">
        <v>473</v>
      </c>
    </row>
    <row r="3606" spans="32:32" x14ac:dyDescent="0.2">
      <c r="AF3606" t="s">
        <v>473</v>
      </c>
    </row>
    <row r="3607" spans="32:32" x14ac:dyDescent="0.2">
      <c r="AF3607" t="s">
        <v>473</v>
      </c>
    </row>
    <row r="3608" spans="32:32" x14ac:dyDescent="0.2">
      <c r="AF3608" t="s">
        <v>473</v>
      </c>
    </row>
    <row r="3609" spans="32:32" x14ac:dyDescent="0.2">
      <c r="AF3609" t="s">
        <v>473</v>
      </c>
    </row>
    <row r="3610" spans="32:32" x14ac:dyDescent="0.2">
      <c r="AF3610" t="s">
        <v>473</v>
      </c>
    </row>
    <row r="3611" spans="32:32" x14ac:dyDescent="0.2">
      <c r="AF3611" t="s">
        <v>473</v>
      </c>
    </row>
    <row r="3612" spans="32:32" x14ac:dyDescent="0.2">
      <c r="AF3612" t="s">
        <v>473</v>
      </c>
    </row>
    <row r="3613" spans="32:32" x14ac:dyDescent="0.2">
      <c r="AF3613" t="s">
        <v>473</v>
      </c>
    </row>
    <row r="3614" spans="32:32" x14ac:dyDescent="0.2">
      <c r="AF3614" t="s">
        <v>473</v>
      </c>
    </row>
    <row r="3615" spans="32:32" x14ac:dyDescent="0.2">
      <c r="AF3615" t="s">
        <v>473</v>
      </c>
    </row>
    <row r="3616" spans="32:32" x14ac:dyDescent="0.2">
      <c r="AF3616" t="s">
        <v>473</v>
      </c>
    </row>
    <row r="3617" spans="32:32" x14ac:dyDescent="0.2">
      <c r="AF3617" t="s">
        <v>473</v>
      </c>
    </row>
    <row r="3618" spans="32:32" x14ac:dyDescent="0.2">
      <c r="AF3618" t="s">
        <v>473</v>
      </c>
    </row>
    <row r="3619" spans="32:32" x14ac:dyDescent="0.2">
      <c r="AF3619" t="s">
        <v>473</v>
      </c>
    </row>
    <row r="3620" spans="32:32" x14ac:dyDescent="0.2">
      <c r="AF3620" t="s">
        <v>473</v>
      </c>
    </row>
    <row r="3621" spans="32:32" x14ac:dyDescent="0.2">
      <c r="AF3621" t="s">
        <v>473</v>
      </c>
    </row>
    <row r="3622" spans="32:32" x14ac:dyDescent="0.2">
      <c r="AF3622" t="s">
        <v>473</v>
      </c>
    </row>
    <row r="3623" spans="32:32" x14ac:dyDescent="0.2">
      <c r="AF3623" t="s">
        <v>473</v>
      </c>
    </row>
    <row r="3624" spans="32:32" x14ac:dyDescent="0.2">
      <c r="AF3624" t="s">
        <v>473</v>
      </c>
    </row>
    <row r="3625" spans="32:32" x14ac:dyDescent="0.2">
      <c r="AF3625" t="s">
        <v>473</v>
      </c>
    </row>
    <row r="3626" spans="32:32" x14ac:dyDescent="0.2">
      <c r="AF3626" t="s">
        <v>473</v>
      </c>
    </row>
    <row r="3627" spans="32:32" x14ac:dyDescent="0.2">
      <c r="AF3627" t="s">
        <v>473</v>
      </c>
    </row>
    <row r="3628" spans="32:32" x14ac:dyDescent="0.2">
      <c r="AF3628" t="s">
        <v>473</v>
      </c>
    </row>
    <row r="3629" spans="32:32" x14ac:dyDescent="0.2">
      <c r="AF3629" t="s">
        <v>473</v>
      </c>
    </row>
    <row r="3630" spans="32:32" x14ac:dyDescent="0.2">
      <c r="AF3630" t="s">
        <v>473</v>
      </c>
    </row>
    <row r="3631" spans="32:32" x14ac:dyDescent="0.2">
      <c r="AF3631" t="s">
        <v>473</v>
      </c>
    </row>
    <row r="3632" spans="32:32" x14ac:dyDescent="0.2">
      <c r="AF3632" t="s">
        <v>473</v>
      </c>
    </row>
    <row r="3633" spans="32:32" x14ac:dyDescent="0.2">
      <c r="AF3633" t="s">
        <v>473</v>
      </c>
    </row>
    <row r="3634" spans="32:32" x14ac:dyDescent="0.2">
      <c r="AF3634" t="s">
        <v>473</v>
      </c>
    </row>
    <row r="3635" spans="32:32" x14ac:dyDescent="0.2">
      <c r="AF3635" t="s">
        <v>473</v>
      </c>
    </row>
    <row r="3636" spans="32:32" x14ac:dyDescent="0.2">
      <c r="AF3636" t="s">
        <v>473</v>
      </c>
    </row>
    <row r="3637" spans="32:32" x14ac:dyDescent="0.2">
      <c r="AF3637" t="s">
        <v>473</v>
      </c>
    </row>
    <row r="3638" spans="32:32" x14ac:dyDescent="0.2">
      <c r="AF3638" t="s">
        <v>473</v>
      </c>
    </row>
    <row r="3639" spans="32:32" x14ac:dyDescent="0.2">
      <c r="AF3639" t="s">
        <v>473</v>
      </c>
    </row>
    <row r="3640" spans="32:32" x14ac:dyDescent="0.2">
      <c r="AF3640" t="s">
        <v>473</v>
      </c>
    </row>
    <row r="3641" spans="32:32" x14ac:dyDescent="0.2">
      <c r="AF3641" t="s">
        <v>473</v>
      </c>
    </row>
    <row r="3642" spans="32:32" x14ac:dyDescent="0.2">
      <c r="AF3642" t="s">
        <v>473</v>
      </c>
    </row>
    <row r="3643" spans="32:32" x14ac:dyDescent="0.2">
      <c r="AF3643" t="s">
        <v>473</v>
      </c>
    </row>
    <row r="3644" spans="32:32" x14ac:dyDescent="0.2">
      <c r="AF3644" t="s">
        <v>473</v>
      </c>
    </row>
    <row r="3645" spans="32:32" x14ac:dyDescent="0.2">
      <c r="AF3645" t="s">
        <v>473</v>
      </c>
    </row>
    <row r="3646" spans="32:32" x14ac:dyDescent="0.2">
      <c r="AF3646" t="s">
        <v>473</v>
      </c>
    </row>
    <row r="3647" spans="32:32" x14ac:dyDescent="0.2">
      <c r="AF3647" t="s">
        <v>473</v>
      </c>
    </row>
    <row r="3648" spans="32:32" x14ac:dyDescent="0.2">
      <c r="AF3648" t="s">
        <v>473</v>
      </c>
    </row>
    <row r="3649" spans="32:32" x14ac:dyDescent="0.2">
      <c r="AF3649" t="s">
        <v>473</v>
      </c>
    </row>
    <row r="3650" spans="32:32" x14ac:dyDescent="0.2">
      <c r="AF3650" t="s">
        <v>473</v>
      </c>
    </row>
    <row r="3651" spans="32:32" x14ac:dyDescent="0.2">
      <c r="AF3651" t="s">
        <v>473</v>
      </c>
    </row>
    <row r="3652" spans="32:32" x14ac:dyDescent="0.2">
      <c r="AF3652" t="s">
        <v>473</v>
      </c>
    </row>
    <row r="3653" spans="32:32" x14ac:dyDescent="0.2">
      <c r="AF3653" t="s">
        <v>473</v>
      </c>
    </row>
    <row r="3654" spans="32:32" x14ac:dyDescent="0.2">
      <c r="AF3654" t="s">
        <v>473</v>
      </c>
    </row>
    <row r="3655" spans="32:32" x14ac:dyDescent="0.2">
      <c r="AF3655" t="s">
        <v>473</v>
      </c>
    </row>
    <row r="3656" spans="32:32" x14ac:dyDescent="0.2">
      <c r="AF3656" t="s">
        <v>473</v>
      </c>
    </row>
    <row r="3657" spans="32:32" x14ac:dyDescent="0.2">
      <c r="AF3657" t="s">
        <v>473</v>
      </c>
    </row>
    <row r="3658" spans="32:32" x14ac:dyDescent="0.2">
      <c r="AF3658" t="s">
        <v>473</v>
      </c>
    </row>
    <row r="3659" spans="32:32" x14ac:dyDescent="0.2">
      <c r="AF3659" t="s">
        <v>473</v>
      </c>
    </row>
    <row r="3660" spans="32:32" x14ac:dyDescent="0.2">
      <c r="AF3660" t="s">
        <v>473</v>
      </c>
    </row>
    <row r="3661" spans="32:32" x14ac:dyDescent="0.2">
      <c r="AF3661" t="s">
        <v>473</v>
      </c>
    </row>
    <row r="3662" spans="32:32" x14ac:dyDescent="0.2">
      <c r="AF3662" t="s">
        <v>473</v>
      </c>
    </row>
    <row r="3663" spans="32:32" x14ac:dyDescent="0.2">
      <c r="AF3663" t="s">
        <v>473</v>
      </c>
    </row>
    <row r="3664" spans="32:32" x14ac:dyDescent="0.2">
      <c r="AF3664" t="s">
        <v>473</v>
      </c>
    </row>
    <row r="3665" spans="32:32" x14ac:dyDescent="0.2">
      <c r="AF3665" t="s">
        <v>473</v>
      </c>
    </row>
    <row r="3666" spans="32:32" x14ac:dyDescent="0.2">
      <c r="AF3666" t="s">
        <v>473</v>
      </c>
    </row>
    <row r="3667" spans="32:32" x14ac:dyDescent="0.2">
      <c r="AF3667" t="s">
        <v>473</v>
      </c>
    </row>
    <row r="3668" spans="32:32" x14ac:dyDescent="0.2">
      <c r="AF3668" t="s">
        <v>473</v>
      </c>
    </row>
    <row r="3669" spans="32:32" x14ac:dyDescent="0.2">
      <c r="AF3669" t="s">
        <v>473</v>
      </c>
    </row>
    <row r="3670" spans="32:32" x14ac:dyDescent="0.2">
      <c r="AF3670" t="s">
        <v>473</v>
      </c>
    </row>
    <row r="3671" spans="32:32" x14ac:dyDescent="0.2">
      <c r="AF3671" t="s">
        <v>473</v>
      </c>
    </row>
    <row r="3672" spans="32:32" x14ac:dyDescent="0.2">
      <c r="AF3672" t="s">
        <v>473</v>
      </c>
    </row>
    <row r="3673" spans="32:32" x14ac:dyDescent="0.2">
      <c r="AF3673" t="s">
        <v>473</v>
      </c>
    </row>
    <row r="3674" spans="32:32" x14ac:dyDescent="0.2">
      <c r="AF3674" t="s">
        <v>473</v>
      </c>
    </row>
    <row r="3675" spans="32:32" x14ac:dyDescent="0.2">
      <c r="AF3675" t="s">
        <v>473</v>
      </c>
    </row>
    <row r="3676" spans="32:32" x14ac:dyDescent="0.2">
      <c r="AF3676" t="s">
        <v>473</v>
      </c>
    </row>
    <row r="3677" spans="32:32" x14ac:dyDescent="0.2">
      <c r="AF3677" t="s">
        <v>473</v>
      </c>
    </row>
    <row r="3678" spans="32:32" x14ac:dyDescent="0.2">
      <c r="AF3678" t="s">
        <v>473</v>
      </c>
    </row>
    <row r="3679" spans="32:32" x14ac:dyDescent="0.2">
      <c r="AF3679" t="s">
        <v>473</v>
      </c>
    </row>
    <row r="3680" spans="32:32" x14ac:dyDescent="0.2">
      <c r="AF3680" t="s">
        <v>473</v>
      </c>
    </row>
    <row r="3681" spans="32:32" x14ac:dyDescent="0.2">
      <c r="AF3681" t="s">
        <v>473</v>
      </c>
    </row>
    <row r="3682" spans="32:32" x14ac:dyDescent="0.2">
      <c r="AF3682" t="s">
        <v>473</v>
      </c>
    </row>
    <row r="3683" spans="32:32" x14ac:dyDescent="0.2">
      <c r="AF3683" t="s">
        <v>473</v>
      </c>
    </row>
    <row r="3684" spans="32:32" x14ac:dyDescent="0.2">
      <c r="AF3684" t="s">
        <v>473</v>
      </c>
    </row>
    <row r="3685" spans="32:32" x14ac:dyDescent="0.2">
      <c r="AF3685" t="s">
        <v>473</v>
      </c>
    </row>
    <row r="3686" spans="32:32" x14ac:dyDescent="0.2">
      <c r="AF3686" t="s">
        <v>473</v>
      </c>
    </row>
    <row r="3687" spans="32:32" x14ac:dyDescent="0.2">
      <c r="AF3687" t="s">
        <v>473</v>
      </c>
    </row>
    <row r="3688" spans="32:32" x14ac:dyDescent="0.2">
      <c r="AF3688" t="s">
        <v>473</v>
      </c>
    </row>
    <row r="3689" spans="32:32" x14ac:dyDescent="0.2">
      <c r="AF3689" t="s">
        <v>473</v>
      </c>
    </row>
    <row r="3690" spans="32:32" x14ac:dyDescent="0.2">
      <c r="AF3690" t="s">
        <v>473</v>
      </c>
    </row>
    <row r="3691" spans="32:32" x14ac:dyDescent="0.2">
      <c r="AF3691" t="s">
        <v>473</v>
      </c>
    </row>
    <row r="3692" spans="32:32" x14ac:dyDescent="0.2">
      <c r="AF3692" t="s">
        <v>473</v>
      </c>
    </row>
    <row r="3693" spans="32:32" x14ac:dyDescent="0.2">
      <c r="AF3693" t="s">
        <v>473</v>
      </c>
    </row>
    <row r="3694" spans="32:32" x14ac:dyDescent="0.2">
      <c r="AF3694" t="s">
        <v>473</v>
      </c>
    </row>
    <row r="3695" spans="32:32" x14ac:dyDescent="0.2">
      <c r="AF3695" t="s">
        <v>473</v>
      </c>
    </row>
    <row r="3696" spans="32:32" x14ac:dyDescent="0.2">
      <c r="AF3696" t="s">
        <v>473</v>
      </c>
    </row>
    <row r="3697" spans="32:32" x14ac:dyDescent="0.2">
      <c r="AF3697" t="s">
        <v>473</v>
      </c>
    </row>
    <row r="3698" spans="32:32" x14ac:dyDescent="0.2">
      <c r="AF3698" t="s">
        <v>473</v>
      </c>
    </row>
    <row r="3699" spans="32:32" x14ac:dyDescent="0.2">
      <c r="AF3699" t="s">
        <v>473</v>
      </c>
    </row>
    <row r="3700" spans="32:32" x14ac:dyDescent="0.2">
      <c r="AF3700" t="s">
        <v>473</v>
      </c>
    </row>
    <row r="3701" spans="32:32" x14ac:dyDescent="0.2">
      <c r="AF3701" t="s">
        <v>473</v>
      </c>
    </row>
    <row r="3702" spans="32:32" x14ac:dyDescent="0.2">
      <c r="AF3702" t="s">
        <v>473</v>
      </c>
    </row>
    <row r="3703" spans="32:32" x14ac:dyDescent="0.2">
      <c r="AF3703" t="s">
        <v>473</v>
      </c>
    </row>
    <row r="3704" spans="32:32" x14ac:dyDescent="0.2">
      <c r="AF3704" t="s">
        <v>473</v>
      </c>
    </row>
    <row r="3705" spans="32:32" x14ac:dyDescent="0.2">
      <c r="AF3705" t="s">
        <v>473</v>
      </c>
    </row>
    <row r="3706" spans="32:32" x14ac:dyDescent="0.2">
      <c r="AF3706" t="s">
        <v>473</v>
      </c>
    </row>
    <row r="3707" spans="32:32" x14ac:dyDescent="0.2">
      <c r="AF3707" t="s">
        <v>473</v>
      </c>
    </row>
    <row r="3708" spans="32:32" x14ac:dyDescent="0.2">
      <c r="AF3708" t="s">
        <v>473</v>
      </c>
    </row>
    <row r="3709" spans="32:32" x14ac:dyDescent="0.2">
      <c r="AF3709" t="s">
        <v>473</v>
      </c>
    </row>
    <row r="3710" spans="32:32" x14ac:dyDescent="0.2">
      <c r="AF3710" t="s">
        <v>473</v>
      </c>
    </row>
    <row r="3711" spans="32:32" x14ac:dyDescent="0.2">
      <c r="AF3711" t="s">
        <v>473</v>
      </c>
    </row>
    <row r="3712" spans="32:32" x14ac:dyDescent="0.2">
      <c r="AF3712" t="s">
        <v>473</v>
      </c>
    </row>
    <row r="3713" spans="32:32" x14ac:dyDescent="0.2">
      <c r="AF3713" t="s">
        <v>473</v>
      </c>
    </row>
    <row r="3714" spans="32:32" x14ac:dyDescent="0.2">
      <c r="AF3714" t="s">
        <v>473</v>
      </c>
    </row>
    <row r="3715" spans="32:32" x14ac:dyDescent="0.2">
      <c r="AF3715" t="s">
        <v>473</v>
      </c>
    </row>
    <row r="3716" spans="32:32" x14ac:dyDescent="0.2">
      <c r="AF3716" t="s">
        <v>473</v>
      </c>
    </row>
    <row r="3717" spans="32:32" x14ac:dyDescent="0.2">
      <c r="AF3717" t="s">
        <v>473</v>
      </c>
    </row>
    <row r="3718" spans="32:32" x14ac:dyDescent="0.2">
      <c r="AF3718" t="s">
        <v>473</v>
      </c>
    </row>
    <row r="3719" spans="32:32" x14ac:dyDescent="0.2">
      <c r="AF3719" t="s">
        <v>473</v>
      </c>
    </row>
    <row r="3720" spans="32:32" x14ac:dyDescent="0.2">
      <c r="AF3720" t="s">
        <v>473</v>
      </c>
    </row>
    <row r="3721" spans="32:32" x14ac:dyDescent="0.2">
      <c r="AF3721" t="s">
        <v>473</v>
      </c>
    </row>
    <row r="3722" spans="32:32" x14ac:dyDescent="0.2">
      <c r="AF3722" t="s">
        <v>473</v>
      </c>
    </row>
    <row r="3723" spans="32:32" x14ac:dyDescent="0.2">
      <c r="AF3723" t="s">
        <v>473</v>
      </c>
    </row>
    <row r="3724" spans="32:32" x14ac:dyDescent="0.2">
      <c r="AF3724" t="s">
        <v>473</v>
      </c>
    </row>
    <row r="3725" spans="32:32" x14ac:dyDescent="0.2">
      <c r="AF3725" t="s">
        <v>473</v>
      </c>
    </row>
    <row r="3726" spans="32:32" x14ac:dyDescent="0.2">
      <c r="AF3726" t="s">
        <v>473</v>
      </c>
    </row>
    <row r="3727" spans="32:32" x14ac:dyDescent="0.2">
      <c r="AF3727" t="s">
        <v>473</v>
      </c>
    </row>
    <row r="3728" spans="32:32" x14ac:dyDescent="0.2">
      <c r="AF3728" t="s">
        <v>473</v>
      </c>
    </row>
    <row r="3729" spans="32:32" x14ac:dyDescent="0.2">
      <c r="AF3729" t="s">
        <v>473</v>
      </c>
    </row>
    <row r="3730" spans="32:32" x14ac:dyDescent="0.2">
      <c r="AF3730" t="s">
        <v>473</v>
      </c>
    </row>
    <row r="3731" spans="32:32" x14ac:dyDescent="0.2">
      <c r="AF3731" t="s">
        <v>473</v>
      </c>
    </row>
    <row r="3732" spans="32:32" x14ac:dyDescent="0.2">
      <c r="AF3732" t="s">
        <v>473</v>
      </c>
    </row>
    <row r="3733" spans="32:32" x14ac:dyDescent="0.2">
      <c r="AF3733" t="s">
        <v>473</v>
      </c>
    </row>
    <row r="3734" spans="32:32" x14ac:dyDescent="0.2">
      <c r="AF3734" t="s">
        <v>473</v>
      </c>
    </row>
    <row r="3735" spans="32:32" x14ac:dyDescent="0.2">
      <c r="AF3735" t="s">
        <v>473</v>
      </c>
    </row>
    <row r="3736" spans="32:32" x14ac:dyDescent="0.2">
      <c r="AF3736" t="s">
        <v>473</v>
      </c>
    </row>
    <row r="3737" spans="32:32" x14ac:dyDescent="0.2">
      <c r="AF3737" t="s">
        <v>473</v>
      </c>
    </row>
    <row r="3738" spans="32:32" x14ac:dyDescent="0.2">
      <c r="AF3738" t="s">
        <v>473</v>
      </c>
    </row>
    <row r="3739" spans="32:32" x14ac:dyDescent="0.2">
      <c r="AF3739" t="s">
        <v>473</v>
      </c>
    </row>
    <row r="3740" spans="32:32" x14ac:dyDescent="0.2">
      <c r="AF3740" t="s">
        <v>473</v>
      </c>
    </row>
    <row r="3741" spans="32:32" x14ac:dyDescent="0.2">
      <c r="AF3741" t="s">
        <v>473</v>
      </c>
    </row>
    <row r="3742" spans="32:32" x14ac:dyDescent="0.2">
      <c r="AF3742" t="s">
        <v>473</v>
      </c>
    </row>
    <row r="3743" spans="32:32" x14ac:dyDescent="0.2">
      <c r="AF3743" t="s">
        <v>473</v>
      </c>
    </row>
    <row r="3744" spans="32:32" x14ac:dyDescent="0.2">
      <c r="AF3744" t="s">
        <v>473</v>
      </c>
    </row>
    <row r="3745" spans="32:32" x14ac:dyDescent="0.2">
      <c r="AF3745" t="s">
        <v>473</v>
      </c>
    </row>
    <row r="3746" spans="32:32" x14ac:dyDescent="0.2">
      <c r="AF3746" t="s">
        <v>473</v>
      </c>
    </row>
    <row r="3747" spans="32:32" x14ac:dyDescent="0.2">
      <c r="AF3747" t="s">
        <v>473</v>
      </c>
    </row>
    <row r="3748" spans="32:32" x14ac:dyDescent="0.2">
      <c r="AF3748" t="s">
        <v>473</v>
      </c>
    </row>
    <row r="3749" spans="32:32" x14ac:dyDescent="0.2">
      <c r="AF3749" t="s">
        <v>473</v>
      </c>
    </row>
    <row r="3750" spans="32:32" x14ac:dyDescent="0.2">
      <c r="AF3750" t="s">
        <v>473</v>
      </c>
    </row>
    <row r="3751" spans="32:32" x14ac:dyDescent="0.2">
      <c r="AF3751" t="s">
        <v>473</v>
      </c>
    </row>
    <row r="3752" spans="32:32" x14ac:dyDescent="0.2">
      <c r="AF3752" t="s">
        <v>473</v>
      </c>
    </row>
    <row r="3753" spans="32:32" x14ac:dyDescent="0.2">
      <c r="AF3753" t="s">
        <v>473</v>
      </c>
    </row>
    <row r="3754" spans="32:32" x14ac:dyDescent="0.2">
      <c r="AF3754" t="s">
        <v>473</v>
      </c>
    </row>
    <row r="3755" spans="32:32" x14ac:dyDescent="0.2">
      <c r="AF3755" t="s">
        <v>473</v>
      </c>
    </row>
    <row r="3756" spans="32:32" x14ac:dyDescent="0.2">
      <c r="AF3756" t="s">
        <v>473</v>
      </c>
    </row>
    <row r="3757" spans="32:32" x14ac:dyDescent="0.2">
      <c r="AF3757" t="s">
        <v>473</v>
      </c>
    </row>
    <row r="3758" spans="32:32" x14ac:dyDescent="0.2">
      <c r="AF3758" t="s">
        <v>473</v>
      </c>
    </row>
    <row r="3759" spans="32:32" x14ac:dyDescent="0.2">
      <c r="AF3759" t="s">
        <v>473</v>
      </c>
    </row>
    <row r="3760" spans="32:32" x14ac:dyDescent="0.2">
      <c r="AF3760" t="s">
        <v>473</v>
      </c>
    </row>
    <row r="3761" spans="32:32" x14ac:dyDescent="0.2">
      <c r="AF3761" t="s">
        <v>473</v>
      </c>
    </row>
    <row r="3762" spans="32:32" x14ac:dyDescent="0.2">
      <c r="AF3762" t="s">
        <v>473</v>
      </c>
    </row>
    <row r="3763" spans="32:32" x14ac:dyDescent="0.2">
      <c r="AF3763" t="s">
        <v>473</v>
      </c>
    </row>
    <row r="3764" spans="32:32" x14ac:dyDescent="0.2">
      <c r="AF3764" t="s">
        <v>473</v>
      </c>
    </row>
    <row r="3765" spans="32:32" x14ac:dyDescent="0.2">
      <c r="AF3765" t="s">
        <v>473</v>
      </c>
    </row>
    <row r="3766" spans="32:32" x14ac:dyDescent="0.2">
      <c r="AF3766" t="s">
        <v>473</v>
      </c>
    </row>
    <row r="3767" spans="32:32" x14ac:dyDescent="0.2">
      <c r="AF3767" t="s">
        <v>473</v>
      </c>
    </row>
    <row r="3768" spans="32:32" x14ac:dyDescent="0.2">
      <c r="AF3768" t="s">
        <v>473</v>
      </c>
    </row>
    <row r="3769" spans="32:32" x14ac:dyDescent="0.2">
      <c r="AF3769" t="s">
        <v>473</v>
      </c>
    </row>
    <row r="3770" spans="32:32" x14ac:dyDescent="0.2">
      <c r="AF3770" t="s">
        <v>473</v>
      </c>
    </row>
    <row r="3771" spans="32:32" x14ac:dyDescent="0.2">
      <c r="AF3771" t="s">
        <v>473</v>
      </c>
    </row>
    <row r="3772" spans="32:32" x14ac:dyDescent="0.2">
      <c r="AF3772" t="s">
        <v>473</v>
      </c>
    </row>
    <row r="3773" spans="32:32" x14ac:dyDescent="0.2">
      <c r="AF3773" t="s">
        <v>473</v>
      </c>
    </row>
    <row r="3774" spans="32:32" x14ac:dyDescent="0.2">
      <c r="AF3774" t="s">
        <v>473</v>
      </c>
    </row>
    <row r="3775" spans="32:32" x14ac:dyDescent="0.2">
      <c r="AF3775" t="s">
        <v>473</v>
      </c>
    </row>
    <row r="3776" spans="32:32" x14ac:dyDescent="0.2">
      <c r="AF3776" t="s">
        <v>473</v>
      </c>
    </row>
    <row r="3777" spans="32:32" x14ac:dyDescent="0.2">
      <c r="AF3777" t="s">
        <v>473</v>
      </c>
    </row>
    <row r="3778" spans="32:32" x14ac:dyDescent="0.2">
      <c r="AF3778" t="s">
        <v>473</v>
      </c>
    </row>
    <row r="3779" spans="32:32" x14ac:dyDescent="0.2">
      <c r="AF3779" t="s">
        <v>473</v>
      </c>
    </row>
    <row r="3780" spans="32:32" x14ac:dyDescent="0.2">
      <c r="AF3780" t="s">
        <v>473</v>
      </c>
    </row>
    <row r="3781" spans="32:32" x14ac:dyDescent="0.2">
      <c r="AF3781" t="s">
        <v>473</v>
      </c>
    </row>
    <row r="3782" spans="32:32" x14ac:dyDescent="0.2">
      <c r="AF3782" t="s">
        <v>473</v>
      </c>
    </row>
    <row r="3783" spans="32:32" x14ac:dyDescent="0.2">
      <c r="AF3783" t="s">
        <v>473</v>
      </c>
    </row>
    <row r="3784" spans="32:32" x14ac:dyDescent="0.2">
      <c r="AF3784" t="s">
        <v>473</v>
      </c>
    </row>
    <row r="3785" spans="32:32" x14ac:dyDescent="0.2">
      <c r="AF3785" t="s">
        <v>473</v>
      </c>
    </row>
    <row r="3786" spans="32:32" x14ac:dyDescent="0.2">
      <c r="AF3786" t="s">
        <v>473</v>
      </c>
    </row>
    <row r="3787" spans="32:32" x14ac:dyDescent="0.2">
      <c r="AF3787" t="s">
        <v>473</v>
      </c>
    </row>
    <row r="3788" spans="32:32" x14ac:dyDescent="0.2">
      <c r="AF3788" t="s">
        <v>473</v>
      </c>
    </row>
    <row r="3789" spans="32:32" x14ac:dyDescent="0.2">
      <c r="AF3789" t="s">
        <v>473</v>
      </c>
    </row>
    <row r="3790" spans="32:32" x14ac:dyDescent="0.2">
      <c r="AF3790" t="s">
        <v>473</v>
      </c>
    </row>
    <row r="3791" spans="32:32" x14ac:dyDescent="0.2">
      <c r="AF3791" t="s">
        <v>473</v>
      </c>
    </row>
    <row r="3792" spans="32:32" x14ac:dyDescent="0.2">
      <c r="AF3792" t="s">
        <v>473</v>
      </c>
    </row>
    <row r="3793" spans="32:32" x14ac:dyDescent="0.2">
      <c r="AF3793" t="s">
        <v>473</v>
      </c>
    </row>
    <row r="3794" spans="32:32" x14ac:dyDescent="0.2">
      <c r="AF3794" t="s">
        <v>473</v>
      </c>
    </row>
    <row r="3795" spans="32:32" x14ac:dyDescent="0.2">
      <c r="AF3795" t="s">
        <v>473</v>
      </c>
    </row>
    <row r="3796" spans="32:32" x14ac:dyDescent="0.2">
      <c r="AF3796" t="s">
        <v>473</v>
      </c>
    </row>
    <row r="3797" spans="32:32" x14ac:dyDescent="0.2">
      <c r="AF3797" t="s">
        <v>473</v>
      </c>
    </row>
    <row r="3798" spans="32:32" x14ac:dyDescent="0.2">
      <c r="AF3798" t="s">
        <v>473</v>
      </c>
    </row>
    <row r="3799" spans="32:32" x14ac:dyDescent="0.2">
      <c r="AF3799" t="s">
        <v>473</v>
      </c>
    </row>
    <row r="3800" spans="32:32" x14ac:dyDescent="0.2">
      <c r="AF3800" t="s">
        <v>473</v>
      </c>
    </row>
    <row r="3801" spans="32:32" x14ac:dyDescent="0.2">
      <c r="AF3801" t="s">
        <v>473</v>
      </c>
    </row>
    <row r="3802" spans="32:32" x14ac:dyDescent="0.2">
      <c r="AF3802" t="s">
        <v>473</v>
      </c>
    </row>
    <row r="3803" spans="32:32" x14ac:dyDescent="0.2">
      <c r="AF3803" t="s">
        <v>473</v>
      </c>
    </row>
    <row r="3804" spans="32:32" x14ac:dyDescent="0.2">
      <c r="AF3804" t="s">
        <v>473</v>
      </c>
    </row>
    <row r="3805" spans="32:32" x14ac:dyDescent="0.2">
      <c r="AF3805" t="s">
        <v>473</v>
      </c>
    </row>
    <row r="3806" spans="32:32" x14ac:dyDescent="0.2">
      <c r="AF3806" t="s">
        <v>473</v>
      </c>
    </row>
    <row r="3807" spans="32:32" x14ac:dyDescent="0.2">
      <c r="AF3807" t="s">
        <v>473</v>
      </c>
    </row>
    <row r="3808" spans="32:32" x14ac:dyDescent="0.2">
      <c r="AF3808" t="s">
        <v>473</v>
      </c>
    </row>
    <row r="3809" spans="32:32" x14ac:dyDescent="0.2">
      <c r="AF3809" t="s">
        <v>473</v>
      </c>
    </row>
    <row r="3810" spans="32:32" x14ac:dyDescent="0.2">
      <c r="AF3810" t="s">
        <v>473</v>
      </c>
    </row>
    <row r="3811" spans="32:32" x14ac:dyDescent="0.2">
      <c r="AF3811" t="s">
        <v>473</v>
      </c>
    </row>
    <row r="3812" spans="32:32" x14ac:dyDescent="0.2">
      <c r="AF3812" t="s">
        <v>473</v>
      </c>
    </row>
    <row r="3813" spans="32:32" x14ac:dyDescent="0.2">
      <c r="AF3813" t="s">
        <v>473</v>
      </c>
    </row>
    <row r="3814" spans="32:32" x14ac:dyDescent="0.2">
      <c r="AF3814" t="s">
        <v>473</v>
      </c>
    </row>
    <row r="3815" spans="32:32" x14ac:dyDescent="0.2">
      <c r="AF3815" t="s">
        <v>473</v>
      </c>
    </row>
    <row r="3816" spans="32:32" x14ac:dyDescent="0.2">
      <c r="AF3816" t="s">
        <v>473</v>
      </c>
    </row>
    <row r="3817" spans="32:32" x14ac:dyDescent="0.2">
      <c r="AF3817" t="s">
        <v>473</v>
      </c>
    </row>
    <row r="3818" spans="32:32" x14ac:dyDescent="0.2">
      <c r="AF3818" t="s">
        <v>473</v>
      </c>
    </row>
    <row r="3819" spans="32:32" x14ac:dyDescent="0.2">
      <c r="AF3819" t="s">
        <v>473</v>
      </c>
    </row>
    <row r="3820" spans="32:32" x14ac:dyDescent="0.2">
      <c r="AF3820" t="s">
        <v>473</v>
      </c>
    </row>
    <row r="3821" spans="32:32" x14ac:dyDescent="0.2">
      <c r="AF3821" t="s">
        <v>473</v>
      </c>
    </row>
    <row r="3822" spans="32:32" x14ac:dyDescent="0.2">
      <c r="AF3822" t="s">
        <v>473</v>
      </c>
    </row>
    <row r="3823" spans="32:32" x14ac:dyDescent="0.2">
      <c r="AF3823" t="s">
        <v>473</v>
      </c>
    </row>
    <row r="3824" spans="32:32" x14ac:dyDescent="0.2">
      <c r="AF3824" t="s">
        <v>473</v>
      </c>
    </row>
    <row r="3825" spans="32:32" x14ac:dyDescent="0.2">
      <c r="AF3825" t="s">
        <v>473</v>
      </c>
    </row>
    <row r="3826" spans="32:32" x14ac:dyDescent="0.2">
      <c r="AF3826" t="s">
        <v>473</v>
      </c>
    </row>
    <row r="3827" spans="32:32" x14ac:dyDescent="0.2">
      <c r="AF3827" t="s">
        <v>473</v>
      </c>
    </row>
    <row r="3828" spans="32:32" x14ac:dyDescent="0.2">
      <c r="AF3828" t="s">
        <v>473</v>
      </c>
    </row>
    <row r="3829" spans="32:32" x14ac:dyDescent="0.2">
      <c r="AF3829" t="s">
        <v>473</v>
      </c>
    </row>
    <row r="3830" spans="32:32" x14ac:dyDescent="0.2">
      <c r="AF3830" t="s">
        <v>473</v>
      </c>
    </row>
    <row r="3831" spans="32:32" x14ac:dyDescent="0.2">
      <c r="AF3831" t="s">
        <v>473</v>
      </c>
    </row>
    <row r="3832" spans="32:32" x14ac:dyDescent="0.2">
      <c r="AF3832" t="s">
        <v>473</v>
      </c>
    </row>
    <row r="3833" spans="32:32" x14ac:dyDescent="0.2">
      <c r="AF3833" t="s">
        <v>473</v>
      </c>
    </row>
    <row r="3834" spans="32:32" x14ac:dyDescent="0.2">
      <c r="AF3834" t="s">
        <v>473</v>
      </c>
    </row>
    <row r="3835" spans="32:32" x14ac:dyDescent="0.2">
      <c r="AF3835" t="s">
        <v>473</v>
      </c>
    </row>
    <row r="3836" spans="32:32" x14ac:dyDescent="0.2">
      <c r="AF3836" t="s">
        <v>473</v>
      </c>
    </row>
    <row r="3837" spans="32:32" x14ac:dyDescent="0.2">
      <c r="AF3837" t="s">
        <v>473</v>
      </c>
    </row>
    <row r="3838" spans="32:32" x14ac:dyDescent="0.2">
      <c r="AF3838" t="s">
        <v>473</v>
      </c>
    </row>
    <row r="3839" spans="32:32" x14ac:dyDescent="0.2">
      <c r="AF3839" t="s">
        <v>473</v>
      </c>
    </row>
    <row r="3840" spans="32:32" x14ac:dyDescent="0.2">
      <c r="AF3840" t="s">
        <v>473</v>
      </c>
    </row>
    <row r="3841" spans="32:32" x14ac:dyDescent="0.2">
      <c r="AF3841" t="s">
        <v>473</v>
      </c>
    </row>
    <row r="3842" spans="32:32" x14ac:dyDescent="0.2">
      <c r="AF3842" t="s">
        <v>473</v>
      </c>
    </row>
    <row r="3843" spans="32:32" x14ac:dyDescent="0.2">
      <c r="AF3843" t="s">
        <v>473</v>
      </c>
    </row>
    <row r="3844" spans="32:32" x14ac:dyDescent="0.2">
      <c r="AF3844" t="s">
        <v>473</v>
      </c>
    </row>
    <row r="3845" spans="32:32" x14ac:dyDescent="0.2">
      <c r="AF3845" t="s">
        <v>473</v>
      </c>
    </row>
    <row r="3846" spans="32:32" x14ac:dyDescent="0.2">
      <c r="AF3846" t="s">
        <v>473</v>
      </c>
    </row>
    <row r="3847" spans="32:32" x14ac:dyDescent="0.2">
      <c r="AF3847" t="s">
        <v>473</v>
      </c>
    </row>
    <row r="3848" spans="32:32" x14ac:dyDescent="0.2">
      <c r="AF3848" t="s">
        <v>473</v>
      </c>
    </row>
    <row r="3849" spans="32:32" x14ac:dyDescent="0.2">
      <c r="AF3849" t="s">
        <v>473</v>
      </c>
    </row>
    <row r="3850" spans="32:32" x14ac:dyDescent="0.2">
      <c r="AF3850" t="s">
        <v>473</v>
      </c>
    </row>
    <row r="3851" spans="32:32" x14ac:dyDescent="0.2">
      <c r="AF3851" t="s">
        <v>473</v>
      </c>
    </row>
    <row r="3852" spans="32:32" x14ac:dyDescent="0.2">
      <c r="AF3852" t="s">
        <v>473</v>
      </c>
    </row>
    <row r="3853" spans="32:32" x14ac:dyDescent="0.2">
      <c r="AF3853" t="s">
        <v>473</v>
      </c>
    </row>
    <row r="3854" spans="32:32" x14ac:dyDescent="0.2">
      <c r="AF3854" t="s">
        <v>473</v>
      </c>
    </row>
    <row r="3855" spans="32:32" x14ac:dyDescent="0.2">
      <c r="AF3855" t="s">
        <v>473</v>
      </c>
    </row>
    <row r="3856" spans="32:32" x14ac:dyDescent="0.2">
      <c r="AF3856" t="s">
        <v>473</v>
      </c>
    </row>
    <row r="3857" spans="32:32" x14ac:dyDescent="0.2">
      <c r="AF3857" t="s">
        <v>473</v>
      </c>
    </row>
    <row r="3858" spans="32:32" x14ac:dyDescent="0.2">
      <c r="AF3858" t="s">
        <v>473</v>
      </c>
    </row>
    <row r="3859" spans="32:32" x14ac:dyDescent="0.2">
      <c r="AF3859" t="s">
        <v>473</v>
      </c>
    </row>
    <row r="3860" spans="32:32" x14ac:dyDescent="0.2">
      <c r="AF3860" t="s">
        <v>473</v>
      </c>
    </row>
    <row r="3861" spans="32:32" x14ac:dyDescent="0.2">
      <c r="AF3861" t="s">
        <v>473</v>
      </c>
    </row>
    <row r="3862" spans="32:32" x14ac:dyDescent="0.2">
      <c r="AF3862" t="s">
        <v>473</v>
      </c>
    </row>
    <row r="3863" spans="32:32" x14ac:dyDescent="0.2">
      <c r="AF3863" t="s">
        <v>473</v>
      </c>
    </row>
    <row r="3864" spans="32:32" x14ac:dyDescent="0.2">
      <c r="AF3864" t="s">
        <v>473</v>
      </c>
    </row>
    <row r="3865" spans="32:32" x14ac:dyDescent="0.2">
      <c r="AF3865" t="s">
        <v>473</v>
      </c>
    </row>
    <row r="3866" spans="32:32" x14ac:dyDescent="0.2">
      <c r="AF3866" t="s">
        <v>473</v>
      </c>
    </row>
    <row r="3867" spans="32:32" x14ac:dyDescent="0.2">
      <c r="AF3867" t="s">
        <v>473</v>
      </c>
    </row>
    <row r="3868" spans="32:32" x14ac:dyDescent="0.2">
      <c r="AF3868" t="s">
        <v>473</v>
      </c>
    </row>
    <row r="3869" spans="32:32" x14ac:dyDescent="0.2">
      <c r="AF3869" t="s">
        <v>473</v>
      </c>
    </row>
    <row r="3870" spans="32:32" x14ac:dyDescent="0.2">
      <c r="AF3870" t="s">
        <v>473</v>
      </c>
    </row>
    <row r="3871" spans="32:32" x14ac:dyDescent="0.2">
      <c r="AF3871" t="s">
        <v>473</v>
      </c>
    </row>
    <row r="3872" spans="32:32" x14ac:dyDescent="0.2">
      <c r="AF3872" t="s">
        <v>473</v>
      </c>
    </row>
    <row r="3873" spans="32:32" x14ac:dyDescent="0.2">
      <c r="AF3873" t="s">
        <v>473</v>
      </c>
    </row>
    <row r="3874" spans="32:32" x14ac:dyDescent="0.2">
      <c r="AF3874" t="s">
        <v>473</v>
      </c>
    </row>
    <row r="3875" spans="32:32" x14ac:dyDescent="0.2">
      <c r="AF3875" t="s">
        <v>473</v>
      </c>
    </row>
    <row r="3876" spans="32:32" x14ac:dyDescent="0.2">
      <c r="AF3876" t="s">
        <v>473</v>
      </c>
    </row>
    <row r="3877" spans="32:32" x14ac:dyDescent="0.2">
      <c r="AF3877" t="s">
        <v>473</v>
      </c>
    </row>
    <row r="3878" spans="32:32" x14ac:dyDescent="0.2">
      <c r="AF3878" t="s">
        <v>473</v>
      </c>
    </row>
    <row r="3879" spans="32:32" x14ac:dyDescent="0.2">
      <c r="AF3879" t="s">
        <v>473</v>
      </c>
    </row>
    <row r="3880" spans="32:32" x14ac:dyDescent="0.2">
      <c r="AF3880" t="s">
        <v>473</v>
      </c>
    </row>
    <row r="3881" spans="32:32" x14ac:dyDescent="0.2">
      <c r="AF3881" t="s">
        <v>473</v>
      </c>
    </row>
    <row r="3882" spans="32:32" x14ac:dyDescent="0.2">
      <c r="AF3882" t="s">
        <v>473</v>
      </c>
    </row>
    <row r="3883" spans="32:32" x14ac:dyDescent="0.2">
      <c r="AF3883" t="s">
        <v>473</v>
      </c>
    </row>
    <row r="3884" spans="32:32" x14ac:dyDescent="0.2">
      <c r="AF3884" t="s">
        <v>473</v>
      </c>
    </row>
    <row r="3885" spans="32:32" x14ac:dyDescent="0.2">
      <c r="AF3885" t="s">
        <v>473</v>
      </c>
    </row>
    <row r="3886" spans="32:32" x14ac:dyDescent="0.2">
      <c r="AF3886" t="s">
        <v>473</v>
      </c>
    </row>
    <row r="3887" spans="32:32" x14ac:dyDescent="0.2">
      <c r="AF3887" t="s">
        <v>473</v>
      </c>
    </row>
    <row r="3888" spans="32:32" x14ac:dyDescent="0.2">
      <c r="AF3888" t="s">
        <v>473</v>
      </c>
    </row>
    <row r="3889" spans="32:32" x14ac:dyDescent="0.2">
      <c r="AF3889" t="s">
        <v>473</v>
      </c>
    </row>
    <row r="3890" spans="32:32" x14ac:dyDescent="0.2">
      <c r="AF3890" t="s">
        <v>473</v>
      </c>
    </row>
    <row r="3891" spans="32:32" x14ac:dyDescent="0.2">
      <c r="AF3891" t="s">
        <v>473</v>
      </c>
    </row>
    <row r="3892" spans="32:32" x14ac:dyDescent="0.2">
      <c r="AF3892" t="s">
        <v>473</v>
      </c>
    </row>
    <row r="3893" spans="32:32" x14ac:dyDescent="0.2">
      <c r="AF3893" t="s">
        <v>473</v>
      </c>
    </row>
    <row r="3894" spans="32:32" x14ac:dyDescent="0.2">
      <c r="AF3894" t="s">
        <v>473</v>
      </c>
    </row>
    <row r="3895" spans="32:32" x14ac:dyDescent="0.2">
      <c r="AF3895" t="s">
        <v>473</v>
      </c>
    </row>
    <row r="3896" spans="32:32" x14ac:dyDescent="0.2">
      <c r="AF3896" t="s">
        <v>473</v>
      </c>
    </row>
    <row r="3897" spans="32:32" x14ac:dyDescent="0.2">
      <c r="AF3897" t="s">
        <v>473</v>
      </c>
    </row>
    <row r="3898" spans="32:32" x14ac:dyDescent="0.2">
      <c r="AF3898" t="s">
        <v>473</v>
      </c>
    </row>
    <row r="3899" spans="32:32" x14ac:dyDescent="0.2">
      <c r="AF3899" t="s">
        <v>473</v>
      </c>
    </row>
    <row r="3900" spans="32:32" x14ac:dyDescent="0.2">
      <c r="AF3900" t="s">
        <v>473</v>
      </c>
    </row>
    <row r="3901" spans="32:32" x14ac:dyDescent="0.2">
      <c r="AF3901" t="s">
        <v>473</v>
      </c>
    </row>
    <row r="3902" spans="32:32" x14ac:dyDescent="0.2">
      <c r="AF3902" t="s">
        <v>473</v>
      </c>
    </row>
    <row r="3903" spans="32:32" x14ac:dyDescent="0.2">
      <c r="AF3903" t="s">
        <v>473</v>
      </c>
    </row>
    <row r="3904" spans="32:32" x14ac:dyDescent="0.2">
      <c r="AF3904" t="s">
        <v>473</v>
      </c>
    </row>
    <row r="3905" spans="32:32" x14ac:dyDescent="0.2">
      <c r="AF3905" t="s">
        <v>473</v>
      </c>
    </row>
    <row r="3906" spans="32:32" x14ac:dyDescent="0.2">
      <c r="AF3906" t="s">
        <v>473</v>
      </c>
    </row>
    <row r="3907" spans="32:32" x14ac:dyDescent="0.2">
      <c r="AF3907" t="s">
        <v>473</v>
      </c>
    </row>
    <row r="3908" spans="32:32" x14ac:dyDescent="0.2">
      <c r="AF3908" t="s">
        <v>473</v>
      </c>
    </row>
    <row r="3909" spans="32:32" x14ac:dyDescent="0.2">
      <c r="AF3909" t="s">
        <v>473</v>
      </c>
    </row>
    <row r="3910" spans="32:32" x14ac:dyDescent="0.2">
      <c r="AF3910" t="s">
        <v>473</v>
      </c>
    </row>
    <row r="3911" spans="32:32" x14ac:dyDescent="0.2">
      <c r="AF3911" t="s">
        <v>473</v>
      </c>
    </row>
    <row r="3912" spans="32:32" x14ac:dyDescent="0.2">
      <c r="AF3912" t="s">
        <v>473</v>
      </c>
    </row>
    <row r="3913" spans="32:32" x14ac:dyDescent="0.2">
      <c r="AF3913" t="s">
        <v>473</v>
      </c>
    </row>
    <row r="3914" spans="32:32" x14ac:dyDescent="0.2">
      <c r="AF3914" t="s">
        <v>473</v>
      </c>
    </row>
    <row r="3915" spans="32:32" x14ac:dyDescent="0.2">
      <c r="AF3915" t="s">
        <v>473</v>
      </c>
    </row>
    <row r="3916" spans="32:32" x14ac:dyDescent="0.2">
      <c r="AF3916" t="s">
        <v>473</v>
      </c>
    </row>
    <row r="3917" spans="32:32" x14ac:dyDescent="0.2">
      <c r="AF3917" t="s">
        <v>473</v>
      </c>
    </row>
    <row r="3918" spans="32:32" x14ac:dyDescent="0.2">
      <c r="AF3918" t="s">
        <v>473</v>
      </c>
    </row>
    <row r="3919" spans="32:32" x14ac:dyDescent="0.2">
      <c r="AF3919" t="s">
        <v>473</v>
      </c>
    </row>
    <row r="3920" spans="32:32" x14ac:dyDescent="0.2">
      <c r="AF3920" t="s">
        <v>473</v>
      </c>
    </row>
    <row r="3921" spans="32:32" x14ac:dyDescent="0.2">
      <c r="AF3921" t="s">
        <v>473</v>
      </c>
    </row>
    <row r="3922" spans="32:32" x14ac:dyDescent="0.2">
      <c r="AF3922" t="s">
        <v>473</v>
      </c>
    </row>
    <row r="3923" spans="32:32" x14ac:dyDescent="0.2">
      <c r="AF3923" t="s">
        <v>473</v>
      </c>
    </row>
    <row r="3924" spans="32:32" x14ac:dyDescent="0.2">
      <c r="AF3924" t="s">
        <v>473</v>
      </c>
    </row>
    <row r="3925" spans="32:32" x14ac:dyDescent="0.2">
      <c r="AF3925" t="s">
        <v>473</v>
      </c>
    </row>
    <row r="3926" spans="32:32" x14ac:dyDescent="0.2">
      <c r="AF3926" t="s">
        <v>473</v>
      </c>
    </row>
    <row r="3927" spans="32:32" x14ac:dyDescent="0.2">
      <c r="AF3927" t="s">
        <v>473</v>
      </c>
    </row>
    <row r="3928" spans="32:32" x14ac:dyDescent="0.2">
      <c r="AF3928" t="s">
        <v>473</v>
      </c>
    </row>
    <row r="3929" spans="32:32" x14ac:dyDescent="0.2">
      <c r="AF3929" t="s">
        <v>473</v>
      </c>
    </row>
    <row r="3930" spans="32:32" x14ac:dyDescent="0.2">
      <c r="AF3930" t="s">
        <v>473</v>
      </c>
    </row>
    <row r="3931" spans="32:32" x14ac:dyDescent="0.2">
      <c r="AF3931" t="s">
        <v>473</v>
      </c>
    </row>
    <row r="3932" spans="32:32" x14ac:dyDescent="0.2">
      <c r="AF3932" t="s">
        <v>473</v>
      </c>
    </row>
    <row r="3933" spans="32:32" x14ac:dyDescent="0.2">
      <c r="AF3933" t="s">
        <v>473</v>
      </c>
    </row>
    <row r="3934" spans="32:32" x14ac:dyDescent="0.2">
      <c r="AF3934" t="s">
        <v>473</v>
      </c>
    </row>
    <row r="3935" spans="32:32" x14ac:dyDescent="0.2">
      <c r="AF3935" t="s">
        <v>473</v>
      </c>
    </row>
    <row r="3936" spans="32:32" x14ac:dyDescent="0.2">
      <c r="AF3936" t="s">
        <v>473</v>
      </c>
    </row>
    <row r="3937" spans="32:32" x14ac:dyDescent="0.2">
      <c r="AF3937" t="s">
        <v>473</v>
      </c>
    </row>
    <row r="3938" spans="32:32" x14ac:dyDescent="0.2">
      <c r="AF3938" t="s">
        <v>473</v>
      </c>
    </row>
    <row r="3939" spans="32:32" x14ac:dyDescent="0.2">
      <c r="AF3939" t="s">
        <v>473</v>
      </c>
    </row>
    <row r="3940" spans="32:32" x14ac:dyDescent="0.2">
      <c r="AF3940" t="s">
        <v>473</v>
      </c>
    </row>
    <row r="3941" spans="32:32" x14ac:dyDescent="0.2">
      <c r="AF3941" t="s">
        <v>473</v>
      </c>
    </row>
    <row r="3942" spans="32:32" x14ac:dyDescent="0.2">
      <c r="AF3942" t="s">
        <v>473</v>
      </c>
    </row>
    <row r="3943" spans="32:32" x14ac:dyDescent="0.2">
      <c r="AF3943" t="s">
        <v>473</v>
      </c>
    </row>
    <row r="3944" spans="32:32" x14ac:dyDescent="0.2">
      <c r="AF3944" t="s">
        <v>473</v>
      </c>
    </row>
    <row r="3945" spans="32:32" x14ac:dyDescent="0.2">
      <c r="AF3945" t="s">
        <v>473</v>
      </c>
    </row>
    <row r="3946" spans="32:32" x14ac:dyDescent="0.2">
      <c r="AF3946" t="s">
        <v>473</v>
      </c>
    </row>
    <row r="3947" spans="32:32" x14ac:dyDescent="0.2">
      <c r="AF3947" t="s">
        <v>473</v>
      </c>
    </row>
    <row r="3948" spans="32:32" x14ac:dyDescent="0.2">
      <c r="AF3948" t="s">
        <v>473</v>
      </c>
    </row>
    <row r="3949" spans="32:32" x14ac:dyDescent="0.2">
      <c r="AF3949" t="s">
        <v>473</v>
      </c>
    </row>
    <row r="3950" spans="32:32" x14ac:dyDescent="0.2">
      <c r="AF3950" t="s">
        <v>473</v>
      </c>
    </row>
    <row r="3951" spans="32:32" x14ac:dyDescent="0.2">
      <c r="AF3951" t="s">
        <v>473</v>
      </c>
    </row>
    <row r="3952" spans="32:32" x14ac:dyDescent="0.2">
      <c r="AF3952" t="s">
        <v>473</v>
      </c>
    </row>
    <row r="3953" spans="32:32" x14ac:dyDescent="0.2">
      <c r="AF3953" t="s">
        <v>473</v>
      </c>
    </row>
    <row r="3954" spans="32:32" x14ac:dyDescent="0.2">
      <c r="AF3954" t="s">
        <v>473</v>
      </c>
    </row>
    <row r="3955" spans="32:32" x14ac:dyDescent="0.2">
      <c r="AF3955" t="s">
        <v>473</v>
      </c>
    </row>
    <row r="3956" spans="32:32" x14ac:dyDescent="0.2">
      <c r="AF3956" t="s">
        <v>473</v>
      </c>
    </row>
    <row r="3957" spans="32:32" x14ac:dyDescent="0.2">
      <c r="AF3957" t="s">
        <v>473</v>
      </c>
    </row>
    <row r="3958" spans="32:32" x14ac:dyDescent="0.2">
      <c r="AF3958" t="s">
        <v>473</v>
      </c>
    </row>
    <row r="3959" spans="32:32" x14ac:dyDescent="0.2">
      <c r="AF3959" t="s">
        <v>473</v>
      </c>
    </row>
    <row r="3960" spans="32:32" x14ac:dyDescent="0.2">
      <c r="AF3960" t="s">
        <v>473</v>
      </c>
    </row>
    <row r="3961" spans="32:32" x14ac:dyDescent="0.2">
      <c r="AF3961" t="s">
        <v>473</v>
      </c>
    </row>
    <row r="3962" spans="32:32" x14ac:dyDescent="0.2">
      <c r="AF3962" t="s">
        <v>473</v>
      </c>
    </row>
    <row r="3963" spans="32:32" x14ac:dyDescent="0.2">
      <c r="AF3963" t="s">
        <v>473</v>
      </c>
    </row>
    <row r="3964" spans="32:32" x14ac:dyDescent="0.2">
      <c r="AF3964" t="s">
        <v>473</v>
      </c>
    </row>
    <row r="3965" spans="32:32" x14ac:dyDescent="0.2">
      <c r="AF3965" t="s">
        <v>473</v>
      </c>
    </row>
    <row r="3966" spans="32:32" x14ac:dyDescent="0.2">
      <c r="AF3966" t="s">
        <v>473</v>
      </c>
    </row>
    <row r="3967" spans="32:32" x14ac:dyDescent="0.2">
      <c r="AF3967" t="s">
        <v>473</v>
      </c>
    </row>
    <row r="3968" spans="32:32" x14ac:dyDescent="0.2">
      <c r="AF3968" t="s">
        <v>473</v>
      </c>
    </row>
    <row r="3969" spans="32:32" x14ac:dyDescent="0.2">
      <c r="AF3969" t="s">
        <v>473</v>
      </c>
    </row>
    <row r="3970" spans="32:32" x14ac:dyDescent="0.2">
      <c r="AF3970" t="s">
        <v>473</v>
      </c>
    </row>
    <row r="3971" spans="32:32" x14ac:dyDescent="0.2">
      <c r="AF3971" t="s">
        <v>473</v>
      </c>
    </row>
    <row r="3972" spans="32:32" x14ac:dyDescent="0.2">
      <c r="AF3972" t="s">
        <v>473</v>
      </c>
    </row>
    <row r="3973" spans="32:32" x14ac:dyDescent="0.2">
      <c r="AF3973" t="s">
        <v>473</v>
      </c>
    </row>
    <row r="3974" spans="32:32" x14ac:dyDescent="0.2">
      <c r="AF3974" t="s">
        <v>473</v>
      </c>
    </row>
    <row r="3975" spans="32:32" x14ac:dyDescent="0.2">
      <c r="AF3975" t="s">
        <v>473</v>
      </c>
    </row>
    <row r="3976" spans="32:32" x14ac:dyDescent="0.2">
      <c r="AF3976" t="s">
        <v>473</v>
      </c>
    </row>
    <row r="3977" spans="32:32" x14ac:dyDescent="0.2">
      <c r="AF3977" t="s">
        <v>473</v>
      </c>
    </row>
    <row r="3978" spans="32:32" x14ac:dyDescent="0.2">
      <c r="AF3978" t="s">
        <v>473</v>
      </c>
    </row>
    <row r="3979" spans="32:32" x14ac:dyDescent="0.2">
      <c r="AF3979" t="s">
        <v>473</v>
      </c>
    </row>
    <row r="3980" spans="32:32" x14ac:dyDescent="0.2">
      <c r="AF3980" t="s">
        <v>473</v>
      </c>
    </row>
    <row r="3981" spans="32:32" x14ac:dyDescent="0.2">
      <c r="AF3981" t="s">
        <v>473</v>
      </c>
    </row>
    <row r="3982" spans="32:32" x14ac:dyDescent="0.2">
      <c r="AF3982" t="s">
        <v>473</v>
      </c>
    </row>
    <row r="3983" spans="32:32" x14ac:dyDescent="0.2">
      <c r="AF3983" t="s">
        <v>473</v>
      </c>
    </row>
    <row r="3984" spans="32:32" x14ac:dyDescent="0.2">
      <c r="AF3984" t="s">
        <v>473</v>
      </c>
    </row>
    <row r="3985" spans="32:32" x14ac:dyDescent="0.2">
      <c r="AF3985" t="s">
        <v>473</v>
      </c>
    </row>
    <row r="3986" spans="32:32" x14ac:dyDescent="0.2">
      <c r="AF3986" t="s">
        <v>473</v>
      </c>
    </row>
    <row r="3987" spans="32:32" x14ac:dyDescent="0.2">
      <c r="AF3987" t="s">
        <v>473</v>
      </c>
    </row>
    <row r="3988" spans="32:32" x14ac:dyDescent="0.2">
      <c r="AF3988" t="s">
        <v>473</v>
      </c>
    </row>
    <row r="3989" spans="32:32" x14ac:dyDescent="0.2">
      <c r="AF3989" t="s">
        <v>473</v>
      </c>
    </row>
    <row r="3990" spans="32:32" x14ac:dyDescent="0.2">
      <c r="AF3990" t="s">
        <v>473</v>
      </c>
    </row>
    <row r="3991" spans="32:32" x14ac:dyDescent="0.2">
      <c r="AF3991" t="s">
        <v>473</v>
      </c>
    </row>
    <row r="3992" spans="32:32" x14ac:dyDescent="0.2">
      <c r="AF3992" t="s">
        <v>473</v>
      </c>
    </row>
    <row r="3993" spans="32:32" x14ac:dyDescent="0.2">
      <c r="AF3993" t="s">
        <v>473</v>
      </c>
    </row>
    <row r="3994" spans="32:32" x14ac:dyDescent="0.2">
      <c r="AF3994" t="s">
        <v>473</v>
      </c>
    </row>
    <row r="3995" spans="32:32" x14ac:dyDescent="0.2">
      <c r="AF3995" t="s">
        <v>473</v>
      </c>
    </row>
    <row r="3996" spans="32:32" x14ac:dyDescent="0.2">
      <c r="AF3996" t="s">
        <v>473</v>
      </c>
    </row>
    <row r="3997" spans="32:32" x14ac:dyDescent="0.2">
      <c r="AF3997" t="s">
        <v>473</v>
      </c>
    </row>
    <row r="3998" spans="32:32" x14ac:dyDescent="0.2">
      <c r="AF3998" t="s">
        <v>473</v>
      </c>
    </row>
    <row r="3999" spans="32:32" x14ac:dyDescent="0.2">
      <c r="AF3999" t="s">
        <v>473</v>
      </c>
    </row>
    <row r="4000" spans="32:32" x14ac:dyDescent="0.2">
      <c r="AF4000" t="s">
        <v>473</v>
      </c>
    </row>
    <row r="4001" spans="32:32" x14ac:dyDescent="0.2">
      <c r="AF4001" t="s">
        <v>473</v>
      </c>
    </row>
    <row r="4002" spans="32:32" x14ac:dyDescent="0.2">
      <c r="AF4002" t="s">
        <v>473</v>
      </c>
    </row>
    <row r="4003" spans="32:32" x14ac:dyDescent="0.2">
      <c r="AF4003" t="s">
        <v>473</v>
      </c>
    </row>
    <row r="4004" spans="32:32" x14ac:dyDescent="0.2">
      <c r="AF4004" t="s">
        <v>473</v>
      </c>
    </row>
    <row r="4005" spans="32:32" x14ac:dyDescent="0.2">
      <c r="AF4005" t="s">
        <v>473</v>
      </c>
    </row>
    <row r="4006" spans="32:32" x14ac:dyDescent="0.2">
      <c r="AF4006" t="s">
        <v>473</v>
      </c>
    </row>
    <row r="4007" spans="32:32" x14ac:dyDescent="0.2">
      <c r="AF4007" t="s">
        <v>473</v>
      </c>
    </row>
    <row r="4008" spans="32:32" x14ac:dyDescent="0.2">
      <c r="AF4008" t="s">
        <v>473</v>
      </c>
    </row>
    <row r="4009" spans="32:32" x14ac:dyDescent="0.2">
      <c r="AF4009" t="s">
        <v>473</v>
      </c>
    </row>
    <row r="4010" spans="32:32" x14ac:dyDescent="0.2">
      <c r="AF4010" t="s">
        <v>473</v>
      </c>
    </row>
    <row r="4011" spans="32:32" x14ac:dyDescent="0.2">
      <c r="AF4011" t="s">
        <v>473</v>
      </c>
    </row>
    <row r="4012" spans="32:32" x14ac:dyDescent="0.2">
      <c r="AF4012" t="s">
        <v>473</v>
      </c>
    </row>
    <row r="4013" spans="32:32" x14ac:dyDescent="0.2">
      <c r="AF4013" t="s">
        <v>473</v>
      </c>
    </row>
    <row r="4014" spans="32:32" x14ac:dyDescent="0.2">
      <c r="AF4014" t="s">
        <v>473</v>
      </c>
    </row>
    <row r="4015" spans="32:32" x14ac:dyDescent="0.2">
      <c r="AF4015" t="s">
        <v>473</v>
      </c>
    </row>
    <row r="4016" spans="32:32" x14ac:dyDescent="0.2">
      <c r="AF4016" t="s">
        <v>473</v>
      </c>
    </row>
    <row r="4017" spans="32:32" x14ac:dyDescent="0.2">
      <c r="AF4017" t="s">
        <v>473</v>
      </c>
    </row>
    <row r="4018" spans="32:32" x14ac:dyDescent="0.2">
      <c r="AF4018" t="s">
        <v>473</v>
      </c>
    </row>
    <row r="4019" spans="32:32" x14ac:dyDescent="0.2">
      <c r="AF4019" t="s">
        <v>473</v>
      </c>
    </row>
    <row r="4020" spans="32:32" x14ac:dyDescent="0.2">
      <c r="AF4020" t="s">
        <v>473</v>
      </c>
    </row>
    <row r="4021" spans="32:32" x14ac:dyDescent="0.2">
      <c r="AF4021" t="s">
        <v>473</v>
      </c>
    </row>
    <row r="4022" spans="32:32" x14ac:dyDescent="0.2">
      <c r="AF4022" t="s">
        <v>473</v>
      </c>
    </row>
    <row r="4023" spans="32:32" x14ac:dyDescent="0.2">
      <c r="AF4023" t="s">
        <v>473</v>
      </c>
    </row>
    <row r="4024" spans="32:32" x14ac:dyDescent="0.2">
      <c r="AF4024" t="s">
        <v>473</v>
      </c>
    </row>
    <row r="4025" spans="32:32" x14ac:dyDescent="0.2">
      <c r="AF4025" t="s">
        <v>473</v>
      </c>
    </row>
    <row r="4026" spans="32:32" x14ac:dyDescent="0.2">
      <c r="AF4026" t="s">
        <v>473</v>
      </c>
    </row>
    <row r="4027" spans="32:32" x14ac:dyDescent="0.2">
      <c r="AF4027" t="s">
        <v>473</v>
      </c>
    </row>
    <row r="4028" spans="32:32" x14ac:dyDescent="0.2">
      <c r="AF4028" t="s">
        <v>473</v>
      </c>
    </row>
    <row r="4029" spans="32:32" x14ac:dyDescent="0.2">
      <c r="AF4029" t="s">
        <v>473</v>
      </c>
    </row>
    <row r="4030" spans="32:32" x14ac:dyDescent="0.2">
      <c r="AF4030" t="s">
        <v>473</v>
      </c>
    </row>
    <row r="4031" spans="32:32" x14ac:dyDescent="0.2">
      <c r="AF4031" t="s">
        <v>473</v>
      </c>
    </row>
    <row r="4032" spans="32:32" x14ac:dyDescent="0.2">
      <c r="AF4032" t="s">
        <v>473</v>
      </c>
    </row>
    <row r="4033" spans="32:32" x14ac:dyDescent="0.2">
      <c r="AF4033" t="s">
        <v>473</v>
      </c>
    </row>
    <row r="4034" spans="32:32" x14ac:dyDescent="0.2">
      <c r="AF4034" t="s">
        <v>473</v>
      </c>
    </row>
    <row r="4035" spans="32:32" x14ac:dyDescent="0.2">
      <c r="AF4035" t="s">
        <v>473</v>
      </c>
    </row>
    <row r="4036" spans="32:32" x14ac:dyDescent="0.2">
      <c r="AF4036" t="s">
        <v>473</v>
      </c>
    </row>
    <row r="4037" spans="32:32" x14ac:dyDescent="0.2">
      <c r="AF4037" t="s">
        <v>473</v>
      </c>
    </row>
    <row r="4038" spans="32:32" x14ac:dyDescent="0.2">
      <c r="AF4038" t="s">
        <v>473</v>
      </c>
    </row>
    <row r="4039" spans="32:32" x14ac:dyDescent="0.2">
      <c r="AF4039" t="s">
        <v>473</v>
      </c>
    </row>
    <row r="4040" spans="32:32" x14ac:dyDescent="0.2">
      <c r="AF4040" t="s">
        <v>473</v>
      </c>
    </row>
    <row r="4041" spans="32:32" x14ac:dyDescent="0.2">
      <c r="AF4041" t="s">
        <v>473</v>
      </c>
    </row>
    <row r="4042" spans="32:32" x14ac:dyDescent="0.2">
      <c r="AF4042" t="s">
        <v>473</v>
      </c>
    </row>
    <row r="4043" spans="32:32" x14ac:dyDescent="0.2">
      <c r="AF4043" t="s">
        <v>473</v>
      </c>
    </row>
    <row r="4044" spans="32:32" x14ac:dyDescent="0.2">
      <c r="AF4044" t="s">
        <v>473</v>
      </c>
    </row>
    <row r="4045" spans="32:32" x14ac:dyDescent="0.2">
      <c r="AF4045" t="s">
        <v>473</v>
      </c>
    </row>
    <row r="4046" spans="32:32" x14ac:dyDescent="0.2">
      <c r="AF4046" t="s">
        <v>473</v>
      </c>
    </row>
    <row r="4047" spans="32:32" x14ac:dyDescent="0.2">
      <c r="AF4047" t="s">
        <v>473</v>
      </c>
    </row>
    <row r="4048" spans="32:32" x14ac:dyDescent="0.2">
      <c r="AF4048" t="s">
        <v>473</v>
      </c>
    </row>
    <row r="4049" spans="32:32" x14ac:dyDescent="0.2">
      <c r="AF4049" t="s">
        <v>473</v>
      </c>
    </row>
    <row r="4050" spans="32:32" x14ac:dyDescent="0.2">
      <c r="AF4050" t="s">
        <v>473</v>
      </c>
    </row>
    <row r="4051" spans="32:32" x14ac:dyDescent="0.2">
      <c r="AF4051" t="s">
        <v>473</v>
      </c>
    </row>
    <row r="4052" spans="32:32" x14ac:dyDescent="0.2">
      <c r="AF4052" t="s">
        <v>473</v>
      </c>
    </row>
    <row r="4053" spans="32:32" x14ac:dyDescent="0.2">
      <c r="AF4053" t="s">
        <v>473</v>
      </c>
    </row>
    <row r="4054" spans="32:32" x14ac:dyDescent="0.2">
      <c r="AF4054" t="s">
        <v>473</v>
      </c>
    </row>
    <row r="4055" spans="32:32" x14ac:dyDescent="0.2">
      <c r="AF4055" t="s">
        <v>473</v>
      </c>
    </row>
    <row r="4056" spans="32:32" x14ac:dyDescent="0.2">
      <c r="AF4056" t="s">
        <v>473</v>
      </c>
    </row>
    <row r="4057" spans="32:32" x14ac:dyDescent="0.2">
      <c r="AF4057" t="s">
        <v>473</v>
      </c>
    </row>
    <row r="4058" spans="32:32" x14ac:dyDescent="0.2">
      <c r="AF4058" t="s">
        <v>473</v>
      </c>
    </row>
    <row r="4059" spans="32:32" x14ac:dyDescent="0.2">
      <c r="AF4059" t="s">
        <v>473</v>
      </c>
    </row>
    <row r="4060" spans="32:32" x14ac:dyDescent="0.2">
      <c r="AF4060" t="s">
        <v>473</v>
      </c>
    </row>
    <row r="4061" spans="32:32" x14ac:dyDescent="0.2">
      <c r="AF4061" t="s">
        <v>473</v>
      </c>
    </row>
    <row r="4062" spans="32:32" x14ac:dyDescent="0.2">
      <c r="AF4062" t="s">
        <v>473</v>
      </c>
    </row>
    <row r="4063" spans="32:32" x14ac:dyDescent="0.2">
      <c r="AF4063" t="s">
        <v>473</v>
      </c>
    </row>
    <row r="4064" spans="32:32" x14ac:dyDescent="0.2">
      <c r="AF4064" t="s">
        <v>473</v>
      </c>
    </row>
    <row r="4065" spans="32:32" x14ac:dyDescent="0.2">
      <c r="AF4065" t="s">
        <v>473</v>
      </c>
    </row>
    <row r="4066" spans="32:32" x14ac:dyDescent="0.2">
      <c r="AF4066" t="s">
        <v>473</v>
      </c>
    </row>
    <row r="4067" spans="32:32" x14ac:dyDescent="0.2">
      <c r="AF4067" t="s">
        <v>473</v>
      </c>
    </row>
    <row r="4068" spans="32:32" x14ac:dyDescent="0.2">
      <c r="AF4068" t="s">
        <v>473</v>
      </c>
    </row>
    <row r="4069" spans="32:32" x14ac:dyDescent="0.2">
      <c r="AF4069" t="s">
        <v>473</v>
      </c>
    </row>
    <row r="4070" spans="32:32" x14ac:dyDescent="0.2">
      <c r="AF4070" t="s">
        <v>473</v>
      </c>
    </row>
    <row r="4071" spans="32:32" x14ac:dyDescent="0.2">
      <c r="AF4071" t="s">
        <v>473</v>
      </c>
    </row>
    <row r="4072" spans="32:32" x14ac:dyDescent="0.2">
      <c r="AF4072" t="s">
        <v>473</v>
      </c>
    </row>
    <row r="4073" spans="32:32" x14ac:dyDescent="0.2">
      <c r="AF4073" t="s">
        <v>473</v>
      </c>
    </row>
    <row r="4074" spans="32:32" x14ac:dyDescent="0.2">
      <c r="AF4074" t="s">
        <v>473</v>
      </c>
    </row>
    <row r="4075" spans="32:32" x14ac:dyDescent="0.2">
      <c r="AF4075" t="s">
        <v>473</v>
      </c>
    </row>
    <row r="4076" spans="32:32" x14ac:dyDescent="0.2">
      <c r="AF4076" t="s">
        <v>473</v>
      </c>
    </row>
    <row r="4077" spans="32:32" x14ac:dyDescent="0.2">
      <c r="AF4077" t="s">
        <v>473</v>
      </c>
    </row>
    <row r="4078" spans="32:32" x14ac:dyDescent="0.2">
      <c r="AF4078" t="s">
        <v>473</v>
      </c>
    </row>
    <row r="4079" spans="32:32" x14ac:dyDescent="0.2">
      <c r="AF4079" t="s">
        <v>473</v>
      </c>
    </row>
    <row r="4080" spans="32:32" x14ac:dyDescent="0.2">
      <c r="AF4080" t="s">
        <v>473</v>
      </c>
    </row>
    <row r="4081" spans="32:32" x14ac:dyDescent="0.2">
      <c r="AF4081" t="s">
        <v>473</v>
      </c>
    </row>
    <row r="4082" spans="32:32" x14ac:dyDescent="0.2">
      <c r="AF4082" t="s">
        <v>473</v>
      </c>
    </row>
    <row r="4083" spans="32:32" x14ac:dyDescent="0.2">
      <c r="AF4083" t="s">
        <v>473</v>
      </c>
    </row>
    <row r="4084" spans="32:32" x14ac:dyDescent="0.2">
      <c r="AF4084" t="s">
        <v>473</v>
      </c>
    </row>
    <row r="4085" spans="32:32" x14ac:dyDescent="0.2">
      <c r="AF4085" t="s">
        <v>473</v>
      </c>
    </row>
    <row r="4086" spans="32:32" x14ac:dyDescent="0.2">
      <c r="AF4086" t="s">
        <v>473</v>
      </c>
    </row>
    <row r="4087" spans="32:32" x14ac:dyDescent="0.2">
      <c r="AF4087" t="s">
        <v>473</v>
      </c>
    </row>
    <row r="4088" spans="32:32" x14ac:dyDescent="0.2">
      <c r="AF4088" t="s">
        <v>473</v>
      </c>
    </row>
    <row r="4089" spans="32:32" x14ac:dyDescent="0.2">
      <c r="AF4089" t="s">
        <v>473</v>
      </c>
    </row>
    <row r="4090" spans="32:32" x14ac:dyDescent="0.2">
      <c r="AF4090" t="s">
        <v>473</v>
      </c>
    </row>
    <row r="4091" spans="32:32" x14ac:dyDescent="0.2">
      <c r="AF4091" t="s">
        <v>473</v>
      </c>
    </row>
    <row r="4092" spans="32:32" x14ac:dyDescent="0.2">
      <c r="AF4092" t="s">
        <v>473</v>
      </c>
    </row>
    <row r="4093" spans="32:32" x14ac:dyDescent="0.2">
      <c r="AF4093" t="s">
        <v>473</v>
      </c>
    </row>
    <row r="4094" spans="32:32" x14ac:dyDescent="0.2">
      <c r="AF4094" t="s">
        <v>473</v>
      </c>
    </row>
    <row r="4095" spans="32:32" x14ac:dyDescent="0.2">
      <c r="AF4095" t="s">
        <v>473</v>
      </c>
    </row>
    <row r="4096" spans="32:32" x14ac:dyDescent="0.2">
      <c r="AF4096" t="s">
        <v>473</v>
      </c>
    </row>
    <row r="4097" spans="32:32" x14ac:dyDescent="0.2">
      <c r="AF4097" t="s">
        <v>473</v>
      </c>
    </row>
    <row r="4098" spans="32:32" x14ac:dyDescent="0.2">
      <c r="AF4098" t="s">
        <v>473</v>
      </c>
    </row>
    <row r="4099" spans="32:32" x14ac:dyDescent="0.2">
      <c r="AF4099" t="s">
        <v>473</v>
      </c>
    </row>
    <row r="4100" spans="32:32" x14ac:dyDescent="0.2">
      <c r="AF4100" t="s">
        <v>473</v>
      </c>
    </row>
    <row r="4101" spans="32:32" x14ac:dyDescent="0.2">
      <c r="AF4101" t="s">
        <v>473</v>
      </c>
    </row>
    <row r="4102" spans="32:32" x14ac:dyDescent="0.2">
      <c r="AF4102" t="s">
        <v>473</v>
      </c>
    </row>
    <row r="4103" spans="32:32" x14ac:dyDescent="0.2">
      <c r="AF4103" t="s">
        <v>473</v>
      </c>
    </row>
    <row r="4104" spans="32:32" x14ac:dyDescent="0.2">
      <c r="AF4104" t="s">
        <v>473</v>
      </c>
    </row>
    <row r="4105" spans="32:32" x14ac:dyDescent="0.2">
      <c r="AF4105" t="s">
        <v>473</v>
      </c>
    </row>
    <row r="4106" spans="32:32" x14ac:dyDescent="0.2">
      <c r="AF4106" t="s">
        <v>473</v>
      </c>
    </row>
    <row r="4107" spans="32:32" x14ac:dyDescent="0.2">
      <c r="AF4107" t="s">
        <v>473</v>
      </c>
    </row>
    <row r="4108" spans="32:32" x14ac:dyDescent="0.2">
      <c r="AF4108" t="s">
        <v>473</v>
      </c>
    </row>
    <row r="4109" spans="32:32" x14ac:dyDescent="0.2">
      <c r="AF4109" t="s">
        <v>473</v>
      </c>
    </row>
    <row r="4110" spans="32:32" x14ac:dyDescent="0.2">
      <c r="AF4110" t="s">
        <v>473</v>
      </c>
    </row>
    <row r="4111" spans="32:32" x14ac:dyDescent="0.2">
      <c r="AF4111" t="s">
        <v>473</v>
      </c>
    </row>
    <row r="4112" spans="32:32" x14ac:dyDescent="0.2">
      <c r="AF4112" t="s">
        <v>473</v>
      </c>
    </row>
    <row r="4113" spans="32:32" x14ac:dyDescent="0.2">
      <c r="AF4113" t="s">
        <v>473</v>
      </c>
    </row>
    <row r="4114" spans="32:32" x14ac:dyDescent="0.2">
      <c r="AF4114" t="s">
        <v>473</v>
      </c>
    </row>
    <row r="4115" spans="32:32" x14ac:dyDescent="0.2">
      <c r="AF4115" t="s">
        <v>473</v>
      </c>
    </row>
    <row r="4116" spans="32:32" x14ac:dyDescent="0.2">
      <c r="AF4116" t="s">
        <v>473</v>
      </c>
    </row>
    <row r="4117" spans="32:32" x14ac:dyDescent="0.2">
      <c r="AF4117" t="s">
        <v>473</v>
      </c>
    </row>
    <row r="4118" spans="32:32" x14ac:dyDescent="0.2">
      <c r="AF4118" t="s">
        <v>473</v>
      </c>
    </row>
    <row r="4119" spans="32:32" x14ac:dyDescent="0.2">
      <c r="AF4119" t="s">
        <v>473</v>
      </c>
    </row>
    <row r="4120" spans="32:32" x14ac:dyDescent="0.2">
      <c r="AF4120" t="s">
        <v>473</v>
      </c>
    </row>
    <row r="4121" spans="32:32" x14ac:dyDescent="0.2">
      <c r="AF4121" t="s">
        <v>473</v>
      </c>
    </row>
    <row r="4122" spans="32:32" x14ac:dyDescent="0.2">
      <c r="AF4122" t="s">
        <v>473</v>
      </c>
    </row>
    <row r="4123" spans="32:32" x14ac:dyDescent="0.2">
      <c r="AF4123" t="s">
        <v>473</v>
      </c>
    </row>
    <row r="4124" spans="32:32" x14ac:dyDescent="0.2">
      <c r="AF4124" t="s">
        <v>473</v>
      </c>
    </row>
    <row r="4125" spans="32:32" x14ac:dyDescent="0.2">
      <c r="AF4125" t="s">
        <v>473</v>
      </c>
    </row>
    <row r="4126" spans="32:32" x14ac:dyDescent="0.2">
      <c r="AF4126" t="s">
        <v>473</v>
      </c>
    </row>
    <row r="4127" spans="32:32" x14ac:dyDescent="0.2">
      <c r="AF4127" t="s">
        <v>473</v>
      </c>
    </row>
    <row r="4128" spans="32:32" x14ac:dyDescent="0.2">
      <c r="AF4128" t="s">
        <v>473</v>
      </c>
    </row>
    <row r="4129" spans="32:32" x14ac:dyDescent="0.2">
      <c r="AF4129" t="s">
        <v>473</v>
      </c>
    </row>
    <row r="4130" spans="32:32" x14ac:dyDescent="0.2">
      <c r="AF4130" t="s">
        <v>473</v>
      </c>
    </row>
    <row r="4131" spans="32:32" x14ac:dyDescent="0.2">
      <c r="AF4131" t="s">
        <v>473</v>
      </c>
    </row>
    <row r="4132" spans="32:32" x14ac:dyDescent="0.2">
      <c r="AF4132" t="s">
        <v>473</v>
      </c>
    </row>
    <row r="4133" spans="32:32" x14ac:dyDescent="0.2">
      <c r="AF4133" t="s">
        <v>473</v>
      </c>
    </row>
    <row r="4134" spans="32:32" x14ac:dyDescent="0.2">
      <c r="AF4134" t="s">
        <v>473</v>
      </c>
    </row>
    <row r="4135" spans="32:32" x14ac:dyDescent="0.2">
      <c r="AF4135" t="s">
        <v>473</v>
      </c>
    </row>
    <row r="4136" spans="32:32" x14ac:dyDescent="0.2">
      <c r="AF4136" t="s">
        <v>473</v>
      </c>
    </row>
    <row r="4137" spans="32:32" x14ac:dyDescent="0.2">
      <c r="AF4137" t="s">
        <v>473</v>
      </c>
    </row>
    <row r="4138" spans="32:32" x14ac:dyDescent="0.2">
      <c r="AF4138" t="s">
        <v>473</v>
      </c>
    </row>
    <row r="4139" spans="32:32" x14ac:dyDescent="0.2">
      <c r="AF4139" t="s">
        <v>473</v>
      </c>
    </row>
    <row r="4140" spans="32:32" x14ac:dyDescent="0.2">
      <c r="AF4140" t="s">
        <v>473</v>
      </c>
    </row>
    <row r="4141" spans="32:32" x14ac:dyDescent="0.2">
      <c r="AF4141" t="s">
        <v>473</v>
      </c>
    </row>
    <row r="4142" spans="32:32" x14ac:dyDescent="0.2">
      <c r="AF4142" t="s">
        <v>473</v>
      </c>
    </row>
    <row r="4143" spans="32:32" x14ac:dyDescent="0.2">
      <c r="AF4143" t="s">
        <v>473</v>
      </c>
    </row>
    <row r="4144" spans="32:32" x14ac:dyDescent="0.2">
      <c r="AF4144" t="s">
        <v>473</v>
      </c>
    </row>
    <row r="4145" spans="32:32" x14ac:dyDescent="0.2">
      <c r="AF4145" t="s">
        <v>473</v>
      </c>
    </row>
    <row r="4146" spans="32:32" x14ac:dyDescent="0.2">
      <c r="AF4146" t="s">
        <v>473</v>
      </c>
    </row>
    <row r="4147" spans="32:32" x14ac:dyDescent="0.2">
      <c r="AF4147" t="s">
        <v>473</v>
      </c>
    </row>
    <row r="4148" spans="32:32" x14ac:dyDescent="0.2">
      <c r="AF4148" t="s">
        <v>473</v>
      </c>
    </row>
    <row r="4149" spans="32:32" x14ac:dyDescent="0.2">
      <c r="AF4149" t="s">
        <v>473</v>
      </c>
    </row>
    <row r="4150" spans="32:32" x14ac:dyDescent="0.2">
      <c r="AF4150" t="s">
        <v>473</v>
      </c>
    </row>
    <row r="4151" spans="32:32" x14ac:dyDescent="0.2">
      <c r="AF4151" t="s">
        <v>473</v>
      </c>
    </row>
    <row r="4152" spans="32:32" x14ac:dyDescent="0.2">
      <c r="AF4152" t="s">
        <v>473</v>
      </c>
    </row>
    <row r="4153" spans="32:32" x14ac:dyDescent="0.2">
      <c r="AF4153" t="s">
        <v>473</v>
      </c>
    </row>
    <row r="4154" spans="32:32" x14ac:dyDescent="0.2">
      <c r="AF4154" t="s">
        <v>473</v>
      </c>
    </row>
    <row r="4155" spans="32:32" x14ac:dyDescent="0.2">
      <c r="AF4155" t="s">
        <v>473</v>
      </c>
    </row>
    <row r="4156" spans="32:32" x14ac:dyDescent="0.2">
      <c r="AF4156" t="s">
        <v>473</v>
      </c>
    </row>
    <row r="4157" spans="32:32" x14ac:dyDescent="0.2">
      <c r="AF4157" t="s">
        <v>473</v>
      </c>
    </row>
    <row r="4158" spans="32:32" x14ac:dyDescent="0.2">
      <c r="AF4158" t="s">
        <v>473</v>
      </c>
    </row>
    <row r="4159" spans="32:32" x14ac:dyDescent="0.2">
      <c r="AF4159" t="s">
        <v>473</v>
      </c>
    </row>
    <row r="4160" spans="32:32" x14ac:dyDescent="0.2">
      <c r="AF4160" t="s">
        <v>473</v>
      </c>
    </row>
    <row r="4161" spans="32:32" x14ac:dyDescent="0.2">
      <c r="AF4161" t="s">
        <v>473</v>
      </c>
    </row>
    <row r="4162" spans="32:32" x14ac:dyDescent="0.2">
      <c r="AF4162" t="s">
        <v>473</v>
      </c>
    </row>
    <row r="4163" spans="32:32" x14ac:dyDescent="0.2">
      <c r="AF4163" t="s">
        <v>473</v>
      </c>
    </row>
    <row r="4164" spans="32:32" x14ac:dyDescent="0.2">
      <c r="AF4164" t="s">
        <v>473</v>
      </c>
    </row>
    <row r="4165" spans="32:32" x14ac:dyDescent="0.2">
      <c r="AF4165" t="s">
        <v>473</v>
      </c>
    </row>
    <row r="4166" spans="32:32" x14ac:dyDescent="0.2">
      <c r="AF4166" t="s">
        <v>473</v>
      </c>
    </row>
    <row r="4167" spans="32:32" x14ac:dyDescent="0.2">
      <c r="AF4167" t="s">
        <v>473</v>
      </c>
    </row>
    <row r="4168" spans="32:32" x14ac:dyDescent="0.2">
      <c r="AF4168" t="s">
        <v>473</v>
      </c>
    </row>
    <row r="4169" spans="32:32" x14ac:dyDescent="0.2">
      <c r="AF4169" t="s">
        <v>473</v>
      </c>
    </row>
    <row r="4170" spans="32:32" x14ac:dyDescent="0.2">
      <c r="AF4170" t="s">
        <v>473</v>
      </c>
    </row>
    <row r="4171" spans="32:32" x14ac:dyDescent="0.2">
      <c r="AF4171" t="s">
        <v>473</v>
      </c>
    </row>
    <row r="4172" spans="32:32" x14ac:dyDescent="0.2">
      <c r="AF4172" t="s">
        <v>473</v>
      </c>
    </row>
    <row r="4173" spans="32:32" x14ac:dyDescent="0.2">
      <c r="AF4173" t="s">
        <v>473</v>
      </c>
    </row>
    <row r="4174" spans="32:32" x14ac:dyDescent="0.2">
      <c r="AF4174" t="s">
        <v>473</v>
      </c>
    </row>
    <row r="4175" spans="32:32" x14ac:dyDescent="0.2">
      <c r="AF4175" t="s">
        <v>473</v>
      </c>
    </row>
    <row r="4176" spans="32:32" x14ac:dyDescent="0.2">
      <c r="AF4176" t="s">
        <v>473</v>
      </c>
    </row>
    <row r="4177" spans="32:32" x14ac:dyDescent="0.2">
      <c r="AF4177" t="s">
        <v>473</v>
      </c>
    </row>
    <row r="4178" spans="32:32" x14ac:dyDescent="0.2">
      <c r="AF4178" t="s">
        <v>473</v>
      </c>
    </row>
    <row r="4179" spans="32:32" x14ac:dyDescent="0.2">
      <c r="AF4179" t="s">
        <v>473</v>
      </c>
    </row>
    <row r="4180" spans="32:32" x14ac:dyDescent="0.2">
      <c r="AF4180" t="s">
        <v>473</v>
      </c>
    </row>
    <row r="4181" spans="32:32" x14ac:dyDescent="0.2">
      <c r="AF4181" t="s">
        <v>473</v>
      </c>
    </row>
    <row r="4182" spans="32:32" x14ac:dyDescent="0.2">
      <c r="AF4182" t="s">
        <v>473</v>
      </c>
    </row>
    <row r="4183" spans="32:32" x14ac:dyDescent="0.2">
      <c r="AF4183" t="s">
        <v>473</v>
      </c>
    </row>
    <row r="4184" spans="32:32" x14ac:dyDescent="0.2">
      <c r="AF4184" t="s">
        <v>473</v>
      </c>
    </row>
    <row r="4185" spans="32:32" x14ac:dyDescent="0.2">
      <c r="AF4185" t="s">
        <v>473</v>
      </c>
    </row>
    <row r="4186" spans="32:32" x14ac:dyDescent="0.2">
      <c r="AF4186" t="s">
        <v>473</v>
      </c>
    </row>
    <row r="4187" spans="32:32" x14ac:dyDescent="0.2">
      <c r="AF4187" t="s">
        <v>473</v>
      </c>
    </row>
    <row r="4188" spans="32:32" x14ac:dyDescent="0.2">
      <c r="AF4188" t="s">
        <v>473</v>
      </c>
    </row>
    <row r="4189" spans="32:32" x14ac:dyDescent="0.2">
      <c r="AF4189" t="s">
        <v>473</v>
      </c>
    </row>
    <row r="4190" spans="32:32" x14ac:dyDescent="0.2">
      <c r="AF4190" t="s">
        <v>473</v>
      </c>
    </row>
    <row r="4191" spans="32:32" x14ac:dyDescent="0.2">
      <c r="AF4191" t="s">
        <v>473</v>
      </c>
    </row>
    <row r="4192" spans="32:32" x14ac:dyDescent="0.2">
      <c r="AF4192" t="s">
        <v>473</v>
      </c>
    </row>
    <row r="4193" spans="32:32" x14ac:dyDescent="0.2">
      <c r="AF4193" t="s">
        <v>473</v>
      </c>
    </row>
    <row r="4194" spans="32:32" x14ac:dyDescent="0.2">
      <c r="AF4194" t="s">
        <v>473</v>
      </c>
    </row>
    <row r="4195" spans="32:32" x14ac:dyDescent="0.2">
      <c r="AF4195" t="s">
        <v>473</v>
      </c>
    </row>
    <row r="4196" spans="32:32" x14ac:dyDescent="0.2">
      <c r="AF4196" t="s">
        <v>473</v>
      </c>
    </row>
    <row r="4197" spans="32:32" x14ac:dyDescent="0.2">
      <c r="AF4197" t="s">
        <v>473</v>
      </c>
    </row>
    <row r="4198" spans="32:32" x14ac:dyDescent="0.2">
      <c r="AF4198" t="s">
        <v>473</v>
      </c>
    </row>
    <row r="4199" spans="32:32" x14ac:dyDescent="0.2">
      <c r="AF4199" t="s">
        <v>473</v>
      </c>
    </row>
    <row r="4200" spans="32:32" x14ac:dyDescent="0.2">
      <c r="AF4200" t="s">
        <v>473</v>
      </c>
    </row>
    <row r="4201" spans="32:32" x14ac:dyDescent="0.2">
      <c r="AF4201" t="s">
        <v>473</v>
      </c>
    </row>
    <row r="4202" spans="32:32" x14ac:dyDescent="0.2">
      <c r="AF4202" t="s">
        <v>473</v>
      </c>
    </row>
    <row r="4203" spans="32:32" x14ac:dyDescent="0.2">
      <c r="AF4203" t="s">
        <v>473</v>
      </c>
    </row>
    <row r="4204" spans="32:32" x14ac:dyDescent="0.2">
      <c r="AF4204" t="s">
        <v>473</v>
      </c>
    </row>
    <row r="4205" spans="32:32" x14ac:dyDescent="0.2">
      <c r="AF4205" t="s">
        <v>473</v>
      </c>
    </row>
    <row r="4206" spans="32:32" x14ac:dyDescent="0.2">
      <c r="AF4206" t="s">
        <v>473</v>
      </c>
    </row>
    <row r="4207" spans="32:32" x14ac:dyDescent="0.2">
      <c r="AF4207" t="s">
        <v>473</v>
      </c>
    </row>
    <row r="4208" spans="32:32" x14ac:dyDescent="0.2">
      <c r="AF4208" t="s">
        <v>473</v>
      </c>
    </row>
    <row r="4209" spans="32:32" x14ac:dyDescent="0.2">
      <c r="AF4209" t="s">
        <v>473</v>
      </c>
    </row>
    <row r="4210" spans="32:32" x14ac:dyDescent="0.2">
      <c r="AF4210" t="s">
        <v>473</v>
      </c>
    </row>
    <row r="4211" spans="32:32" x14ac:dyDescent="0.2">
      <c r="AF4211" t="s">
        <v>473</v>
      </c>
    </row>
    <row r="4212" spans="32:32" x14ac:dyDescent="0.2">
      <c r="AF4212" t="s">
        <v>473</v>
      </c>
    </row>
    <row r="4213" spans="32:32" x14ac:dyDescent="0.2">
      <c r="AF4213" t="s">
        <v>473</v>
      </c>
    </row>
    <row r="4214" spans="32:32" x14ac:dyDescent="0.2">
      <c r="AF4214" t="s">
        <v>473</v>
      </c>
    </row>
    <row r="4215" spans="32:32" x14ac:dyDescent="0.2">
      <c r="AF4215" t="s">
        <v>473</v>
      </c>
    </row>
    <row r="4216" spans="32:32" x14ac:dyDescent="0.2">
      <c r="AF4216" t="s">
        <v>473</v>
      </c>
    </row>
    <row r="4217" spans="32:32" x14ac:dyDescent="0.2">
      <c r="AF4217" t="s">
        <v>473</v>
      </c>
    </row>
    <row r="4218" spans="32:32" x14ac:dyDescent="0.2">
      <c r="AF4218" t="s">
        <v>473</v>
      </c>
    </row>
    <row r="4219" spans="32:32" x14ac:dyDescent="0.2">
      <c r="AF4219" t="s">
        <v>473</v>
      </c>
    </row>
    <row r="4220" spans="32:32" x14ac:dyDescent="0.2">
      <c r="AF4220" t="s">
        <v>473</v>
      </c>
    </row>
    <row r="4221" spans="32:32" x14ac:dyDescent="0.2">
      <c r="AF4221" t="s">
        <v>473</v>
      </c>
    </row>
    <row r="4222" spans="32:32" x14ac:dyDescent="0.2">
      <c r="AF4222" t="s">
        <v>473</v>
      </c>
    </row>
    <row r="4223" spans="32:32" x14ac:dyDescent="0.2">
      <c r="AF4223" t="s">
        <v>473</v>
      </c>
    </row>
    <row r="4224" spans="32:32" x14ac:dyDescent="0.2">
      <c r="AF4224" t="s">
        <v>473</v>
      </c>
    </row>
    <row r="4225" spans="32:32" x14ac:dyDescent="0.2">
      <c r="AF4225" t="s">
        <v>473</v>
      </c>
    </row>
    <row r="4226" spans="32:32" x14ac:dyDescent="0.2">
      <c r="AF4226" t="s">
        <v>473</v>
      </c>
    </row>
    <row r="4227" spans="32:32" x14ac:dyDescent="0.2">
      <c r="AF4227" t="s">
        <v>473</v>
      </c>
    </row>
    <row r="4228" spans="32:32" x14ac:dyDescent="0.2">
      <c r="AF4228" t="s">
        <v>473</v>
      </c>
    </row>
    <row r="4229" spans="32:32" x14ac:dyDescent="0.2">
      <c r="AF4229" t="s">
        <v>473</v>
      </c>
    </row>
    <row r="4230" spans="32:32" x14ac:dyDescent="0.2">
      <c r="AF4230" t="s">
        <v>473</v>
      </c>
    </row>
    <row r="4231" spans="32:32" x14ac:dyDescent="0.2">
      <c r="AF4231" t="s">
        <v>473</v>
      </c>
    </row>
    <row r="4232" spans="32:32" x14ac:dyDescent="0.2">
      <c r="AF4232" t="s">
        <v>473</v>
      </c>
    </row>
    <row r="4233" spans="32:32" x14ac:dyDescent="0.2">
      <c r="AF4233" t="s">
        <v>473</v>
      </c>
    </row>
    <row r="4234" spans="32:32" x14ac:dyDescent="0.2">
      <c r="AF4234" t="s">
        <v>473</v>
      </c>
    </row>
    <row r="4235" spans="32:32" x14ac:dyDescent="0.2">
      <c r="AF4235" t="s">
        <v>473</v>
      </c>
    </row>
    <row r="4236" spans="32:32" x14ac:dyDescent="0.2">
      <c r="AF4236" t="s">
        <v>473</v>
      </c>
    </row>
    <row r="4237" spans="32:32" x14ac:dyDescent="0.2">
      <c r="AF4237" t="s">
        <v>473</v>
      </c>
    </row>
    <row r="4238" spans="32:32" x14ac:dyDescent="0.2">
      <c r="AF4238" t="s">
        <v>473</v>
      </c>
    </row>
    <row r="4239" spans="32:32" x14ac:dyDescent="0.2">
      <c r="AF4239" t="s">
        <v>473</v>
      </c>
    </row>
    <row r="4240" spans="32:32" x14ac:dyDescent="0.2">
      <c r="AF4240" t="s">
        <v>473</v>
      </c>
    </row>
    <row r="4241" spans="32:32" x14ac:dyDescent="0.2">
      <c r="AF4241" t="s">
        <v>473</v>
      </c>
    </row>
    <row r="4242" spans="32:32" x14ac:dyDescent="0.2">
      <c r="AF4242" t="s">
        <v>473</v>
      </c>
    </row>
    <row r="4243" spans="32:32" x14ac:dyDescent="0.2">
      <c r="AF4243" t="s">
        <v>473</v>
      </c>
    </row>
    <row r="4244" spans="32:32" x14ac:dyDescent="0.2">
      <c r="AF4244" t="s">
        <v>473</v>
      </c>
    </row>
    <row r="4245" spans="32:32" x14ac:dyDescent="0.2">
      <c r="AF4245" t="s">
        <v>473</v>
      </c>
    </row>
    <row r="4246" spans="32:32" x14ac:dyDescent="0.2">
      <c r="AF4246" t="s">
        <v>473</v>
      </c>
    </row>
    <row r="4247" spans="32:32" x14ac:dyDescent="0.2">
      <c r="AF4247" t="s">
        <v>473</v>
      </c>
    </row>
    <row r="4248" spans="32:32" x14ac:dyDescent="0.2">
      <c r="AF4248" t="s">
        <v>473</v>
      </c>
    </row>
    <row r="4249" spans="32:32" x14ac:dyDescent="0.2">
      <c r="AF4249" t="s">
        <v>473</v>
      </c>
    </row>
    <row r="4250" spans="32:32" x14ac:dyDescent="0.2">
      <c r="AF4250" t="s">
        <v>473</v>
      </c>
    </row>
    <row r="4251" spans="32:32" x14ac:dyDescent="0.2">
      <c r="AF4251" t="s">
        <v>473</v>
      </c>
    </row>
    <row r="4252" spans="32:32" x14ac:dyDescent="0.2">
      <c r="AF4252" t="s">
        <v>473</v>
      </c>
    </row>
    <row r="4253" spans="32:32" x14ac:dyDescent="0.2">
      <c r="AF4253" t="s">
        <v>473</v>
      </c>
    </row>
    <row r="4254" spans="32:32" x14ac:dyDescent="0.2">
      <c r="AF4254" t="s">
        <v>473</v>
      </c>
    </row>
    <row r="4255" spans="32:32" x14ac:dyDescent="0.2">
      <c r="AF4255" t="s">
        <v>473</v>
      </c>
    </row>
    <row r="4256" spans="32:32" x14ac:dyDescent="0.2">
      <c r="AF4256" t="s">
        <v>473</v>
      </c>
    </row>
    <row r="4257" spans="32:32" x14ac:dyDescent="0.2">
      <c r="AF4257" t="s">
        <v>473</v>
      </c>
    </row>
    <row r="4258" spans="32:32" x14ac:dyDescent="0.2">
      <c r="AF4258" t="s">
        <v>473</v>
      </c>
    </row>
    <row r="4259" spans="32:32" x14ac:dyDescent="0.2">
      <c r="AF4259" t="s">
        <v>473</v>
      </c>
    </row>
    <row r="4260" spans="32:32" x14ac:dyDescent="0.2">
      <c r="AF4260" t="s">
        <v>473</v>
      </c>
    </row>
    <row r="4261" spans="32:32" x14ac:dyDescent="0.2">
      <c r="AF4261" t="s">
        <v>473</v>
      </c>
    </row>
    <row r="4262" spans="32:32" x14ac:dyDescent="0.2">
      <c r="AF4262" t="s">
        <v>473</v>
      </c>
    </row>
    <row r="4263" spans="32:32" x14ac:dyDescent="0.2">
      <c r="AF4263" t="s">
        <v>473</v>
      </c>
    </row>
    <row r="4264" spans="32:32" x14ac:dyDescent="0.2">
      <c r="AF4264" t="s">
        <v>473</v>
      </c>
    </row>
    <row r="4265" spans="32:32" x14ac:dyDescent="0.2">
      <c r="AF4265" t="s">
        <v>473</v>
      </c>
    </row>
    <row r="4266" spans="32:32" x14ac:dyDescent="0.2">
      <c r="AF4266" t="s">
        <v>473</v>
      </c>
    </row>
    <row r="4267" spans="32:32" x14ac:dyDescent="0.2">
      <c r="AF4267" t="s">
        <v>473</v>
      </c>
    </row>
    <row r="4268" spans="32:32" x14ac:dyDescent="0.2">
      <c r="AF4268" t="s">
        <v>473</v>
      </c>
    </row>
    <row r="4269" spans="32:32" x14ac:dyDescent="0.2">
      <c r="AF4269" t="s">
        <v>473</v>
      </c>
    </row>
    <row r="4270" spans="32:32" x14ac:dyDescent="0.2">
      <c r="AF4270" t="s">
        <v>473</v>
      </c>
    </row>
    <row r="4271" spans="32:32" x14ac:dyDescent="0.2">
      <c r="AF4271" t="s">
        <v>473</v>
      </c>
    </row>
    <row r="4272" spans="32:32" x14ac:dyDescent="0.2">
      <c r="AF4272" t="s">
        <v>473</v>
      </c>
    </row>
    <row r="4273" spans="32:32" x14ac:dyDescent="0.2">
      <c r="AF4273" t="s">
        <v>473</v>
      </c>
    </row>
    <row r="4274" spans="32:32" x14ac:dyDescent="0.2">
      <c r="AF4274" t="s">
        <v>473</v>
      </c>
    </row>
    <row r="4275" spans="32:32" x14ac:dyDescent="0.2">
      <c r="AF4275" t="s">
        <v>473</v>
      </c>
    </row>
    <row r="4276" spans="32:32" x14ac:dyDescent="0.2">
      <c r="AF4276" t="s">
        <v>473</v>
      </c>
    </row>
    <row r="4277" spans="32:32" x14ac:dyDescent="0.2">
      <c r="AF4277" t="s">
        <v>473</v>
      </c>
    </row>
    <row r="4278" spans="32:32" x14ac:dyDescent="0.2">
      <c r="AF4278" t="s">
        <v>473</v>
      </c>
    </row>
    <row r="4279" spans="32:32" x14ac:dyDescent="0.2">
      <c r="AF4279" t="s">
        <v>473</v>
      </c>
    </row>
    <row r="4280" spans="32:32" x14ac:dyDescent="0.2">
      <c r="AF4280" t="s">
        <v>473</v>
      </c>
    </row>
    <row r="4281" spans="32:32" x14ac:dyDescent="0.2">
      <c r="AF4281" t="s">
        <v>473</v>
      </c>
    </row>
    <row r="4282" spans="32:32" x14ac:dyDescent="0.2">
      <c r="AF4282" t="s">
        <v>473</v>
      </c>
    </row>
    <row r="4283" spans="32:32" x14ac:dyDescent="0.2">
      <c r="AF4283" t="s">
        <v>473</v>
      </c>
    </row>
    <row r="4284" spans="32:32" x14ac:dyDescent="0.2">
      <c r="AF4284" t="s">
        <v>473</v>
      </c>
    </row>
    <row r="4285" spans="32:32" x14ac:dyDescent="0.2">
      <c r="AF4285" t="s">
        <v>473</v>
      </c>
    </row>
    <row r="4286" spans="32:32" x14ac:dyDescent="0.2">
      <c r="AF4286" t="s">
        <v>473</v>
      </c>
    </row>
    <row r="4287" spans="32:32" x14ac:dyDescent="0.2">
      <c r="AF4287" t="s">
        <v>473</v>
      </c>
    </row>
    <row r="4288" spans="32:32" x14ac:dyDescent="0.2">
      <c r="AF4288" t="s">
        <v>473</v>
      </c>
    </row>
    <row r="4289" spans="32:32" x14ac:dyDescent="0.2">
      <c r="AF4289" t="s">
        <v>473</v>
      </c>
    </row>
    <row r="4290" spans="32:32" x14ac:dyDescent="0.2">
      <c r="AF4290" t="s">
        <v>473</v>
      </c>
    </row>
    <row r="4291" spans="32:32" x14ac:dyDescent="0.2">
      <c r="AF4291" t="s">
        <v>473</v>
      </c>
    </row>
    <row r="4292" spans="32:32" x14ac:dyDescent="0.2">
      <c r="AF4292" t="s">
        <v>473</v>
      </c>
    </row>
    <row r="4293" spans="32:32" x14ac:dyDescent="0.2">
      <c r="AF4293" t="s">
        <v>473</v>
      </c>
    </row>
    <row r="4294" spans="32:32" x14ac:dyDescent="0.2">
      <c r="AF4294" t="s">
        <v>473</v>
      </c>
    </row>
    <row r="4295" spans="32:32" x14ac:dyDescent="0.2">
      <c r="AF4295" t="s">
        <v>473</v>
      </c>
    </row>
    <row r="4296" spans="32:32" x14ac:dyDescent="0.2">
      <c r="AF4296" t="s">
        <v>473</v>
      </c>
    </row>
    <row r="4297" spans="32:32" x14ac:dyDescent="0.2">
      <c r="AF4297" t="s">
        <v>473</v>
      </c>
    </row>
    <row r="4298" spans="32:32" x14ac:dyDescent="0.2">
      <c r="AF4298" t="s">
        <v>473</v>
      </c>
    </row>
    <row r="4299" spans="32:32" x14ac:dyDescent="0.2">
      <c r="AF4299" t="s">
        <v>473</v>
      </c>
    </row>
    <row r="4300" spans="32:32" x14ac:dyDescent="0.2">
      <c r="AF4300" t="s">
        <v>473</v>
      </c>
    </row>
    <row r="4301" spans="32:32" x14ac:dyDescent="0.2">
      <c r="AF4301" t="s">
        <v>473</v>
      </c>
    </row>
    <row r="4302" spans="32:32" x14ac:dyDescent="0.2">
      <c r="AF4302" t="s">
        <v>473</v>
      </c>
    </row>
    <row r="4303" spans="32:32" x14ac:dyDescent="0.2">
      <c r="AF4303" t="s">
        <v>473</v>
      </c>
    </row>
    <row r="4304" spans="32:32" x14ac:dyDescent="0.2">
      <c r="AF4304" t="s">
        <v>473</v>
      </c>
    </row>
    <row r="4305" spans="32:32" x14ac:dyDescent="0.2">
      <c r="AF4305" t="s">
        <v>473</v>
      </c>
    </row>
    <row r="4306" spans="32:32" x14ac:dyDescent="0.2">
      <c r="AF4306" t="s">
        <v>473</v>
      </c>
    </row>
    <row r="4307" spans="32:32" x14ac:dyDescent="0.2">
      <c r="AF4307" t="s">
        <v>473</v>
      </c>
    </row>
    <row r="4308" spans="32:32" x14ac:dyDescent="0.2">
      <c r="AF4308" t="s">
        <v>473</v>
      </c>
    </row>
    <row r="4309" spans="32:32" x14ac:dyDescent="0.2">
      <c r="AF4309" t="s">
        <v>473</v>
      </c>
    </row>
    <row r="4310" spans="32:32" x14ac:dyDescent="0.2">
      <c r="AF4310" t="s">
        <v>473</v>
      </c>
    </row>
    <row r="4311" spans="32:32" x14ac:dyDescent="0.2">
      <c r="AF4311" t="s">
        <v>473</v>
      </c>
    </row>
    <row r="4312" spans="32:32" x14ac:dyDescent="0.2">
      <c r="AF4312" t="s">
        <v>473</v>
      </c>
    </row>
    <row r="4313" spans="32:32" x14ac:dyDescent="0.2">
      <c r="AF4313" t="s">
        <v>473</v>
      </c>
    </row>
    <row r="4314" spans="32:32" x14ac:dyDescent="0.2">
      <c r="AF4314" t="s">
        <v>473</v>
      </c>
    </row>
    <row r="4315" spans="32:32" x14ac:dyDescent="0.2">
      <c r="AF4315" t="s">
        <v>473</v>
      </c>
    </row>
    <row r="4316" spans="32:32" x14ac:dyDescent="0.2">
      <c r="AF4316" t="s">
        <v>473</v>
      </c>
    </row>
    <row r="4317" spans="32:32" x14ac:dyDescent="0.2">
      <c r="AF4317" t="s">
        <v>473</v>
      </c>
    </row>
    <row r="4318" spans="32:32" x14ac:dyDescent="0.2">
      <c r="AF4318" t="s">
        <v>473</v>
      </c>
    </row>
    <row r="4319" spans="32:32" x14ac:dyDescent="0.2">
      <c r="AF4319" t="s">
        <v>473</v>
      </c>
    </row>
    <row r="4320" spans="32:32" x14ac:dyDescent="0.2">
      <c r="AF4320" t="s">
        <v>473</v>
      </c>
    </row>
    <row r="4321" spans="32:32" x14ac:dyDescent="0.2">
      <c r="AF4321" t="s">
        <v>473</v>
      </c>
    </row>
    <row r="4322" spans="32:32" x14ac:dyDescent="0.2">
      <c r="AF4322" t="s">
        <v>473</v>
      </c>
    </row>
    <row r="4323" spans="32:32" x14ac:dyDescent="0.2">
      <c r="AF4323" t="s">
        <v>473</v>
      </c>
    </row>
    <row r="4324" spans="32:32" x14ac:dyDescent="0.2">
      <c r="AF4324" t="s">
        <v>473</v>
      </c>
    </row>
    <row r="4325" spans="32:32" x14ac:dyDescent="0.2">
      <c r="AF4325" t="s">
        <v>473</v>
      </c>
    </row>
    <row r="4326" spans="32:32" x14ac:dyDescent="0.2">
      <c r="AF4326" t="s">
        <v>473</v>
      </c>
    </row>
    <row r="4327" spans="32:32" x14ac:dyDescent="0.2">
      <c r="AF4327" t="s">
        <v>473</v>
      </c>
    </row>
    <row r="4328" spans="32:32" x14ac:dyDescent="0.2">
      <c r="AF4328" t="s">
        <v>473</v>
      </c>
    </row>
    <row r="4329" spans="32:32" x14ac:dyDescent="0.2">
      <c r="AF4329" t="s">
        <v>473</v>
      </c>
    </row>
    <row r="4330" spans="32:32" x14ac:dyDescent="0.2">
      <c r="AF4330" t="s">
        <v>473</v>
      </c>
    </row>
    <row r="4331" spans="32:32" x14ac:dyDescent="0.2">
      <c r="AF4331" t="s">
        <v>473</v>
      </c>
    </row>
    <row r="4332" spans="32:32" x14ac:dyDescent="0.2">
      <c r="AF4332" t="s">
        <v>473</v>
      </c>
    </row>
    <row r="4333" spans="32:32" x14ac:dyDescent="0.2">
      <c r="AF4333" t="s">
        <v>473</v>
      </c>
    </row>
    <row r="4334" spans="32:32" x14ac:dyDescent="0.2">
      <c r="AF4334" t="s">
        <v>473</v>
      </c>
    </row>
    <row r="4335" spans="32:32" x14ac:dyDescent="0.2">
      <c r="AF4335" t="s">
        <v>473</v>
      </c>
    </row>
    <row r="4336" spans="32:32" x14ac:dyDescent="0.2">
      <c r="AF4336" t="s">
        <v>473</v>
      </c>
    </row>
    <row r="4337" spans="32:32" x14ac:dyDescent="0.2">
      <c r="AF4337" t="s">
        <v>473</v>
      </c>
    </row>
    <row r="4338" spans="32:32" x14ac:dyDescent="0.2">
      <c r="AF4338" t="s">
        <v>473</v>
      </c>
    </row>
    <row r="4339" spans="32:32" x14ac:dyDescent="0.2">
      <c r="AF4339" t="s">
        <v>473</v>
      </c>
    </row>
    <row r="4340" spans="32:32" x14ac:dyDescent="0.2">
      <c r="AF4340" t="s">
        <v>473</v>
      </c>
    </row>
    <row r="4341" spans="32:32" x14ac:dyDescent="0.2">
      <c r="AF4341" t="s">
        <v>473</v>
      </c>
    </row>
    <row r="4342" spans="32:32" x14ac:dyDescent="0.2">
      <c r="AF4342" t="s">
        <v>473</v>
      </c>
    </row>
    <row r="4343" spans="32:32" x14ac:dyDescent="0.2">
      <c r="AF4343" t="s">
        <v>473</v>
      </c>
    </row>
    <row r="4344" spans="32:32" x14ac:dyDescent="0.2">
      <c r="AF4344" t="s">
        <v>473</v>
      </c>
    </row>
    <row r="4345" spans="32:32" x14ac:dyDescent="0.2">
      <c r="AF4345" t="s">
        <v>473</v>
      </c>
    </row>
    <row r="4346" spans="32:32" x14ac:dyDescent="0.2">
      <c r="AF4346" t="s">
        <v>473</v>
      </c>
    </row>
    <row r="4347" spans="32:32" x14ac:dyDescent="0.2">
      <c r="AF4347" t="s">
        <v>473</v>
      </c>
    </row>
    <row r="4348" spans="32:32" x14ac:dyDescent="0.2">
      <c r="AF4348" t="s">
        <v>473</v>
      </c>
    </row>
    <row r="4349" spans="32:32" x14ac:dyDescent="0.2">
      <c r="AF4349" t="s">
        <v>473</v>
      </c>
    </row>
    <row r="4350" spans="32:32" x14ac:dyDescent="0.2">
      <c r="AF4350" t="s">
        <v>473</v>
      </c>
    </row>
    <row r="4351" spans="32:32" x14ac:dyDescent="0.2">
      <c r="AF4351" t="s">
        <v>473</v>
      </c>
    </row>
    <row r="4352" spans="32:32" x14ac:dyDescent="0.2">
      <c r="AF4352" t="s">
        <v>473</v>
      </c>
    </row>
    <row r="4353" spans="32:32" x14ac:dyDescent="0.2">
      <c r="AF4353" t="s">
        <v>473</v>
      </c>
    </row>
    <row r="4354" spans="32:32" x14ac:dyDescent="0.2">
      <c r="AF4354" t="s">
        <v>473</v>
      </c>
    </row>
    <row r="4355" spans="32:32" x14ac:dyDescent="0.2">
      <c r="AF4355" t="s">
        <v>473</v>
      </c>
    </row>
    <row r="4356" spans="32:32" x14ac:dyDescent="0.2">
      <c r="AF4356" t="s">
        <v>473</v>
      </c>
    </row>
    <row r="4357" spans="32:32" x14ac:dyDescent="0.2">
      <c r="AF4357" t="s">
        <v>473</v>
      </c>
    </row>
    <row r="4358" spans="32:32" x14ac:dyDescent="0.2">
      <c r="AF4358" t="s">
        <v>473</v>
      </c>
    </row>
    <row r="4359" spans="32:32" x14ac:dyDescent="0.2">
      <c r="AF4359" t="s">
        <v>473</v>
      </c>
    </row>
    <row r="4360" spans="32:32" x14ac:dyDescent="0.2">
      <c r="AF4360" t="s">
        <v>473</v>
      </c>
    </row>
    <row r="4361" spans="32:32" x14ac:dyDescent="0.2">
      <c r="AF4361" t="s">
        <v>473</v>
      </c>
    </row>
    <row r="4362" spans="32:32" x14ac:dyDescent="0.2">
      <c r="AF4362" t="s">
        <v>473</v>
      </c>
    </row>
    <row r="4363" spans="32:32" x14ac:dyDescent="0.2">
      <c r="AF4363" t="s">
        <v>473</v>
      </c>
    </row>
    <row r="4364" spans="32:32" x14ac:dyDescent="0.2">
      <c r="AF4364" t="s">
        <v>473</v>
      </c>
    </row>
    <row r="4365" spans="32:32" x14ac:dyDescent="0.2">
      <c r="AF4365" t="s">
        <v>473</v>
      </c>
    </row>
    <row r="4366" spans="32:32" x14ac:dyDescent="0.2">
      <c r="AF4366" t="s">
        <v>473</v>
      </c>
    </row>
    <row r="4367" spans="32:32" x14ac:dyDescent="0.2">
      <c r="AF4367" t="s">
        <v>473</v>
      </c>
    </row>
    <row r="4368" spans="32:32" x14ac:dyDescent="0.2">
      <c r="AF4368" t="s">
        <v>473</v>
      </c>
    </row>
    <row r="4369" spans="32:32" x14ac:dyDescent="0.2">
      <c r="AF4369" t="s">
        <v>473</v>
      </c>
    </row>
    <row r="4370" spans="32:32" x14ac:dyDescent="0.2">
      <c r="AF4370" t="s">
        <v>473</v>
      </c>
    </row>
    <row r="4371" spans="32:32" x14ac:dyDescent="0.2">
      <c r="AF4371" t="s">
        <v>473</v>
      </c>
    </row>
    <row r="4372" spans="32:32" x14ac:dyDescent="0.2">
      <c r="AF4372" t="s">
        <v>473</v>
      </c>
    </row>
    <row r="4373" spans="32:32" x14ac:dyDescent="0.2">
      <c r="AF4373" t="s">
        <v>473</v>
      </c>
    </row>
    <row r="4374" spans="32:32" x14ac:dyDescent="0.2">
      <c r="AF4374" t="s">
        <v>473</v>
      </c>
    </row>
    <row r="4375" spans="32:32" x14ac:dyDescent="0.2">
      <c r="AF4375" t="s">
        <v>473</v>
      </c>
    </row>
    <row r="4376" spans="32:32" x14ac:dyDescent="0.2">
      <c r="AF4376" t="s">
        <v>473</v>
      </c>
    </row>
    <row r="4377" spans="32:32" x14ac:dyDescent="0.2">
      <c r="AF4377" t="s">
        <v>473</v>
      </c>
    </row>
    <row r="4378" spans="32:32" x14ac:dyDescent="0.2">
      <c r="AF4378" t="s">
        <v>473</v>
      </c>
    </row>
    <row r="4379" spans="32:32" x14ac:dyDescent="0.2">
      <c r="AF4379" t="s">
        <v>473</v>
      </c>
    </row>
    <row r="4380" spans="32:32" x14ac:dyDescent="0.2">
      <c r="AF4380" t="s">
        <v>473</v>
      </c>
    </row>
    <row r="4381" spans="32:32" x14ac:dyDescent="0.2">
      <c r="AF4381" t="s">
        <v>473</v>
      </c>
    </row>
    <row r="4382" spans="32:32" x14ac:dyDescent="0.2">
      <c r="AF4382" t="s">
        <v>473</v>
      </c>
    </row>
    <row r="4383" spans="32:32" x14ac:dyDescent="0.2">
      <c r="AF4383" t="s">
        <v>473</v>
      </c>
    </row>
    <row r="4384" spans="32:32" x14ac:dyDescent="0.2">
      <c r="AF4384" t="s">
        <v>473</v>
      </c>
    </row>
    <row r="4385" spans="32:32" x14ac:dyDescent="0.2">
      <c r="AF4385" t="s">
        <v>473</v>
      </c>
    </row>
    <row r="4386" spans="32:32" x14ac:dyDescent="0.2">
      <c r="AF4386" t="s">
        <v>473</v>
      </c>
    </row>
    <row r="4387" spans="32:32" x14ac:dyDescent="0.2">
      <c r="AF4387" t="s">
        <v>473</v>
      </c>
    </row>
    <row r="4388" spans="32:32" x14ac:dyDescent="0.2">
      <c r="AF4388" t="s">
        <v>473</v>
      </c>
    </row>
    <row r="4389" spans="32:32" x14ac:dyDescent="0.2">
      <c r="AF4389" t="s">
        <v>473</v>
      </c>
    </row>
    <row r="4390" spans="32:32" x14ac:dyDescent="0.2">
      <c r="AF4390" t="s">
        <v>473</v>
      </c>
    </row>
    <row r="4391" spans="32:32" x14ac:dyDescent="0.2">
      <c r="AF4391" t="s">
        <v>473</v>
      </c>
    </row>
    <row r="4392" spans="32:32" x14ac:dyDescent="0.2">
      <c r="AF4392" t="s">
        <v>473</v>
      </c>
    </row>
    <row r="4393" spans="32:32" x14ac:dyDescent="0.2">
      <c r="AF4393" t="s">
        <v>473</v>
      </c>
    </row>
    <row r="4394" spans="32:32" x14ac:dyDescent="0.2">
      <c r="AF4394" t="s">
        <v>473</v>
      </c>
    </row>
    <row r="4395" spans="32:32" x14ac:dyDescent="0.2">
      <c r="AF4395" t="s">
        <v>473</v>
      </c>
    </row>
    <row r="4396" spans="32:32" x14ac:dyDescent="0.2">
      <c r="AF4396" t="s">
        <v>473</v>
      </c>
    </row>
    <row r="4397" spans="32:32" x14ac:dyDescent="0.2">
      <c r="AF4397" t="s">
        <v>473</v>
      </c>
    </row>
    <row r="4398" spans="32:32" x14ac:dyDescent="0.2">
      <c r="AF4398" t="s">
        <v>473</v>
      </c>
    </row>
    <row r="4399" spans="32:32" x14ac:dyDescent="0.2">
      <c r="AF4399" t="s">
        <v>473</v>
      </c>
    </row>
    <row r="4400" spans="32:32" x14ac:dyDescent="0.2">
      <c r="AF4400" t="s">
        <v>473</v>
      </c>
    </row>
    <row r="4401" spans="32:32" x14ac:dyDescent="0.2">
      <c r="AF4401" t="s">
        <v>473</v>
      </c>
    </row>
    <row r="4402" spans="32:32" x14ac:dyDescent="0.2">
      <c r="AF4402" t="s">
        <v>473</v>
      </c>
    </row>
    <row r="4403" spans="32:32" x14ac:dyDescent="0.2">
      <c r="AF4403" t="s">
        <v>473</v>
      </c>
    </row>
    <row r="4404" spans="32:32" x14ac:dyDescent="0.2">
      <c r="AF4404" t="s">
        <v>473</v>
      </c>
    </row>
    <row r="4405" spans="32:32" x14ac:dyDescent="0.2">
      <c r="AF4405" t="s">
        <v>473</v>
      </c>
    </row>
    <row r="4406" spans="32:32" x14ac:dyDescent="0.2">
      <c r="AF4406" t="s">
        <v>473</v>
      </c>
    </row>
    <row r="4407" spans="32:32" x14ac:dyDescent="0.2">
      <c r="AF4407" t="s">
        <v>473</v>
      </c>
    </row>
    <row r="4408" spans="32:32" x14ac:dyDescent="0.2">
      <c r="AF4408" t="s">
        <v>473</v>
      </c>
    </row>
    <row r="4409" spans="32:32" x14ac:dyDescent="0.2">
      <c r="AF4409" t="s">
        <v>473</v>
      </c>
    </row>
    <row r="4410" spans="32:32" x14ac:dyDescent="0.2">
      <c r="AF4410" t="s">
        <v>473</v>
      </c>
    </row>
    <row r="4411" spans="32:32" x14ac:dyDescent="0.2">
      <c r="AF4411" t="s">
        <v>473</v>
      </c>
    </row>
    <row r="4412" spans="32:32" x14ac:dyDescent="0.2">
      <c r="AF4412" t="s">
        <v>473</v>
      </c>
    </row>
    <row r="4413" spans="32:32" x14ac:dyDescent="0.2">
      <c r="AF4413" t="s">
        <v>473</v>
      </c>
    </row>
    <row r="4414" spans="32:32" x14ac:dyDescent="0.2">
      <c r="AF4414" t="s">
        <v>473</v>
      </c>
    </row>
    <row r="4415" spans="32:32" x14ac:dyDescent="0.2">
      <c r="AF4415" t="s">
        <v>473</v>
      </c>
    </row>
    <row r="4416" spans="32:32" x14ac:dyDescent="0.2">
      <c r="AF4416" t="s">
        <v>473</v>
      </c>
    </row>
    <row r="4417" spans="32:32" x14ac:dyDescent="0.2">
      <c r="AF4417" t="s">
        <v>473</v>
      </c>
    </row>
    <row r="4418" spans="32:32" x14ac:dyDescent="0.2">
      <c r="AF4418" t="s">
        <v>473</v>
      </c>
    </row>
    <row r="4419" spans="32:32" x14ac:dyDescent="0.2">
      <c r="AF4419" t="s">
        <v>473</v>
      </c>
    </row>
    <row r="4420" spans="32:32" x14ac:dyDescent="0.2">
      <c r="AF4420" t="s">
        <v>473</v>
      </c>
    </row>
    <row r="4421" spans="32:32" x14ac:dyDescent="0.2">
      <c r="AF4421" t="s">
        <v>473</v>
      </c>
    </row>
    <row r="4422" spans="32:32" x14ac:dyDescent="0.2">
      <c r="AF4422" t="s">
        <v>473</v>
      </c>
    </row>
    <row r="4423" spans="32:32" x14ac:dyDescent="0.2">
      <c r="AF4423" t="s">
        <v>473</v>
      </c>
    </row>
    <row r="4424" spans="32:32" x14ac:dyDescent="0.2">
      <c r="AF4424" t="s">
        <v>473</v>
      </c>
    </row>
    <row r="4425" spans="32:32" x14ac:dyDescent="0.2">
      <c r="AF4425" t="s">
        <v>473</v>
      </c>
    </row>
    <row r="4426" spans="32:32" x14ac:dyDescent="0.2">
      <c r="AF4426" t="s">
        <v>473</v>
      </c>
    </row>
    <row r="4427" spans="32:32" x14ac:dyDescent="0.2">
      <c r="AF4427" t="s">
        <v>473</v>
      </c>
    </row>
    <row r="4428" spans="32:32" x14ac:dyDescent="0.2">
      <c r="AF4428" t="s">
        <v>473</v>
      </c>
    </row>
    <row r="4429" spans="32:32" x14ac:dyDescent="0.2">
      <c r="AF4429" t="s">
        <v>473</v>
      </c>
    </row>
    <row r="4430" spans="32:32" x14ac:dyDescent="0.2">
      <c r="AF4430" t="s">
        <v>473</v>
      </c>
    </row>
    <row r="4431" spans="32:32" x14ac:dyDescent="0.2">
      <c r="AF4431" t="s">
        <v>473</v>
      </c>
    </row>
    <row r="4432" spans="32:32" x14ac:dyDescent="0.2">
      <c r="AF4432" t="s">
        <v>473</v>
      </c>
    </row>
    <row r="4433" spans="32:32" x14ac:dyDescent="0.2">
      <c r="AF4433" t="s">
        <v>473</v>
      </c>
    </row>
    <row r="4434" spans="32:32" x14ac:dyDescent="0.2">
      <c r="AF4434" t="s">
        <v>473</v>
      </c>
    </row>
    <row r="4435" spans="32:32" x14ac:dyDescent="0.2">
      <c r="AF4435" t="s">
        <v>473</v>
      </c>
    </row>
    <row r="4436" spans="32:32" x14ac:dyDescent="0.2">
      <c r="AF4436" t="s">
        <v>473</v>
      </c>
    </row>
    <row r="4437" spans="32:32" x14ac:dyDescent="0.2">
      <c r="AF4437" t="s">
        <v>473</v>
      </c>
    </row>
    <row r="4438" spans="32:32" x14ac:dyDescent="0.2">
      <c r="AF4438" t="s">
        <v>473</v>
      </c>
    </row>
    <row r="4439" spans="32:32" x14ac:dyDescent="0.2">
      <c r="AF4439" t="s">
        <v>473</v>
      </c>
    </row>
    <row r="4440" spans="32:32" x14ac:dyDescent="0.2">
      <c r="AF4440" t="s">
        <v>473</v>
      </c>
    </row>
    <row r="4441" spans="32:32" x14ac:dyDescent="0.2">
      <c r="AF4441" t="s">
        <v>473</v>
      </c>
    </row>
    <row r="4442" spans="32:32" x14ac:dyDescent="0.2">
      <c r="AF4442" t="s">
        <v>473</v>
      </c>
    </row>
    <row r="4443" spans="32:32" x14ac:dyDescent="0.2">
      <c r="AF4443" t="s">
        <v>473</v>
      </c>
    </row>
    <row r="4444" spans="32:32" x14ac:dyDescent="0.2">
      <c r="AF4444" t="s">
        <v>473</v>
      </c>
    </row>
    <row r="4445" spans="32:32" x14ac:dyDescent="0.2">
      <c r="AF4445" t="s">
        <v>473</v>
      </c>
    </row>
    <row r="4446" spans="32:32" x14ac:dyDescent="0.2">
      <c r="AF4446" t="s">
        <v>473</v>
      </c>
    </row>
    <row r="4447" spans="32:32" x14ac:dyDescent="0.2">
      <c r="AF4447" t="s">
        <v>473</v>
      </c>
    </row>
    <row r="4448" spans="32:32" x14ac:dyDescent="0.2">
      <c r="AF4448" t="s">
        <v>473</v>
      </c>
    </row>
    <row r="4449" spans="32:32" x14ac:dyDescent="0.2">
      <c r="AF4449" t="s">
        <v>473</v>
      </c>
    </row>
    <row r="4450" spans="32:32" x14ac:dyDescent="0.2">
      <c r="AF4450" t="s">
        <v>473</v>
      </c>
    </row>
    <row r="4451" spans="32:32" x14ac:dyDescent="0.2">
      <c r="AF4451" t="s">
        <v>473</v>
      </c>
    </row>
    <row r="4452" spans="32:32" x14ac:dyDescent="0.2">
      <c r="AF4452" t="s">
        <v>473</v>
      </c>
    </row>
    <row r="4453" spans="32:32" x14ac:dyDescent="0.2">
      <c r="AF4453" t="s">
        <v>473</v>
      </c>
    </row>
    <row r="4454" spans="32:32" x14ac:dyDescent="0.2">
      <c r="AF4454" t="s">
        <v>473</v>
      </c>
    </row>
    <row r="4455" spans="32:32" x14ac:dyDescent="0.2">
      <c r="AF4455" t="s">
        <v>473</v>
      </c>
    </row>
    <row r="4456" spans="32:32" x14ac:dyDescent="0.2">
      <c r="AF4456" t="s">
        <v>473</v>
      </c>
    </row>
    <row r="4457" spans="32:32" x14ac:dyDescent="0.2">
      <c r="AF4457" t="s">
        <v>473</v>
      </c>
    </row>
    <row r="4458" spans="32:32" x14ac:dyDescent="0.2">
      <c r="AF4458" t="s">
        <v>473</v>
      </c>
    </row>
    <row r="4459" spans="32:32" x14ac:dyDescent="0.2">
      <c r="AF4459" t="s">
        <v>473</v>
      </c>
    </row>
    <row r="4460" spans="32:32" x14ac:dyDescent="0.2">
      <c r="AF4460" t="s">
        <v>473</v>
      </c>
    </row>
    <row r="4461" spans="32:32" x14ac:dyDescent="0.2">
      <c r="AF4461" t="s">
        <v>473</v>
      </c>
    </row>
    <row r="4462" spans="32:32" x14ac:dyDescent="0.2">
      <c r="AF4462" t="s">
        <v>473</v>
      </c>
    </row>
    <row r="4463" spans="32:32" x14ac:dyDescent="0.2">
      <c r="AF4463" t="s">
        <v>473</v>
      </c>
    </row>
    <row r="4464" spans="32:32" x14ac:dyDescent="0.2">
      <c r="AF4464" t="s">
        <v>473</v>
      </c>
    </row>
    <row r="4465" spans="32:32" x14ac:dyDescent="0.2">
      <c r="AF4465" t="s">
        <v>473</v>
      </c>
    </row>
    <row r="4466" spans="32:32" x14ac:dyDescent="0.2">
      <c r="AF4466" t="s">
        <v>473</v>
      </c>
    </row>
    <row r="4467" spans="32:32" x14ac:dyDescent="0.2">
      <c r="AF4467" t="s">
        <v>473</v>
      </c>
    </row>
    <row r="4468" spans="32:32" x14ac:dyDescent="0.2">
      <c r="AF4468" t="s">
        <v>473</v>
      </c>
    </row>
    <row r="4469" spans="32:32" x14ac:dyDescent="0.2">
      <c r="AF4469" t="s">
        <v>473</v>
      </c>
    </row>
    <row r="4470" spans="32:32" x14ac:dyDescent="0.2">
      <c r="AF4470" t="s">
        <v>473</v>
      </c>
    </row>
    <row r="4471" spans="32:32" x14ac:dyDescent="0.2">
      <c r="AF4471" t="s">
        <v>473</v>
      </c>
    </row>
    <row r="4472" spans="32:32" x14ac:dyDescent="0.2">
      <c r="AF4472" t="s">
        <v>473</v>
      </c>
    </row>
    <row r="4473" spans="32:32" x14ac:dyDescent="0.2">
      <c r="AF4473" t="s">
        <v>473</v>
      </c>
    </row>
    <row r="4474" spans="32:32" x14ac:dyDescent="0.2">
      <c r="AF4474" t="s">
        <v>473</v>
      </c>
    </row>
    <row r="4475" spans="32:32" x14ac:dyDescent="0.2">
      <c r="AF4475" t="s">
        <v>473</v>
      </c>
    </row>
    <row r="4476" spans="32:32" x14ac:dyDescent="0.2">
      <c r="AF4476" t="s">
        <v>473</v>
      </c>
    </row>
    <row r="4477" spans="32:32" x14ac:dyDescent="0.2">
      <c r="AF4477" t="s">
        <v>473</v>
      </c>
    </row>
    <row r="4478" spans="32:32" x14ac:dyDescent="0.2">
      <c r="AF4478" t="s">
        <v>473</v>
      </c>
    </row>
    <row r="4479" spans="32:32" x14ac:dyDescent="0.2">
      <c r="AF4479" t="s">
        <v>473</v>
      </c>
    </row>
    <row r="4480" spans="32:32" x14ac:dyDescent="0.2">
      <c r="AF4480" t="s">
        <v>473</v>
      </c>
    </row>
    <row r="4481" spans="32:32" x14ac:dyDescent="0.2">
      <c r="AF4481" t="s">
        <v>473</v>
      </c>
    </row>
    <row r="4482" spans="32:32" x14ac:dyDescent="0.2">
      <c r="AF4482" t="s">
        <v>473</v>
      </c>
    </row>
    <row r="4483" spans="32:32" x14ac:dyDescent="0.2">
      <c r="AF4483" t="s">
        <v>473</v>
      </c>
    </row>
    <row r="4484" spans="32:32" x14ac:dyDescent="0.2">
      <c r="AF4484" t="s">
        <v>473</v>
      </c>
    </row>
    <row r="4485" spans="32:32" x14ac:dyDescent="0.2">
      <c r="AF4485" t="s">
        <v>473</v>
      </c>
    </row>
    <row r="4486" spans="32:32" x14ac:dyDescent="0.2">
      <c r="AF4486" t="s">
        <v>473</v>
      </c>
    </row>
    <row r="4487" spans="32:32" x14ac:dyDescent="0.2">
      <c r="AF4487" t="s">
        <v>473</v>
      </c>
    </row>
    <row r="4488" spans="32:32" x14ac:dyDescent="0.2">
      <c r="AF4488" t="s">
        <v>473</v>
      </c>
    </row>
    <row r="4489" spans="32:32" x14ac:dyDescent="0.2">
      <c r="AF4489" t="s">
        <v>473</v>
      </c>
    </row>
    <row r="4490" spans="32:32" x14ac:dyDescent="0.2">
      <c r="AF4490" t="s">
        <v>473</v>
      </c>
    </row>
    <row r="4491" spans="32:32" x14ac:dyDescent="0.2">
      <c r="AF4491" t="s">
        <v>473</v>
      </c>
    </row>
    <row r="4492" spans="32:32" x14ac:dyDescent="0.2">
      <c r="AF4492" t="s">
        <v>473</v>
      </c>
    </row>
    <row r="4493" spans="32:32" x14ac:dyDescent="0.2">
      <c r="AF4493" t="s">
        <v>473</v>
      </c>
    </row>
    <row r="4494" spans="32:32" x14ac:dyDescent="0.2">
      <c r="AF4494" t="s">
        <v>473</v>
      </c>
    </row>
    <row r="4495" spans="32:32" x14ac:dyDescent="0.2">
      <c r="AF4495" t="s">
        <v>473</v>
      </c>
    </row>
    <row r="4496" spans="32:32" x14ac:dyDescent="0.2">
      <c r="AF4496" t="s">
        <v>473</v>
      </c>
    </row>
    <row r="4497" spans="32:32" x14ac:dyDescent="0.2">
      <c r="AF4497" t="s">
        <v>473</v>
      </c>
    </row>
    <row r="4498" spans="32:32" x14ac:dyDescent="0.2">
      <c r="AF4498" t="s">
        <v>473</v>
      </c>
    </row>
    <row r="4499" spans="32:32" x14ac:dyDescent="0.2">
      <c r="AF4499" t="s">
        <v>473</v>
      </c>
    </row>
    <row r="4500" spans="32:32" x14ac:dyDescent="0.2">
      <c r="AF4500" t="s">
        <v>473</v>
      </c>
    </row>
    <row r="4501" spans="32:32" x14ac:dyDescent="0.2">
      <c r="AF4501" t="s">
        <v>473</v>
      </c>
    </row>
    <row r="4502" spans="32:32" x14ac:dyDescent="0.2">
      <c r="AF4502" t="s">
        <v>473</v>
      </c>
    </row>
    <row r="4503" spans="32:32" x14ac:dyDescent="0.2">
      <c r="AF4503" t="s">
        <v>473</v>
      </c>
    </row>
    <row r="4504" spans="32:32" x14ac:dyDescent="0.2">
      <c r="AF4504" t="s">
        <v>473</v>
      </c>
    </row>
    <row r="4505" spans="32:32" x14ac:dyDescent="0.2">
      <c r="AF4505" t="s">
        <v>473</v>
      </c>
    </row>
    <row r="4506" spans="32:32" x14ac:dyDescent="0.2">
      <c r="AF4506" t="s">
        <v>473</v>
      </c>
    </row>
    <row r="4507" spans="32:32" x14ac:dyDescent="0.2">
      <c r="AF4507" t="s">
        <v>473</v>
      </c>
    </row>
    <row r="4508" spans="32:32" x14ac:dyDescent="0.2">
      <c r="AF4508" t="s">
        <v>473</v>
      </c>
    </row>
    <row r="4509" spans="32:32" x14ac:dyDescent="0.2">
      <c r="AF4509" t="s">
        <v>473</v>
      </c>
    </row>
    <row r="4510" spans="32:32" x14ac:dyDescent="0.2">
      <c r="AF4510" t="s">
        <v>473</v>
      </c>
    </row>
    <row r="4511" spans="32:32" x14ac:dyDescent="0.2">
      <c r="AF4511" t="s">
        <v>473</v>
      </c>
    </row>
    <row r="4512" spans="32:32" x14ac:dyDescent="0.2">
      <c r="AF4512" t="s">
        <v>473</v>
      </c>
    </row>
    <row r="4513" spans="32:32" x14ac:dyDescent="0.2">
      <c r="AF4513" t="s">
        <v>473</v>
      </c>
    </row>
    <row r="4514" spans="32:32" x14ac:dyDescent="0.2">
      <c r="AF4514" t="s">
        <v>473</v>
      </c>
    </row>
    <row r="4515" spans="32:32" x14ac:dyDescent="0.2">
      <c r="AF4515" t="s">
        <v>473</v>
      </c>
    </row>
    <row r="4516" spans="32:32" x14ac:dyDescent="0.2">
      <c r="AF4516" t="s">
        <v>473</v>
      </c>
    </row>
    <row r="4517" spans="32:32" x14ac:dyDescent="0.2">
      <c r="AF4517" t="s">
        <v>473</v>
      </c>
    </row>
    <row r="4518" spans="32:32" x14ac:dyDescent="0.2">
      <c r="AF4518" t="s">
        <v>473</v>
      </c>
    </row>
    <row r="4519" spans="32:32" x14ac:dyDescent="0.2">
      <c r="AF4519" t="s">
        <v>473</v>
      </c>
    </row>
    <row r="4520" spans="32:32" x14ac:dyDescent="0.2">
      <c r="AF4520" t="s">
        <v>473</v>
      </c>
    </row>
    <row r="4521" spans="32:32" x14ac:dyDescent="0.2">
      <c r="AF4521" t="s">
        <v>473</v>
      </c>
    </row>
    <row r="4522" spans="32:32" x14ac:dyDescent="0.2">
      <c r="AF4522" t="s">
        <v>473</v>
      </c>
    </row>
    <row r="4523" spans="32:32" x14ac:dyDescent="0.2">
      <c r="AF4523" t="s">
        <v>473</v>
      </c>
    </row>
    <row r="4524" spans="32:32" x14ac:dyDescent="0.2">
      <c r="AF4524" t="s">
        <v>473</v>
      </c>
    </row>
    <row r="4525" spans="32:32" x14ac:dyDescent="0.2">
      <c r="AF4525" t="s">
        <v>473</v>
      </c>
    </row>
    <row r="4526" spans="32:32" x14ac:dyDescent="0.2">
      <c r="AF4526" t="s">
        <v>473</v>
      </c>
    </row>
    <row r="4527" spans="32:32" x14ac:dyDescent="0.2">
      <c r="AF4527" t="s">
        <v>473</v>
      </c>
    </row>
    <row r="4528" spans="32:32" x14ac:dyDescent="0.2">
      <c r="AF4528" t="s">
        <v>473</v>
      </c>
    </row>
    <row r="4529" spans="32:32" x14ac:dyDescent="0.2">
      <c r="AF4529" t="s">
        <v>473</v>
      </c>
    </row>
    <row r="4530" spans="32:32" x14ac:dyDescent="0.2">
      <c r="AF4530" t="s">
        <v>473</v>
      </c>
    </row>
    <row r="4531" spans="32:32" x14ac:dyDescent="0.2">
      <c r="AF4531" t="s">
        <v>473</v>
      </c>
    </row>
    <row r="4532" spans="32:32" x14ac:dyDescent="0.2">
      <c r="AF4532" t="s">
        <v>473</v>
      </c>
    </row>
    <row r="4533" spans="32:32" x14ac:dyDescent="0.2">
      <c r="AF4533" t="s">
        <v>473</v>
      </c>
    </row>
    <row r="4534" spans="32:32" x14ac:dyDescent="0.2">
      <c r="AF4534" t="s">
        <v>473</v>
      </c>
    </row>
    <row r="4535" spans="32:32" x14ac:dyDescent="0.2">
      <c r="AF4535" t="s">
        <v>473</v>
      </c>
    </row>
    <row r="4536" spans="32:32" x14ac:dyDescent="0.2">
      <c r="AF4536" t="s">
        <v>473</v>
      </c>
    </row>
    <row r="4537" spans="32:32" x14ac:dyDescent="0.2">
      <c r="AF4537" t="s">
        <v>473</v>
      </c>
    </row>
    <row r="4538" spans="32:32" x14ac:dyDescent="0.2">
      <c r="AF4538" t="s">
        <v>473</v>
      </c>
    </row>
    <row r="4539" spans="32:32" x14ac:dyDescent="0.2">
      <c r="AF4539" t="s">
        <v>473</v>
      </c>
    </row>
    <row r="4540" spans="32:32" x14ac:dyDescent="0.2">
      <c r="AF4540" t="s">
        <v>473</v>
      </c>
    </row>
    <row r="4541" spans="32:32" x14ac:dyDescent="0.2">
      <c r="AF4541" t="s">
        <v>473</v>
      </c>
    </row>
    <row r="4542" spans="32:32" x14ac:dyDescent="0.2">
      <c r="AF4542" t="s">
        <v>473</v>
      </c>
    </row>
    <row r="4543" spans="32:32" x14ac:dyDescent="0.2">
      <c r="AF4543" t="s">
        <v>473</v>
      </c>
    </row>
    <row r="4544" spans="32:32" x14ac:dyDescent="0.2">
      <c r="AF4544" t="s">
        <v>473</v>
      </c>
    </row>
    <row r="4545" spans="32:32" x14ac:dyDescent="0.2">
      <c r="AF4545" t="s">
        <v>473</v>
      </c>
    </row>
    <row r="4546" spans="32:32" x14ac:dyDescent="0.2">
      <c r="AF4546" t="s">
        <v>473</v>
      </c>
    </row>
    <row r="4547" spans="32:32" x14ac:dyDescent="0.2">
      <c r="AF4547" t="s">
        <v>473</v>
      </c>
    </row>
    <row r="4548" spans="32:32" x14ac:dyDescent="0.2">
      <c r="AF4548" t="s">
        <v>473</v>
      </c>
    </row>
    <row r="4549" spans="32:32" x14ac:dyDescent="0.2">
      <c r="AF4549" t="s">
        <v>473</v>
      </c>
    </row>
    <row r="4550" spans="32:32" x14ac:dyDescent="0.2">
      <c r="AF4550" t="s">
        <v>473</v>
      </c>
    </row>
    <row r="4551" spans="32:32" x14ac:dyDescent="0.2">
      <c r="AF4551" t="s">
        <v>473</v>
      </c>
    </row>
    <row r="4552" spans="32:32" x14ac:dyDescent="0.2">
      <c r="AF4552" t="s">
        <v>473</v>
      </c>
    </row>
    <row r="4553" spans="32:32" x14ac:dyDescent="0.2">
      <c r="AF4553" t="s">
        <v>473</v>
      </c>
    </row>
    <row r="4554" spans="32:32" x14ac:dyDescent="0.2">
      <c r="AF4554" t="s">
        <v>473</v>
      </c>
    </row>
    <row r="4555" spans="32:32" x14ac:dyDescent="0.2">
      <c r="AF4555" t="s">
        <v>473</v>
      </c>
    </row>
    <row r="4556" spans="32:32" x14ac:dyDescent="0.2">
      <c r="AF4556" t="s">
        <v>473</v>
      </c>
    </row>
    <row r="4557" spans="32:32" x14ac:dyDescent="0.2">
      <c r="AF4557" t="s">
        <v>473</v>
      </c>
    </row>
    <row r="4558" spans="32:32" x14ac:dyDescent="0.2">
      <c r="AF4558" t="s">
        <v>473</v>
      </c>
    </row>
    <row r="4559" spans="32:32" x14ac:dyDescent="0.2">
      <c r="AF4559" t="s">
        <v>473</v>
      </c>
    </row>
    <row r="4560" spans="32:32" x14ac:dyDescent="0.2">
      <c r="AF4560" t="s">
        <v>473</v>
      </c>
    </row>
    <row r="4561" spans="32:32" x14ac:dyDescent="0.2">
      <c r="AF4561" t="s">
        <v>473</v>
      </c>
    </row>
    <row r="4562" spans="32:32" x14ac:dyDescent="0.2">
      <c r="AF4562" t="s">
        <v>473</v>
      </c>
    </row>
    <row r="4563" spans="32:32" x14ac:dyDescent="0.2">
      <c r="AF4563" t="s">
        <v>473</v>
      </c>
    </row>
    <row r="4564" spans="32:32" x14ac:dyDescent="0.2">
      <c r="AF4564" t="s">
        <v>473</v>
      </c>
    </row>
    <row r="4565" spans="32:32" x14ac:dyDescent="0.2">
      <c r="AF4565" t="s">
        <v>473</v>
      </c>
    </row>
    <row r="4566" spans="32:32" x14ac:dyDescent="0.2">
      <c r="AF4566" t="s">
        <v>473</v>
      </c>
    </row>
    <row r="4567" spans="32:32" x14ac:dyDescent="0.2">
      <c r="AF4567" t="s">
        <v>473</v>
      </c>
    </row>
    <row r="4568" spans="32:32" x14ac:dyDescent="0.2">
      <c r="AF4568" t="s">
        <v>473</v>
      </c>
    </row>
    <row r="4569" spans="32:32" x14ac:dyDescent="0.2">
      <c r="AF4569" t="s">
        <v>473</v>
      </c>
    </row>
    <row r="4570" spans="32:32" x14ac:dyDescent="0.2">
      <c r="AF4570" t="s">
        <v>473</v>
      </c>
    </row>
    <row r="4571" spans="32:32" x14ac:dyDescent="0.2">
      <c r="AF4571" t="s">
        <v>473</v>
      </c>
    </row>
    <row r="4572" spans="32:32" x14ac:dyDescent="0.2">
      <c r="AF4572" t="s">
        <v>473</v>
      </c>
    </row>
    <row r="4573" spans="32:32" x14ac:dyDescent="0.2">
      <c r="AF4573" t="s">
        <v>473</v>
      </c>
    </row>
    <row r="4574" spans="32:32" x14ac:dyDescent="0.2">
      <c r="AF4574" t="s">
        <v>473</v>
      </c>
    </row>
    <row r="4575" spans="32:32" x14ac:dyDescent="0.2">
      <c r="AF4575" t="s">
        <v>473</v>
      </c>
    </row>
    <row r="4576" spans="32:32" x14ac:dyDescent="0.2">
      <c r="AF4576" t="s">
        <v>473</v>
      </c>
    </row>
    <row r="4577" spans="32:32" x14ac:dyDescent="0.2">
      <c r="AF4577" t="s">
        <v>473</v>
      </c>
    </row>
    <row r="4578" spans="32:32" x14ac:dyDescent="0.2">
      <c r="AF4578" t="s">
        <v>473</v>
      </c>
    </row>
    <row r="4579" spans="32:32" x14ac:dyDescent="0.2">
      <c r="AF4579" t="s">
        <v>473</v>
      </c>
    </row>
    <row r="4580" spans="32:32" x14ac:dyDescent="0.2">
      <c r="AF4580" t="s">
        <v>473</v>
      </c>
    </row>
    <row r="4581" spans="32:32" x14ac:dyDescent="0.2">
      <c r="AF4581" t="s">
        <v>473</v>
      </c>
    </row>
    <row r="4582" spans="32:32" x14ac:dyDescent="0.2">
      <c r="AF4582" t="s">
        <v>473</v>
      </c>
    </row>
    <row r="4583" spans="32:32" x14ac:dyDescent="0.2">
      <c r="AF4583" t="s">
        <v>473</v>
      </c>
    </row>
    <row r="4584" spans="32:32" x14ac:dyDescent="0.2">
      <c r="AF4584" t="s">
        <v>473</v>
      </c>
    </row>
    <row r="4585" spans="32:32" x14ac:dyDescent="0.2">
      <c r="AF4585" t="s">
        <v>473</v>
      </c>
    </row>
    <row r="4586" spans="32:32" x14ac:dyDescent="0.2">
      <c r="AF4586" t="s">
        <v>473</v>
      </c>
    </row>
    <row r="4587" spans="32:32" x14ac:dyDescent="0.2">
      <c r="AF4587" t="s">
        <v>473</v>
      </c>
    </row>
    <row r="4588" spans="32:32" x14ac:dyDescent="0.2">
      <c r="AF4588" t="s">
        <v>473</v>
      </c>
    </row>
    <row r="4589" spans="32:32" x14ac:dyDescent="0.2">
      <c r="AF4589" t="s">
        <v>473</v>
      </c>
    </row>
    <row r="4590" spans="32:32" x14ac:dyDescent="0.2">
      <c r="AF4590" t="s">
        <v>473</v>
      </c>
    </row>
    <row r="4591" spans="32:32" x14ac:dyDescent="0.2">
      <c r="AF4591" t="s">
        <v>473</v>
      </c>
    </row>
    <row r="4592" spans="32:32" x14ac:dyDescent="0.2">
      <c r="AF4592" t="s">
        <v>473</v>
      </c>
    </row>
    <row r="4593" spans="32:32" x14ac:dyDescent="0.2">
      <c r="AF4593" t="s">
        <v>473</v>
      </c>
    </row>
    <row r="4594" spans="32:32" x14ac:dyDescent="0.2">
      <c r="AF4594" t="s">
        <v>473</v>
      </c>
    </row>
    <row r="4595" spans="32:32" x14ac:dyDescent="0.2">
      <c r="AF4595" t="s">
        <v>473</v>
      </c>
    </row>
    <row r="4596" spans="32:32" x14ac:dyDescent="0.2">
      <c r="AF4596" t="s">
        <v>473</v>
      </c>
    </row>
    <row r="4597" spans="32:32" x14ac:dyDescent="0.2">
      <c r="AF4597" t="s">
        <v>473</v>
      </c>
    </row>
    <row r="4598" spans="32:32" x14ac:dyDescent="0.2">
      <c r="AF4598" t="s">
        <v>473</v>
      </c>
    </row>
    <row r="4599" spans="32:32" x14ac:dyDescent="0.2">
      <c r="AF4599" t="s">
        <v>473</v>
      </c>
    </row>
    <row r="4600" spans="32:32" x14ac:dyDescent="0.2">
      <c r="AF4600" t="s">
        <v>473</v>
      </c>
    </row>
    <row r="4601" spans="32:32" x14ac:dyDescent="0.2">
      <c r="AF4601" t="s">
        <v>473</v>
      </c>
    </row>
    <row r="4602" spans="32:32" x14ac:dyDescent="0.2">
      <c r="AF4602" t="s">
        <v>473</v>
      </c>
    </row>
    <row r="4603" spans="32:32" x14ac:dyDescent="0.2">
      <c r="AF4603" t="s">
        <v>473</v>
      </c>
    </row>
    <row r="4604" spans="32:32" x14ac:dyDescent="0.2">
      <c r="AF4604" t="s">
        <v>473</v>
      </c>
    </row>
    <row r="4605" spans="32:32" x14ac:dyDescent="0.2">
      <c r="AF4605" t="s">
        <v>473</v>
      </c>
    </row>
    <row r="4606" spans="32:32" x14ac:dyDescent="0.2">
      <c r="AF4606" t="s">
        <v>473</v>
      </c>
    </row>
    <row r="4607" spans="32:32" x14ac:dyDescent="0.2">
      <c r="AF4607" t="s">
        <v>473</v>
      </c>
    </row>
    <row r="4608" spans="32:32" x14ac:dyDescent="0.2">
      <c r="AF4608" t="s">
        <v>473</v>
      </c>
    </row>
    <row r="4609" spans="32:32" x14ac:dyDescent="0.2">
      <c r="AF4609" t="s">
        <v>473</v>
      </c>
    </row>
    <row r="4610" spans="32:32" x14ac:dyDescent="0.2">
      <c r="AF4610" t="s">
        <v>473</v>
      </c>
    </row>
    <row r="4611" spans="32:32" x14ac:dyDescent="0.2">
      <c r="AF4611" t="s">
        <v>473</v>
      </c>
    </row>
    <row r="4612" spans="32:32" x14ac:dyDescent="0.2">
      <c r="AF4612" t="s">
        <v>473</v>
      </c>
    </row>
    <row r="4613" spans="32:32" x14ac:dyDescent="0.2">
      <c r="AF4613" t="s">
        <v>473</v>
      </c>
    </row>
    <row r="4614" spans="32:32" x14ac:dyDescent="0.2">
      <c r="AF4614" t="s">
        <v>473</v>
      </c>
    </row>
    <row r="4615" spans="32:32" x14ac:dyDescent="0.2">
      <c r="AF4615" t="s">
        <v>473</v>
      </c>
    </row>
    <row r="4616" spans="32:32" x14ac:dyDescent="0.2">
      <c r="AF4616" t="s">
        <v>473</v>
      </c>
    </row>
    <row r="4617" spans="32:32" x14ac:dyDescent="0.2">
      <c r="AF4617" t="s">
        <v>473</v>
      </c>
    </row>
    <row r="4618" spans="32:32" x14ac:dyDescent="0.2">
      <c r="AF4618" t="s">
        <v>473</v>
      </c>
    </row>
    <row r="4619" spans="32:32" x14ac:dyDescent="0.2">
      <c r="AF4619" t="s">
        <v>473</v>
      </c>
    </row>
    <row r="4620" spans="32:32" x14ac:dyDescent="0.2">
      <c r="AF4620" t="s">
        <v>473</v>
      </c>
    </row>
    <row r="4621" spans="32:32" x14ac:dyDescent="0.2">
      <c r="AF4621" t="s">
        <v>473</v>
      </c>
    </row>
    <row r="4622" spans="32:32" x14ac:dyDescent="0.2">
      <c r="AF4622" t="s">
        <v>473</v>
      </c>
    </row>
    <row r="4623" spans="32:32" x14ac:dyDescent="0.2">
      <c r="AF4623" t="s">
        <v>473</v>
      </c>
    </row>
    <row r="4624" spans="32:32" x14ac:dyDescent="0.2">
      <c r="AF4624" t="s">
        <v>473</v>
      </c>
    </row>
    <row r="4625" spans="32:32" x14ac:dyDescent="0.2">
      <c r="AF4625" t="s">
        <v>473</v>
      </c>
    </row>
    <row r="4626" spans="32:32" x14ac:dyDescent="0.2">
      <c r="AF4626" t="s">
        <v>473</v>
      </c>
    </row>
    <row r="4627" spans="32:32" x14ac:dyDescent="0.2">
      <c r="AF4627" t="s">
        <v>473</v>
      </c>
    </row>
    <row r="4628" spans="32:32" x14ac:dyDescent="0.2">
      <c r="AF4628" t="s">
        <v>473</v>
      </c>
    </row>
    <row r="4629" spans="32:32" x14ac:dyDescent="0.2">
      <c r="AF4629" t="s">
        <v>473</v>
      </c>
    </row>
    <row r="4630" spans="32:32" x14ac:dyDescent="0.2">
      <c r="AF4630" t="s">
        <v>473</v>
      </c>
    </row>
    <row r="4631" spans="32:32" x14ac:dyDescent="0.2">
      <c r="AF4631" t="s">
        <v>473</v>
      </c>
    </row>
    <row r="4632" spans="32:32" x14ac:dyDescent="0.2">
      <c r="AF4632" t="s">
        <v>473</v>
      </c>
    </row>
    <row r="4633" spans="32:32" x14ac:dyDescent="0.2">
      <c r="AF4633" t="s">
        <v>473</v>
      </c>
    </row>
    <row r="4634" spans="32:32" x14ac:dyDescent="0.2">
      <c r="AF4634" t="s">
        <v>473</v>
      </c>
    </row>
    <row r="4635" spans="32:32" x14ac:dyDescent="0.2">
      <c r="AF4635" t="s">
        <v>473</v>
      </c>
    </row>
    <row r="4636" spans="32:32" x14ac:dyDescent="0.2">
      <c r="AF4636" t="s">
        <v>473</v>
      </c>
    </row>
    <row r="4637" spans="32:32" x14ac:dyDescent="0.2">
      <c r="AF4637" t="s">
        <v>473</v>
      </c>
    </row>
    <row r="4638" spans="32:32" x14ac:dyDescent="0.2">
      <c r="AF4638" t="s">
        <v>473</v>
      </c>
    </row>
    <row r="4639" spans="32:32" x14ac:dyDescent="0.2">
      <c r="AF4639" t="s">
        <v>473</v>
      </c>
    </row>
    <row r="4640" spans="32:32" x14ac:dyDescent="0.2">
      <c r="AF4640" t="s">
        <v>473</v>
      </c>
    </row>
    <row r="4641" spans="32:32" x14ac:dyDescent="0.2">
      <c r="AF4641" t="s">
        <v>473</v>
      </c>
    </row>
    <row r="4642" spans="32:32" x14ac:dyDescent="0.2">
      <c r="AF4642" t="s">
        <v>473</v>
      </c>
    </row>
    <row r="4643" spans="32:32" x14ac:dyDescent="0.2">
      <c r="AF4643" t="s">
        <v>473</v>
      </c>
    </row>
    <row r="4644" spans="32:32" x14ac:dyDescent="0.2">
      <c r="AF4644" t="s">
        <v>473</v>
      </c>
    </row>
    <row r="4645" spans="32:32" x14ac:dyDescent="0.2">
      <c r="AF4645" t="s">
        <v>473</v>
      </c>
    </row>
    <row r="4646" spans="32:32" x14ac:dyDescent="0.2">
      <c r="AF4646" t="s">
        <v>473</v>
      </c>
    </row>
    <row r="4647" spans="32:32" x14ac:dyDescent="0.2">
      <c r="AF4647" t="s">
        <v>473</v>
      </c>
    </row>
    <row r="4648" spans="32:32" x14ac:dyDescent="0.2">
      <c r="AF4648" t="s">
        <v>473</v>
      </c>
    </row>
    <row r="4649" spans="32:32" x14ac:dyDescent="0.2">
      <c r="AF4649" t="s">
        <v>473</v>
      </c>
    </row>
    <row r="4650" spans="32:32" x14ac:dyDescent="0.2">
      <c r="AF4650" t="s">
        <v>473</v>
      </c>
    </row>
    <row r="4651" spans="32:32" x14ac:dyDescent="0.2">
      <c r="AF4651" t="s">
        <v>473</v>
      </c>
    </row>
    <row r="4652" spans="32:32" x14ac:dyDescent="0.2">
      <c r="AF4652" t="s">
        <v>473</v>
      </c>
    </row>
    <row r="4653" spans="32:32" x14ac:dyDescent="0.2">
      <c r="AF4653" t="s">
        <v>473</v>
      </c>
    </row>
    <row r="4654" spans="32:32" x14ac:dyDescent="0.2">
      <c r="AF4654" t="s">
        <v>473</v>
      </c>
    </row>
    <row r="4655" spans="32:32" x14ac:dyDescent="0.2">
      <c r="AF4655" t="s">
        <v>473</v>
      </c>
    </row>
    <row r="4656" spans="32:32" x14ac:dyDescent="0.2">
      <c r="AF4656" t="s">
        <v>473</v>
      </c>
    </row>
    <row r="4657" spans="32:32" x14ac:dyDescent="0.2">
      <c r="AF4657" t="s">
        <v>473</v>
      </c>
    </row>
    <row r="4658" spans="32:32" x14ac:dyDescent="0.2">
      <c r="AF4658" t="s">
        <v>473</v>
      </c>
    </row>
    <row r="4659" spans="32:32" x14ac:dyDescent="0.2">
      <c r="AF4659" t="s">
        <v>473</v>
      </c>
    </row>
    <row r="4660" spans="32:32" x14ac:dyDescent="0.2">
      <c r="AF4660" t="s">
        <v>473</v>
      </c>
    </row>
    <row r="4661" spans="32:32" x14ac:dyDescent="0.2">
      <c r="AF4661" t="s">
        <v>473</v>
      </c>
    </row>
    <row r="4662" spans="32:32" x14ac:dyDescent="0.2">
      <c r="AF4662" t="s">
        <v>473</v>
      </c>
    </row>
    <row r="4663" spans="32:32" x14ac:dyDescent="0.2">
      <c r="AF4663" t="s">
        <v>473</v>
      </c>
    </row>
    <row r="4664" spans="32:32" x14ac:dyDescent="0.2">
      <c r="AF4664" t="s">
        <v>473</v>
      </c>
    </row>
    <row r="4665" spans="32:32" x14ac:dyDescent="0.2">
      <c r="AF4665" t="s">
        <v>473</v>
      </c>
    </row>
    <row r="4666" spans="32:32" x14ac:dyDescent="0.2">
      <c r="AF4666" t="s">
        <v>473</v>
      </c>
    </row>
    <row r="4667" spans="32:32" x14ac:dyDescent="0.2">
      <c r="AF4667" t="s">
        <v>473</v>
      </c>
    </row>
    <row r="4668" spans="32:32" x14ac:dyDescent="0.2">
      <c r="AF4668" t="s">
        <v>473</v>
      </c>
    </row>
    <row r="4669" spans="32:32" x14ac:dyDescent="0.2">
      <c r="AF4669" t="s">
        <v>473</v>
      </c>
    </row>
    <row r="4670" spans="32:32" x14ac:dyDescent="0.2">
      <c r="AF4670" t="s">
        <v>473</v>
      </c>
    </row>
    <row r="4671" spans="32:32" x14ac:dyDescent="0.2">
      <c r="AF4671" t="s">
        <v>473</v>
      </c>
    </row>
    <row r="4672" spans="32:32" x14ac:dyDescent="0.2">
      <c r="AF4672" t="s">
        <v>473</v>
      </c>
    </row>
    <row r="4673" spans="32:32" x14ac:dyDescent="0.2">
      <c r="AF4673" t="s">
        <v>473</v>
      </c>
    </row>
    <row r="4674" spans="32:32" x14ac:dyDescent="0.2">
      <c r="AF4674" t="s">
        <v>473</v>
      </c>
    </row>
    <row r="4675" spans="32:32" x14ac:dyDescent="0.2">
      <c r="AF4675" t="s">
        <v>473</v>
      </c>
    </row>
    <row r="4676" spans="32:32" x14ac:dyDescent="0.2">
      <c r="AF4676" t="s">
        <v>473</v>
      </c>
    </row>
    <row r="4677" spans="32:32" x14ac:dyDescent="0.2">
      <c r="AF4677" t="s">
        <v>473</v>
      </c>
    </row>
    <row r="4678" spans="32:32" x14ac:dyDescent="0.2">
      <c r="AF4678" t="s">
        <v>473</v>
      </c>
    </row>
    <row r="4679" spans="32:32" x14ac:dyDescent="0.2">
      <c r="AF4679" t="s">
        <v>473</v>
      </c>
    </row>
    <row r="4680" spans="32:32" x14ac:dyDescent="0.2">
      <c r="AF4680" t="s">
        <v>473</v>
      </c>
    </row>
    <row r="4681" spans="32:32" x14ac:dyDescent="0.2">
      <c r="AF4681" t="s">
        <v>473</v>
      </c>
    </row>
    <row r="4682" spans="32:32" x14ac:dyDescent="0.2">
      <c r="AF4682" t="s">
        <v>473</v>
      </c>
    </row>
    <row r="4683" spans="32:32" x14ac:dyDescent="0.2">
      <c r="AF4683" t="s">
        <v>473</v>
      </c>
    </row>
    <row r="4684" spans="32:32" x14ac:dyDescent="0.2">
      <c r="AF4684" t="s">
        <v>473</v>
      </c>
    </row>
    <row r="4685" spans="32:32" x14ac:dyDescent="0.2">
      <c r="AF4685" t="s">
        <v>473</v>
      </c>
    </row>
    <row r="4686" spans="32:32" x14ac:dyDescent="0.2">
      <c r="AF4686" t="s">
        <v>473</v>
      </c>
    </row>
    <row r="4687" spans="32:32" x14ac:dyDescent="0.2">
      <c r="AF4687" t="s">
        <v>473</v>
      </c>
    </row>
    <row r="4688" spans="32:32" x14ac:dyDescent="0.2">
      <c r="AF4688" t="s">
        <v>473</v>
      </c>
    </row>
    <row r="4689" spans="32:32" x14ac:dyDescent="0.2">
      <c r="AF4689" t="s">
        <v>473</v>
      </c>
    </row>
    <row r="4690" spans="32:32" x14ac:dyDescent="0.2">
      <c r="AF4690" t="s">
        <v>473</v>
      </c>
    </row>
    <row r="4691" spans="32:32" x14ac:dyDescent="0.2">
      <c r="AF4691" t="s">
        <v>473</v>
      </c>
    </row>
    <row r="4692" spans="32:32" x14ac:dyDescent="0.2">
      <c r="AF4692" t="s">
        <v>473</v>
      </c>
    </row>
    <row r="4693" spans="32:32" x14ac:dyDescent="0.2">
      <c r="AF4693" t="s">
        <v>473</v>
      </c>
    </row>
    <row r="4694" spans="32:32" x14ac:dyDescent="0.2">
      <c r="AF4694" t="s">
        <v>473</v>
      </c>
    </row>
    <row r="4695" spans="32:32" x14ac:dyDescent="0.2">
      <c r="AF4695" t="s">
        <v>473</v>
      </c>
    </row>
    <row r="4696" spans="32:32" x14ac:dyDescent="0.2">
      <c r="AF4696" t="s">
        <v>473</v>
      </c>
    </row>
    <row r="4697" spans="32:32" x14ac:dyDescent="0.2">
      <c r="AF4697" t="s">
        <v>473</v>
      </c>
    </row>
    <row r="4698" spans="32:32" x14ac:dyDescent="0.2">
      <c r="AF4698" t="s">
        <v>473</v>
      </c>
    </row>
    <row r="4699" spans="32:32" x14ac:dyDescent="0.2">
      <c r="AF4699" t="s">
        <v>473</v>
      </c>
    </row>
    <row r="4700" spans="32:32" x14ac:dyDescent="0.2">
      <c r="AF4700" t="s">
        <v>473</v>
      </c>
    </row>
    <row r="4701" spans="32:32" x14ac:dyDescent="0.2">
      <c r="AF4701" t="s">
        <v>473</v>
      </c>
    </row>
    <row r="4702" spans="32:32" x14ac:dyDescent="0.2">
      <c r="AF4702" t="s">
        <v>473</v>
      </c>
    </row>
    <row r="4703" spans="32:32" x14ac:dyDescent="0.2">
      <c r="AF4703" t="s">
        <v>473</v>
      </c>
    </row>
    <row r="4704" spans="32:32" x14ac:dyDescent="0.2">
      <c r="AF4704" t="s">
        <v>473</v>
      </c>
    </row>
    <row r="4705" spans="32:32" x14ac:dyDescent="0.2">
      <c r="AF4705" t="s">
        <v>473</v>
      </c>
    </row>
    <row r="4706" spans="32:32" x14ac:dyDescent="0.2">
      <c r="AF4706" t="s">
        <v>473</v>
      </c>
    </row>
    <row r="4707" spans="32:32" x14ac:dyDescent="0.2">
      <c r="AF4707" t="s">
        <v>473</v>
      </c>
    </row>
    <row r="4708" spans="32:32" x14ac:dyDescent="0.2">
      <c r="AF4708" t="s">
        <v>473</v>
      </c>
    </row>
    <row r="4709" spans="32:32" x14ac:dyDescent="0.2">
      <c r="AF4709" t="s">
        <v>473</v>
      </c>
    </row>
    <row r="4710" spans="32:32" x14ac:dyDescent="0.2">
      <c r="AF4710" t="s">
        <v>473</v>
      </c>
    </row>
    <row r="4711" spans="32:32" x14ac:dyDescent="0.2">
      <c r="AF4711" t="s">
        <v>473</v>
      </c>
    </row>
    <row r="4712" spans="32:32" x14ac:dyDescent="0.2">
      <c r="AF4712" t="s">
        <v>473</v>
      </c>
    </row>
    <row r="4713" spans="32:32" x14ac:dyDescent="0.2">
      <c r="AF4713" t="s">
        <v>473</v>
      </c>
    </row>
    <row r="4714" spans="32:32" x14ac:dyDescent="0.2">
      <c r="AF4714" t="s">
        <v>473</v>
      </c>
    </row>
    <row r="4715" spans="32:32" x14ac:dyDescent="0.2">
      <c r="AF4715" t="s">
        <v>473</v>
      </c>
    </row>
    <row r="4716" spans="32:32" x14ac:dyDescent="0.2">
      <c r="AF4716" t="s">
        <v>473</v>
      </c>
    </row>
    <row r="4717" spans="32:32" x14ac:dyDescent="0.2">
      <c r="AF4717" t="s">
        <v>473</v>
      </c>
    </row>
    <row r="4718" spans="32:32" x14ac:dyDescent="0.2">
      <c r="AF4718" t="s">
        <v>473</v>
      </c>
    </row>
    <row r="4719" spans="32:32" x14ac:dyDescent="0.2">
      <c r="AF4719" t="s">
        <v>473</v>
      </c>
    </row>
    <row r="4720" spans="32:32" x14ac:dyDescent="0.2">
      <c r="AF4720" t="s">
        <v>473</v>
      </c>
    </row>
    <row r="4721" spans="32:32" x14ac:dyDescent="0.2">
      <c r="AF4721" t="s">
        <v>473</v>
      </c>
    </row>
    <row r="4722" spans="32:32" x14ac:dyDescent="0.2">
      <c r="AF4722" t="s">
        <v>473</v>
      </c>
    </row>
    <row r="4723" spans="32:32" x14ac:dyDescent="0.2">
      <c r="AF4723" t="s">
        <v>473</v>
      </c>
    </row>
    <row r="4724" spans="32:32" x14ac:dyDescent="0.2">
      <c r="AF4724" t="s">
        <v>473</v>
      </c>
    </row>
    <row r="4725" spans="32:32" x14ac:dyDescent="0.2">
      <c r="AF4725" t="s">
        <v>473</v>
      </c>
    </row>
    <row r="4726" spans="32:32" x14ac:dyDescent="0.2">
      <c r="AF4726" t="s">
        <v>473</v>
      </c>
    </row>
    <row r="4727" spans="32:32" x14ac:dyDescent="0.2">
      <c r="AF4727" t="s">
        <v>473</v>
      </c>
    </row>
    <row r="4728" spans="32:32" x14ac:dyDescent="0.2">
      <c r="AF4728" t="s">
        <v>473</v>
      </c>
    </row>
    <row r="4729" spans="32:32" x14ac:dyDescent="0.2">
      <c r="AF4729" t="s">
        <v>473</v>
      </c>
    </row>
    <row r="4730" spans="32:32" x14ac:dyDescent="0.2">
      <c r="AF4730" t="s">
        <v>473</v>
      </c>
    </row>
    <row r="4731" spans="32:32" x14ac:dyDescent="0.2">
      <c r="AF4731" t="s">
        <v>473</v>
      </c>
    </row>
    <row r="4732" spans="32:32" x14ac:dyDescent="0.2">
      <c r="AF4732" t="s">
        <v>473</v>
      </c>
    </row>
    <row r="4733" spans="32:32" x14ac:dyDescent="0.2">
      <c r="AF4733" t="s">
        <v>473</v>
      </c>
    </row>
    <row r="4734" spans="32:32" x14ac:dyDescent="0.2">
      <c r="AF4734" t="s">
        <v>473</v>
      </c>
    </row>
    <row r="4735" spans="32:32" x14ac:dyDescent="0.2">
      <c r="AF4735" t="s">
        <v>473</v>
      </c>
    </row>
    <row r="4736" spans="32:32" x14ac:dyDescent="0.2">
      <c r="AF4736" t="s">
        <v>473</v>
      </c>
    </row>
    <row r="4737" spans="32:32" x14ac:dyDescent="0.2">
      <c r="AF4737" t="s">
        <v>473</v>
      </c>
    </row>
    <row r="4738" spans="32:32" x14ac:dyDescent="0.2">
      <c r="AF4738" t="s">
        <v>473</v>
      </c>
    </row>
    <row r="4739" spans="32:32" x14ac:dyDescent="0.2">
      <c r="AF4739" t="s">
        <v>473</v>
      </c>
    </row>
    <row r="4740" spans="32:32" x14ac:dyDescent="0.2">
      <c r="AF4740" t="s">
        <v>473</v>
      </c>
    </row>
    <row r="4741" spans="32:32" x14ac:dyDescent="0.2">
      <c r="AF4741" t="s">
        <v>473</v>
      </c>
    </row>
    <row r="4742" spans="32:32" x14ac:dyDescent="0.2">
      <c r="AF4742" t="s">
        <v>473</v>
      </c>
    </row>
    <row r="4743" spans="32:32" x14ac:dyDescent="0.2">
      <c r="AF4743" t="s">
        <v>473</v>
      </c>
    </row>
    <row r="4744" spans="32:32" x14ac:dyDescent="0.2">
      <c r="AF4744" t="s">
        <v>473</v>
      </c>
    </row>
    <row r="4745" spans="32:32" x14ac:dyDescent="0.2">
      <c r="AF4745" t="s">
        <v>473</v>
      </c>
    </row>
    <row r="4746" spans="32:32" x14ac:dyDescent="0.2">
      <c r="AF4746" t="s">
        <v>473</v>
      </c>
    </row>
    <row r="4747" spans="32:32" x14ac:dyDescent="0.2">
      <c r="AF4747" t="s">
        <v>473</v>
      </c>
    </row>
    <row r="4748" spans="32:32" x14ac:dyDescent="0.2">
      <c r="AF4748" t="s">
        <v>473</v>
      </c>
    </row>
    <row r="4749" spans="32:32" x14ac:dyDescent="0.2">
      <c r="AF4749" t="s">
        <v>473</v>
      </c>
    </row>
    <row r="4750" spans="32:32" x14ac:dyDescent="0.2">
      <c r="AF4750" t="s">
        <v>473</v>
      </c>
    </row>
    <row r="4751" spans="32:32" x14ac:dyDescent="0.2">
      <c r="AF4751" t="s">
        <v>473</v>
      </c>
    </row>
    <row r="4752" spans="32:32" x14ac:dyDescent="0.2">
      <c r="AF4752" t="s">
        <v>473</v>
      </c>
    </row>
    <row r="4753" spans="32:32" x14ac:dyDescent="0.2">
      <c r="AF4753" t="s">
        <v>473</v>
      </c>
    </row>
    <row r="4754" spans="32:32" x14ac:dyDescent="0.2">
      <c r="AF4754" t="s">
        <v>473</v>
      </c>
    </row>
    <row r="4755" spans="32:32" x14ac:dyDescent="0.2">
      <c r="AF4755" t="s">
        <v>473</v>
      </c>
    </row>
    <row r="4756" spans="32:32" x14ac:dyDescent="0.2">
      <c r="AF4756" t="s">
        <v>473</v>
      </c>
    </row>
    <row r="4757" spans="32:32" x14ac:dyDescent="0.2">
      <c r="AF4757" t="s">
        <v>473</v>
      </c>
    </row>
    <row r="4758" spans="32:32" x14ac:dyDescent="0.2">
      <c r="AF4758" t="s">
        <v>473</v>
      </c>
    </row>
    <row r="4759" spans="32:32" x14ac:dyDescent="0.2">
      <c r="AF4759" t="s">
        <v>473</v>
      </c>
    </row>
    <row r="4760" spans="32:32" x14ac:dyDescent="0.2">
      <c r="AF4760" t="s">
        <v>473</v>
      </c>
    </row>
    <row r="4761" spans="32:32" x14ac:dyDescent="0.2">
      <c r="AF4761" t="s">
        <v>473</v>
      </c>
    </row>
    <row r="4762" spans="32:32" x14ac:dyDescent="0.2">
      <c r="AF4762" t="s">
        <v>473</v>
      </c>
    </row>
    <row r="4763" spans="32:32" x14ac:dyDescent="0.2">
      <c r="AF4763" t="s">
        <v>473</v>
      </c>
    </row>
    <row r="4764" spans="32:32" x14ac:dyDescent="0.2">
      <c r="AF4764" t="s">
        <v>473</v>
      </c>
    </row>
    <row r="4765" spans="32:32" x14ac:dyDescent="0.2">
      <c r="AF4765" t="s">
        <v>473</v>
      </c>
    </row>
    <row r="4766" spans="32:32" x14ac:dyDescent="0.2">
      <c r="AF4766" t="s">
        <v>473</v>
      </c>
    </row>
    <row r="4767" spans="32:32" x14ac:dyDescent="0.2">
      <c r="AF4767" t="s">
        <v>473</v>
      </c>
    </row>
    <row r="4768" spans="32:32" x14ac:dyDescent="0.2">
      <c r="AF4768" t="s">
        <v>473</v>
      </c>
    </row>
    <row r="4769" spans="32:32" x14ac:dyDescent="0.2">
      <c r="AF4769" t="s">
        <v>473</v>
      </c>
    </row>
    <row r="4770" spans="32:32" x14ac:dyDescent="0.2">
      <c r="AF4770" t="s">
        <v>473</v>
      </c>
    </row>
    <row r="4771" spans="32:32" x14ac:dyDescent="0.2">
      <c r="AF4771" t="s">
        <v>473</v>
      </c>
    </row>
    <row r="4772" spans="32:32" x14ac:dyDescent="0.2">
      <c r="AF4772" t="s">
        <v>473</v>
      </c>
    </row>
    <row r="4773" spans="32:32" x14ac:dyDescent="0.2">
      <c r="AF4773" t="s">
        <v>473</v>
      </c>
    </row>
    <row r="4774" spans="32:32" x14ac:dyDescent="0.2">
      <c r="AF4774" t="s">
        <v>473</v>
      </c>
    </row>
    <row r="4775" spans="32:32" x14ac:dyDescent="0.2">
      <c r="AF4775" t="s">
        <v>473</v>
      </c>
    </row>
    <row r="4776" spans="32:32" x14ac:dyDescent="0.2">
      <c r="AF4776" t="s">
        <v>473</v>
      </c>
    </row>
    <row r="4777" spans="32:32" x14ac:dyDescent="0.2">
      <c r="AF4777" t="s">
        <v>473</v>
      </c>
    </row>
    <row r="4778" spans="32:32" x14ac:dyDescent="0.2">
      <c r="AF4778" t="s">
        <v>473</v>
      </c>
    </row>
    <row r="4779" spans="32:32" x14ac:dyDescent="0.2">
      <c r="AF4779" t="s">
        <v>473</v>
      </c>
    </row>
    <row r="4780" spans="32:32" x14ac:dyDescent="0.2">
      <c r="AF4780" t="s">
        <v>473</v>
      </c>
    </row>
    <row r="4781" spans="32:32" x14ac:dyDescent="0.2">
      <c r="AF4781" t="s">
        <v>473</v>
      </c>
    </row>
    <row r="4782" spans="32:32" x14ac:dyDescent="0.2">
      <c r="AF4782" t="s">
        <v>473</v>
      </c>
    </row>
    <row r="4783" spans="32:32" x14ac:dyDescent="0.2">
      <c r="AF4783" t="s">
        <v>473</v>
      </c>
    </row>
    <row r="4784" spans="32:32" x14ac:dyDescent="0.2">
      <c r="AF4784" t="s">
        <v>473</v>
      </c>
    </row>
    <row r="4785" spans="32:32" x14ac:dyDescent="0.2">
      <c r="AF4785" t="s">
        <v>473</v>
      </c>
    </row>
    <row r="4786" spans="32:32" x14ac:dyDescent="0.2">
      <c r="AF4786" t="s">
        <v>473</v>
      </c>
    </row>
    <row r="4787" spans="32:32" x14ac:dyDescent="0.2">
      <c r="AF4787" t="s">
        <v>473</v>
      </c>
    </row>
    <row r="4788" spans="32:32" x14ac:dyDescent="0.2">
      <c r="AF4788" t="s">
        <v>473</v>
      </c>
    </row>
    <row r="4789" spans="32:32" x14ac:dyDescent="0.2">
      <c r="AF4789" t="s">
        <v>473</v>
      </c>
    </row>
    <row r="4790" spans="32:32" x14ac:dyDescent="0.2">
      <c r="AF4790" t="s">
        <v>473</v>
      </c>
    </row>
    <row r="4791" spans="32:32" x14ac:dyDescent="0.2">
      <c r="AF4791" t="s">
        <v>473</v>
      </c>
    </row>
    <row r="4792" spans="32:32" x14ac:dyDescent="0.2">
      <c r="AF4792" t="s">
        <v>473</v>
      </c>
    </row>
    <row r="4793" spans="32:32" x14ac:dyDescent="0.2">
      <c r="AF4793" t="s">
        <v>473</v>
      </c>
    </row>
    <row r="4794" spans="32:32" x14ac:dyDescent="0.2">
      <c r="AF4794" t="s">
        <v>473</v>
      </c>
    </row>
    <row r="4795" spans="32:32" x14ac:dyDescent="0.2">
      <c r="AF4795" t="s">
        <v>473</v>
      </c>
    </row>
    <row r="4796" spans="32:32" x14ac:dyDescent="0.2">
      <c r="AF4796" t="s">
        <v>473</v>
      </c>
    </row>
    <row r="4797" spans="32:32" x14ac:dyDescent="0.2">
      <c r="AF4797" t="s">
        <v>473</v>
      </c>
    </row>
    <row r="4798" spans="32:32" x14ac:dyDescent="0.2">
      <c r="AF4798" t="s">
        <v>473</v>
      </c>
    </row>
    <row r="4799" spans="32:32" x14ac:dyDescent="0.2">
      <c r="AF4799" t="s">
        <v>473</v>
      </c>
    </row>
    <row r="4800" spans="32:32" x14ac:dyDescent="0.2">
      <c r="AF4800" t="s">
        <v>473</v>
      </c>
    </row>
    <row r="4801" spans="32:32" x14ac:dyDescent="0.2">
      <c r="AF4801" t="s">
        <v>473</v>
      </c>
    </row>
    <row r="4802" spans="32:32" x14ac:dyDescent="0.2">
      <c r="AF4802" t="s">
        <v>473</v>
      </c>
    </row>
    <row r="4803" spans="32:32" x14ac:dyDescent="0.2">
      <c r="AF4803" t="s">
        <v>473</v>
      </c>
    </row>
    <row r="4804" spans="32:32" x14ac:dyDescent="0.2">
      <c r="AF4804" t="s">
        <v>473</v>
      </c>
    </row>
    <row r="4805" spans="32:32" x14ac:dyDescent="0.2">
      <c r="AF4805" t="s">
        <v>473</v>
      </c>
    </row>
    <row r="4806" spans="32:32" x14ac:dyDescent="0.2">
      <c r="AF4806" t="s">
        <v>473</v>
      </c>
    </row>
    <row r="4807" spans="32:32" x14ac:dyDescent="0.2">
      <c r="AF4807" t="s">
        <v>473</v>
      </c>
    </row>
    <row r="4808" spans="32:32" x14ac:dyDescent="0.2">
      <c r="AF4808" t="s">
        <v>473</v>
      </c>
    </row>
    <row r="4809" spans="32:32" x14ac:dyDescent="0.2">
      <c r="AF4809" t="s">
        <v>473</v>
      </c>
    </row>
    <row r="4810" spans="32:32" x14ac:dyDescent="0.2">
      <c r="AF4810" t="s">
        <v>473</v>
      </c>
    </row>
    <row r="4811" spans="32:32" x14ac:dyDescent="0.2">
      <c r="AF4811" t="s">
        <v>473</v>
      </c>
    </row>
    <row r="4812" spans="32:32" x14ac:dyDescent="0.2">
      <c r="AF4812" t="s">
        <v>473</v>
      </c>
    </row>
    <row r="4813" spans="32:32" x14ac:dyDescent="0.2">
      <c r="AF4813" t="s">
        <v>473</v>
      </c>
    </row>
    <row r="4814" spans="32:32" x14ac:dyDescent="0.2">
      <c r="AF4814" t="s">
        <v>473</v>
      </c>
    </row>
    <row r="4815" spans="32:32" x14ac:dyDescent="0.2">
      <c r="AF4815" t="s">
        <v>473</v>
      </c>
    </row>
    <row r="4816" spans="32:32" x14ac:dyDescent="0.2">
      <c r="AF4816" t="s">
        <v>473</v>
      </c>
    </row>
    <row r="4817" spans="32:32" x14ac:dyDescent="0.2">
      <c r="AF4817" t="s">
        <v>473</v>
      </c>
    </row>
    <row r="4818" spans="32:32" x14ac:dyDescent="0.2">
      <c r="AF4818" t="s">
        <v>473</v>
      </c>
    </row>
    <row r="4819" spans="32:32" x14ac:dyDescent="0.2">
      <c r="AF4819" t="s">
        <v>473</v>
      </c>
    </row>
    <row r="4820" spans="32:32" x14ac:dyDescent="0.2">
      <c r="AF4820" t="s">
        <v>473</v>
      </c>
    </row>
    <row r="4821" spans="32:32" x14ac:dyDescent="0.2">
      <c r="AF4821" t="s">
        <v>473</v>
      </c>
    </row>
    <row r="4822" spans="32:32" x14ac:dyDescent="0.2">
      <c r="AF4822" t="s">
        <v>473</v>
      </c>
    </row>
    <row r="4823" spans="32:32" x14ac:dyDescent="0.2">
      <c r="AF4823" t="s">
        <v>473</v>
      </c>
    </row>
    <row r="4824" spans="32:32" x14ac:dyDescent="0.2">
      <c r="AF4824" t="s">
        <v>473</v>
      </c>
    </row>
    <row r="4825" spans="32:32" x14ac:dyDescent="0.2">
      <c r="AF4825" t="s">
        <v>473</v>
      </c>
    </row>
    <row r="4826" spans="32:32" x14ac:dyDescent="0.2">
      <c r="AF4826" t="s">
        <v>473</v>
      </c>
    </row>
    <row r="4827" spans="32:32" x14ac:dyDescent="0.2">
      <c r="AF4827" t="s">
        <v>473</v>
      </c>
    </row>
    <row r="4828" spans="32:32" x14ac:dyDescent="0.2">
      <c r="AF4828" t="s">
        <v>473</v>
      </c>
    </row>
    <row r="4829" spans="32:32" x14ac:dyDescent="0.2">
      <c r="AF4829" t="s">
        <v>473</v>
      </c>
    </row>
    <row r="4830" spans="32:32" x14ac:dyDescent="0.2">
      <c r="AF4830" t="s">
        <v>473</v>
      </c>
    </row>
    <row r="4831" spans="32:32" x14ac:dyDescent="0.2">
      <c r="AF4831" t="s">
        <v>473</v>
      </c>
    </row>
    <row r="4832" spans="32:32" x14ac:dyDescent="0.2">
      <c r="AF4832" t="s">
        <v>473</v>
      </c>
    </row>
    <row r="4833" spans="32:32" x14ac:dyDescent="0.2">
      <c r="AF4833" t="s">
        <v>473</v>
      </c>
    </row>
    <row r="4834" spans="32:32" x14ac:dyDescent="0.2">
      <c r="AF4834" t="s">
        <v>473</v>
      </c>
    </row>
    <row r="4835" spans="32:32" x14ac:dyDescent="0.2">
      <c r="AF4835" t="s">
        <v>473</v>
      </c>
    </row>
    <row r="4836" spans="32:32" x14ac:dyDescent="0.2">
      <c r="AF4836" t="s">
        <v>473</v>
      </c>
    </row>
    <row r="4837" spans="32:32" x14ac:dyDescent="0.2">
      <c r="AF4837" t="s">
        <v>473</v>
      </c>
    </row>
    <row r="4838" spans="32:32" x14ac:dyDescent="0.2">
      <c r="AF4838" t="s">
        <v>473</v>
      </c>
    </row>
    <row r="4839" spans="32:32" x14ac:dyDescent="0.2">
      <c r="AF4839" t="s">
        <v>473</v>
      </c>
    </row>
    <row r="4840" spans="32:32" x14ac:dyDescent="0.2">
      <c r="AF4840" t="s">
        <v>473</v>
      </c>
    </row>
    <row r="4841" spans="32:32" x14ac:dyDescent="0.2">
      <c r="AF4841" t="s">
        <v>473</v>
      </c>
    </row>
    <row r="4842" spans="32:32" x14ac:dyDescent="0.2">
      <c r="AF4842" t="s">
        <v>473</v>
      </c>
    </row>
    <row r="4843" spans="32:32" x14ac:dyDescent="0.2">
      <c r="AF4843" t="s">
        <v>473</v>
      </c>
    </row>
    <row r="4844" spans="32:32" x14ac:dyDescent="0.2">
      <c r="AF4844" t="s">
        <v>473</v>
      </c>
    </row>
    <row r="4845" spans="32:32" x14ac:dyDescent="0.2">
      <c r="AF4845" t="s">
        <v>473</v>
      </c>
    </row>
    <row r="4846" spans="32:32" x14ac:dyDescent="0.2">
      <c r="AF4846" t="s">
        <v>473</v>
      </c>
    </row>
    <row r="4847" spans="32:32" x14ac:dyDescent="0.2">
      <c r="AF4847" t="s">
        <v>473</v>
      </c>
    </row>
    <row r="4848" spans="32:32" x14ac:dyDescent="0.2">
      <c r="AF4848" t="s">
        <v>473</v>
      </c>
    </row>
    <row r="4849" spans="32:32" x14ac:dyDescent="0.2">
      <c r="AF4849" t="s">
        <v>473</v>
      </c>
    </row>
    <row r="4850" spans="32:32" x14ac:dyDescent="0.2">
      <c r="AF4850" t="s">
        <v>473</v>
      </c>
    </row>
    <row r="4851" spans="32:32" x14ac:dyDescent="0.2">
      <c r="AF4851" t="s">
        <v>473</v>
      </c>
    </row>
    <row r="4852" spans="32:32" x14ac:dyDescent="0.2">
      <c r="AF4852" t="s">
        <v>473</v>
      </c>
    </row>
    <row r="4853" spans="32:32" x14ac:dyDescent="0.2">
      <c r="AF4853" t="s">
        <v>473</v>
      </c>
    </row>
    <row r="4854" spans="32:32" x14ac:dyDescent="0.2">
      <c r="AF4854" t="s">
        <v>473</v>
      </c>
    </row>
    <row r="4855" spans="32:32" x14ac:dyDescent="0.2">
      <c r="AF4855" t="s">
        <v>473</v>
      </c>
    </row>
    <row r="4856" spans="32:32" x14ac:dyDescent="0.2">
      <c r="AF4856" t="s">
        <v>473</v>
      </c>
    </row>
    <row r="4857" spans="32:32" x14ac:dyDescent="0.2">
      <c r="AF4857" t="s">
        <v>473</v>
      </c>
    </row>
    <row r="4858" spans="32:32" x14ac:dyDescent="0.2">
      <c r="AF4858" t="s">
        <v>473</v>
      </c>
    </row>
    <row r="4859" spans="32:32" x14ac:dyDescent="0.2">
      <c r="AF4859" t="s">
        <v>473</v>
      </c>
    </row>
    <row r="4860" spans="32:32" x14ac:dyDescent="0.2">
      <c r="AF4860" t="s">
        <v>473</v>
      </c>
    </row>
    <row r="4861" spans="32:32" x14ac:dyDescent="0.2">
      <c r="AF4861" t="s">
        <v>473</v>
      </c>
    </row>
    <row r="4862" spans="32:32" x14ac:dyDescent="0.2">
      <c r="AF4862" t="s">
        <v>473</v>
      </c>
    </row>
    <row r="4863" spans="32:32" x14ac:dyDescent="0.2">
      <c r="AF4863" t="s">
        <v>473</v>
      </c>
    </row>
    <row r="4864" spans="32:32" x14ac:dyDescent="0.2">
      <c r="AF4864" t="s">
        <v>473</v>
      </c>
    </row>
    <row r="4865" spans="32:32" x14ac:dyDescent="0.2">
      <c r="AF4865" t="s">
        <v>473</v>
      </c>
    </row>
    <row r="4866" spans="32:32" x14ac:dyDescent="0.2">
      <c r="AF4866" t="s">
        <v>473</v>
      </c>
    </row>
    <row r="4867" spans="32:32" x14ac:dyDescent="0.2">
      <c r="AF4867" t="s">
        <v>473</v>
      </c>
    </row>
    <row r="4868" spans="32:32" x14ac:dyDescent="0.2">
      <c r="AF4868" t="s">
        <v>473</v>
      </c>
    </row>
    <row r="4869" spans="32:32" x14ac:dyDescent="0.2">
      <c r="AF4869" t="s">
        <v>473</v>
      </c>
    </row>
    <row r="4870" spans="32:32" x14ac:dyDescent="0.2">
      <c r="AF4870" t="s">
        <v>473</v>
      </c>
    </row>
    <row r="4871" spans="32:32" x14ac:dyDescent="0.2">
      <c r="AF4871" t="s">
        <v>473</v>
      </c>
    </row>
    <row r="4872" spans="32:32" x14ac:dyDescent="0.2">
      <c r="AF4872" t="s">
        <v>473</v>
      </c>
    </row>
    <row r="4873" spans="32:32" x14ac:dyDescent="0.2">
      <c r="AF4873" t="s">
        <v>473</v>
      </c>
    </row>
    <row r="4874" spans="32:32" x14ac:dyDescent="0.2">
      <c r="AF4874" t="s">
        <v>473</v>
      </c>
    </row>
    <row r="4875" spans="32:32" x14ac:dyDescent="0.2">
      <c r="AF4875" t="s">
        <v>473</v>
      </c>
    </row>
    <row r="4876" spans="32:32" x14ac:dyDescent="0.2">
      <c r="AF4876" t="s">
        <v>473</v>
      </c>
    </row>
    <row r="4877" spans="32:32" x14ac:dyDescent="0.2">
      <c r="AF4877" t="s">
        <v>473</v>
      </c>
    </row>
    <row r="4878" spans="32:32" x14ac:dyDescent="0.2">
      <c r="AF4878" t="s">
        <v>473</v>
      </c>
    </row>
    <row r="4879" spans="32:32" x14ac:dyDescent="0.2">
      <c r="AF4879" t="s">
        <v>473</v>
      </c>
    </row>
    <row r="4880" spans="32:32" x14ac:dyDescent="0.2">
      <c r="AF4880" t="s">
        <v>473</v>
      </c>
    </row>
    <row r="4881" spans="32:32" x14ac:dyDescent="0.2">
      <c r="AF4881" t="s">
        <v>473</v>
      </c>
    </row>
    <row r="4882" spans="32:32" x14ac:dyDescent="0.2">
      <c r="AF4882" t="s">
        <v>473</v>
      </c>
    </row>
    <row r="4883" spans="32:32" x14ac:dyDescent="0.2">
      <c r="AF4883" t="s">
        <v>473</v>
      </c>
    </row>
    <row r="4884" spans="32:32" x14ac:dyDescent="0.2">
      <c r="AF4884" t="s">
        <v>473</v>
      </c>
    </row>
    <row r="4885" spans="32:32" x14ac:dyDescent="0.2">
      <c r="AF4885" t="s">
        <v>473</v>
      </c>
    </row>
    <row r="4886" spans="32:32" x14ac:dyDescent="0.2">
      <c r="AF4886" t="s">
        <v>473</v>
      </c>
    </row>
    <row r="4887" spans="32:32" x14ac:dyDescent="0.2">
      <c r="AF4887" t="s">
        <v>473</v>
      </c>
    </row>
    <row r="4888" spans="32:32" x14ac:dyDescent="0.2">
      <c r="AF4888" t="s">
        <v>473</v>
      </c>
    </row>
    <row r="4889" spans="32:32" x14ac:dyDescent="0.2">
      <c r="AF4889" t="s">
        <v>473</v>
      </c>
    </row>
    <row r="4890" spans="32:32" x14ac:dyDescent="0.2">
      <c r="AF4890" t="s">
        <v>473</v>
      </c>
    </row>
    <row r="4891" spans="32:32" x14ac:dyDescent="0.2">
      <c r="AF4891" t="s">
        <v>473</v>
      </c>
    </row>
    <row r="4892" spans="32:32" x14ac:dyDescent="0.2">
      <c r="AF4892" t="s">
        <v>473</v>
      </c>
    </row>
    <row r="4893" spans="32:32" x14ac:dyDescent="0.2">
      <c r="AF4893" t="s">
        <v>473</v>
      </c>
    </row>
    <row r="4894" spans="32:32" x14ac:dyDescent="0.2">
      <c r="AF4894" t="s">
        <v>473</v>
      </c>
    </row>
    <row r="4895" spans="32:32" x14ac:dyDescent="0.2">
      <c r="AF4895" t="s">
        <v>473</v>
      </c>
    </row>
    <row r="4896" spans="32:32" x14ac:dyDescent="0.2">
      <c r="AF4896" t="s">
        <v>473</v>
      </c>
    </row>
    <row r="4897" spans="32:32" x14ac:dyDescent="0.2">
      <c r="AF4897" t="s">
        <v>473</v>
      </c>
    </row>
    <row r="4898" spans="32:32" x14ac:dyDescent="0.2">
      <c r="AF4898" t="s">
        <v>473</v>
      </c>
    </row>
    <row r="4899" spans="32:32" x14ac:dyDescent="0.2">
      <c r="AF4899" t="s">
        <v>473</v>
      </c>
    </row>
    <row r="4900" spans="32:32" x14ac:dyDescent="0.2">
      <c r="AF4900" t="s">
        <v>473</v>
      </c>
    </row>
    <row r="4901" spans="32:32" x14ac:dyDescent="0.2">
      <c r="AF4901" t="s">
        <v>473</v>
      </c>
    </row>
    <row r="4902" spans="32:32" x14ac:dyDescent="0.2">
      <c r="AF4902" t="s">
        <v>473</v>
      </c>
    </row>
    <row r="4903" spans="32:32" x14ac:dyDescent="0.2">
      <c r="AF4903" t="s">
        <v>473</v>
      </c>
    </row>
    <row r="4904" spans="32:32" x14ac:dyDescent="0.2">
      <c r="AF4904" t="s">
        <v>473</v>
      </c>
    </row>
    <row r="4905" spans="32:32" x14ac:dyDescent="0.2">
      <c r="AF4905" t="s">
        <v>473</v>
      </c>
    </row>
    <row r="4906" spans="32:32" x14ac:dyDescent="0.2">
      <c r="AF4906" t="s">
        <v>473</v>
      </c>
    </row>
    <row r="4907" spans="32:32" x14ac:dyDescent="0.2">
      <c r="AF4907" t="s">
        <v>473</v>
      </c>
    </row>
    <row r="4908" spans="32:32" x14ac:dyDescent="0.2">
      <c r="AF4908" t="s">
        <v>473</v>
      </c>
    </row>
    <row r="4909" spans="32:32" x14ac:dyDescent="0.2">
      <c r="AF4909" t="s">
        <v>473</v>
      </c>
    </row>
    <row r="4910" spans="32:32" x14ac:dyDescent="0.2">
      <c r="AF4910" t="s">
        <v>473</v>
      </c>
    </row>
    <row r="4911" spans="32:32" x14ac:dyDescent="0.2">
      <c r="AF4911" t="s">
        <v>473</v>
      </c>
    </row>
    <row r="4912" spans="32:32" x14ac:dyDescent="0.2">
      <c r="AF4912" t="s">
        <v>473</v>
      </c>
    </row>
    <row r="4913" spans="32:32" x14ac:dyDescent="0.2">
      <c r="AF4913" t="s">
        <v>473</v>
      </c>
    </row>
    <row r="4914" spans="32:32" x14ac:dyDescent="0.2">
      <c r="AF4914" t="s">
        <v>473</v>
      </c>
    </row>
    <row r="4915" spans="32:32" x14ac:dyDescent="0.2">
      <c r="AF4915" t="s">
        <v>473</v>
      </c>
    </row>
    <row r="4916" spans="32:32" x14ac:dyDescent="0.2">
      <c r="AF4916" t="s">
        <v>473</v>
      </c>
    </row>
    <row r="4917" spans="32:32" x14ac:dyDescent="0.2">
      <c r="AF4917" t="s">
        <v>473</v>
      </c>
    </row>
    <row r="4918" spans="32:32" x14ac:dyDescent="0.2">
      <c r="AF4918" t="s">
        <v>473</v>
      </c>
    </row>
    <row r="4919" spans="32:32" x14ac:dyDescent="0.2">
      <c r="AF4919" t="s">
        <v>473</v>
      </c>
    </row>
    <row r="4920" spans="32:32" x14ac:dyDescent="0.2">
      <c r="AF4920" t="s">
        <v>473</v>
      </c>
    </row>
    <row r="4921" spans="32:32" x14ac:dyDescent="0.2">
      <c r="AF4921" t="s">
        <v>473</v>
      </c>
    </row>
    <row r="4922" spans="32:32" x14ac:dyDescent="0.2">
      <c r="AF4922" t="s">
        <v>473</v>
      </c>
    </row>
    <row r="4923" spans="32:32" x14ac:dyDescent="0.2">
      <c r="AF4923" t="s">
        <v>473</v>
      </c>
    </row>
    <row r="4924" spans="32:32" x14ac:dyDescent="0.2">
      <c r="AF4924" t="s">
        <v>473</v>
      </c>
    </row>
    <row r="4925" spans="32:32" x14ac:dyDescent="0.2">
      <c r="AF4925" t="s">
        <v>473</v>
      </c>
    </row>
    <row r="4926" spans="32:32" x14ac:dyDescent="0.2">
      <c r="AF4926" t="s">
        <v>473</v>
      </c>
    </row>
    <row r="4927" spans="32:32" x14ac:dyDescent="0.2">
      <c r="AF4927" t="s">
        <v>473</v>
      </c>
    </row>
    <row r="4928" spans="32:32" x14ac:dyDescent="0.2">
      <c r="AF4928" t="s">
        <v>473</v>
      </c>
    </row>
    <row r="4929" spans="32:32" x14ac:dyDescent="0.2">
      <c r="AF4929" t="s">
        <v>473</v>
      </c>
    </row>
    <row r="4930" spans="32:32" x14ac:dyDescent="0.2">
      <c r="AF4930" t="s">
        <v>473</v>
      </c>
    </row>
    <row r="4931" spans="32:32" x14ac:dyDescent="0.2">
      <c r="AF4931" t="s">
        <v>473</v>
      </c>
    </row>
    <row r="4932" spans="32:32" x14ac:dyDescent="0.2">
      <c r="AF4932" t="s">
        <v>473</v>
      </c>
    </row>
    <row r="4933" spans="32:32" x14ac:dyDescent="0.2">
      <c r="AF4933" t="s">
        <v>473</v>
      </c>
    </row>
    <row r="4934" spans="32:32" x14ac:dyDescent="0.2">
      <c r="AF4934" t="s">
        <v>473</v>
      </c>
    </row>
    <row r="4935" spans="32:32" x14ac:dyDescent="0.2">
      <c r="AF4935" t="s">
        <v>473</v>
      </c>
    </row>
    <row r="4936" spans="32:32" x14ac:dyDescent="0.2">
      <c r="AF4936" t="s">
        <v>473</v>
      </c>
    </row>
    <row r="4937" spans="32:32" x14ac:dyDescent="0.2">
      <c r="AF4937" t="s">
        <v>473</v>
      </c>
    </row>
    <row r="4938" spans="32:32" x14ac:dyDescent="0.2">
      <c r="AF4938" t="s">
        <v>473</v>
      </c>
    </row>
    <row r="4939" spans="32:32" x14ac:dyDescent="0.2">
      <c r="AF4939" t="s">
        <v>473</v>
      </c>
    </row>
    <row r="4940" spans="32:32" x14ac:dyDescent="0.2">
      <c r="AF4940" t="s">
        <v>473</v>
      </c>
    </row>
    <row r="4941" spans="32:32" x14ac:dyDescent="0.2">
      <c r="AF4941" t="s">
        <v>473</v>
      </c>
    </row>
    <row r="4942" spans="32:32" x14ac:dyDescent="0.2">
      <c r="AF4942" t="s">
        <v>473</v>
      </c>
    </row>
    <row r="4943" spans="32:32" x14ac:dyDescent="0.2">
      <c r="AF4943" t="s">
        <v>473</v>
      </c>
    </row>
    <row r="4944" spans="32:32" x14ac:dyDescent="0.2">
      <c r="AF4944" t="s">
        <v>473</v>
      </c>
    </row>
    <row r="4945" spans="32:32" x14ac:dyDescent="0.2">
      <c r="AF4945" t="s">
        <v>473</v>
      </c>
    </row>
    <row r="4946" spans="32:32" x14ac:dyDescent="0.2">
      <c r="AF4946" t="s">
        <v>473</v>
      </c>
    </row>
    <row r="4947" spans="32:32" x14ac:dyDescent="0.2">
      <c r="AF4947" t="s">
        <v>473</v>
      </c>
    </row>
    <row r="4948" spans="32:32" x14ac:dyDescent="0.2">
      <c r="AF4948" t="s">
        <v>473</v>
      </c>
    </row>
    <row r="4949" spans="32:32" x14ac:dyDescent="0.2">
      <c r="AF4949" t="s">
        <v>473</v>
      </c>
    </row>
    <row r="4950" spans="32:32" x14ac:dyDescent="0.2">
      <c r="AF4950" t="s">
        <v>473</v>
      </c>
    </row>
    <row r="4951" spans="32:32" x14ac:dyDescent="0.2">
      <c r="AF4951" t="s">
        <v>473</v>
      </c>
    </row>
    <row r="4952" spans="32:32" x14ac:dyDescent="0.2">
      <c r="AF4952" t="s">
        <v>473</v>
      </c>
    </row>
    <row r="4953" spans="32:32" x14ac:dyDescent="0.2">
      <c r="AF4953" t="s">
        <v>473</v>
      </c>
    </row>
    <row r="4954" spans="32:32" x14ac:dyDescent="0.2">
      <c r="AF4954" t="s">
        <v>473</v>
      </c>
    </row>
    <row r="4955" spans="32:32" x14ac:dyDescent="0.2">
      <c r="AF4955" t="s">
        <v>473</v>
      </c>
    </row>
    <row r="4956" spans="32:32" x14ac:dyDescent="0.2">
      <c r="AF4956" t="s">
        <v>473</v>
      </c>
    </row>
    <row r="4957" spans="32:32" x14ac:dyDescent="0.2">
      <c r="AF4957" t="s">
        <v>473</v>
      </c>
    </row>
    <row r="4958" spans="32:32" x14ac:dyDescent="0.2">
      <c r="AF4958" t="s">
        <v>473</v>
      </c>
    </row>
    <row r="4959" spans="32:32" x14ac:dyDescent="0.2">
      <c r="AF4959" t="s">
        <v>473</v>
      </c>
    </row>
    <row r="4960" spans="32:32" x14ac:dyDescent="0.2">
      <c r="AF4960" t="s">
        <v>473</v>
      </c>
    </row>
    <row r="4961" spans="32:32" x14ac:dyDescent="0.2">
      <c r="AF4961" t="s">
        <v>473</v>
      </c>
    </row>
    <row r="4962" spans="32:32" x14ac:dyDescent="0.2">
      <c r="AF4962" t="s">
        <v>473</v>
      </c>
    </row>
    <row r="4963" spans="32:32" x14ac:dyDescent="0.2">
      <c r="AF4963" t="s">
        <v>473</v>
      </c>
    </row>
    <row r="4964" spans="32:32" x14ac:dyDescent="0.2">
      <c r="AF4964" t="s">
        <v>473</v>
      </c>
    </row>
    <row r="4965" spans="32:32" x14ac:dyDescent="0.2">
      <c r="AF4965" t="s">
        <v>473</v>
      </c>
    </row>
    <row r="4966" spans="32:32" x14ac:dyDescent="0.2">
      <c r="AF4966" t="s">
        <v>473</v>
      </c>
    </row>
    <row r="4967" spans="32:32" x14ac:dyDescent="0.2">
      <c r="AF4967" t="s">
        <v>473</v>
      </c>
    </row>
    <row r="4968" spans="32:32" x14ac:dyDescent="0.2">
      <c r="AF4968" t="s">
        <v>473</v>
      </c>
    </row>
    <row r="4969" spans="32:32" x14ac:dyDescent="0.2">
      <c r="AF4969" t="s">
        <v>473</v>
      </c>
    </row>
    <row r="4970" spans="32:32" x14ac:dyDescent="0.2">
      <c r="AF4970" t="s">
        <v>473</v>
      </c>
    </row>
    <row r="4971" spans="32:32" x14ac:dyDescent="0.2">
      <c r="AF4971" t="s">
        <v>473</v>
      </c>
    </row>
    <row r="4972" spans="32:32" x14ac:dyDescent="0.2">
      <c r="AF4972" t="s">
        <v>473</v>
      </c>
    </row>
    <row r="4973" spans="32:32" x14ac:dyDescent="0.2">
      <c r="AF4973" t="s">
        <v>473</v>
      </c>
    </row>
    <row r="4974" spans="32:32" x14ac:dyDescent="0.2">
      <c r="AF4974" t="s">
        <v>473</v>
      </c>
    </row>
    <row r="4975" spans="32:32" x14ac:dyDescent="0.2">
      <c r="AF4975" t="s">
        <v>473</v>
      </c>
    </row>
    <row r="4976" spans="32:32" x14ac:dyDescent="0.2">
      <c r="AF4976" t="s">
        <v>473</v>
      </c>
    </row>
    <row r="4977" spans="32:32" x14ac:dyDescent="0.2">
      <c r="AF4977" t="s">
        <v>473</v>
      </c>
    </row>
    <row r="4978" spans="32:32" x14ac:dyDescent="0.2">
      <c r="AF4978" t="s">
        <v>473</v>
      </c>
    </row>
    <row r="4979" spans="32:32" x14ac:dyDescent="0.2">
      <c r="AF4979" t="s">
        <v>473</v>
      </c>
    </row>
    <row r="4980" spans="32:32" x14ac:dyDescent="0.2">
      <c r="AF4980" t="s">
        <v>473</v>
      </c>
    </row>
    <row r="4981" spans="32:32" x14ac:dyDescent="0.2">
      <c r="AF4981" t="s">
        <v>473</v>
      </c>
    </row>
    <row r="4982" spans="32:32" x14ac:dyDescent="0.2">
      <c r="AF4982" t="s">
        <v>473</v>
      </c>
    </row>
    <row r="4983" spans="32:32" x14ac:dyDescent="0.2">
      <c r="AF4983" t="s">
        <v>473</v>
      </c>
    </row>
    <row r="4984" spans="32:32" x14ac:dyDescent="0.2">
      <c r="AF4984" t="s">
        <v>473</v>
      </c>
    </row>
    <row r="4985" spans="32:32" x14ac:dyDescent="0.2">
      <c r="AF4985" t="s">
        <v>473</v>
      </c>
    </row>
    <row r="4986" spans="32:32" x14ac:dyDescent="0.2">
      <c r="AF4986" t="s">
        <v>473</v>
      </c>
    </row>
    <row r="4987" spans="32:32" x14ac:dyDescent="0.2">
      <c r="AF4987" t="s">
        <v>473</v>
      </c>
    </row>
    <row r="4988" spans="32:32" x14ac:dyDescent="0.2">
      <c r="AF4988" t="s">
        <v>473</v>
      </c>
    </row>
    <row r="4989" spans="32:32" x14ac:dyDescent="0.2">
      <c r="AF4989" t="s">
        <v>473</v>
      </c>
    </row>
    <row r="4990" spans="32:32" x14ac:dyDescent="0.2">
      <c r="AF4990" t="s">
        <v>473</v>
      </c>
    </row>
    <row r="4991" spans="32:32" x14ac:dyDescent="0.2">
      <c r="AF4991" t="s">
        <v>473</v>
      </c>
    </row>
    <row r="4992" spans="32:32" x14ac:dyDescent="0.2">
      <c r="AF4992" t="s">
        <v>473</v>
      </c>
    </row>
    <row r="4993" spans="32:32" x14ac:dyDescent="0.2">
      <c r="AF4993" t="s">
        <v>473</v>
      </c>
    </row>
    <row r="4994" spans="32:32" x14ac:dyDescent="0.2">
      <c r="AF4994" t="s">
        <v>473</v>
      </c>
    </row>
    <row r="4995" spans="32:32" x14ac:dyDescent="0.2">
      <c r="AF4995" t="s">
        <v>473</v>
      </c>
    </row>
    <row r="4996" spans="32:32" x14ac:dyDescent="0.2">
      <c r="AF4996" t="s">
        <v>473</v>
      </c>
    </row>
    <row r="4997" spans="32:32" x14ac:dyDescent="0.2">
      <c r="AF4997" t="s">
        <v>473</v>
      </c>
    </row>
    <row r="4998" spans="32:32" x14ac:dyDescent="0.2">
      <c r="AF4998" t="s">
        <v>473</v>
      </c>
    </row>
    <row r="4999" spans="32:32" x14ac:dyDescent="0.2">
      <c r="AF4999" t="s">
        <v>473</v>
      </c>
    </row>
    <row r="5000" spans="32:32" x14ac:dyDescent="0.2">
      <c r="AF5000" t="s">
        <v>473</v>
      </c>
    </row>
  </sheetData>
  <conditionalFormatting sqref="AA1:A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 Bamfo Kenneth HSLU W</cp:lastModifiedBy>
  <dcterms:created xsi:type="dcterms:W3CDTF">2026-01-08T21:10:42Z</dcterms:created>
  <dcterms:modified xsi:type="dcterms:W3CDTF">2026-01-29T14:32:50Z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2026-01-29T13:39:58Z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59f2587c-f5c0-45ce-87d2-5a7f31832fc4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50, 3, 0, 1</vt:lpwstr>
  </property>
</Properties>
</file>